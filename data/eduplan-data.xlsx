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Fields" sheetId="2" state="visible" r:id="rId4"/>
    <sheet name="Universities" sheetId="3" state="visible" r:id="rId5"/>
    <sheet name="1 Scholarships" sheetId="4" state="visible" r:id="rId6"/>
    <sheet name="1 Scholarship Students" sheetId="5" state="visible" r:id="rId7"/>
    <sheet name="2 Interests" sheetId="6" state="visible" r:id="rId8"/>
    <sheet name="2 Courses" sheetId="7" state="visible" r:id="rId9"/>
    <sheet name="2 Interest Students" sheetId="8" state="visible" r:id="rId10"/>
    <sheet name="3 Hazed Questions" sheetId="9" state="visible" r:id="rId11"/>
    <sheet name="3 Hazed Students" sheetId="10" state="visible" r:id="rId12"/>
    <sheet name="Lists" sheetId="11" state="visible" r:id="rId13"/>
  </sheets>
  <definedNames>
    <definedName function="false" hidden="true" localSheetId="4" name="_xlnm._FilterDatabase" vbProcedure="false">'1 Scholarship Students'!$A$1:$V$300</definedName>
    <definedName function="false" hidden="true" localSheetId="7" name="_xlnm._FilterDatabase" vbProcedure="false">'2 Interest Students'!$A$1:$U$300</definedName>
    <definedName function="false" hidden="true" localSheetId="9" name="_xlnm._FilterDatabase" vbProcedure="false">'3 Hazed Students'!$A$1:$AG$300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Store as a percentage, e.g. 70%.</t>
        </r>
      </text>
    </comment>
    <comment ref="G1" authorId="0">
      <text>
        <r>
          <rPr>
            <sz val="10"/>
            <rFont val="Arial"/>
            <family val="2"/>
          </rPr>
          <t xml:space="preserve">Lowest average grade accepted. A student qualifies if their grade is this or better.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Counts scholarships whose grade, income group, field and co-curricular rules this student meets. Field rule (same as the website): the student's field must be in the scholarship's 'Fields covered' column.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Courses that share at least one interest with this student, at the level they prefer.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Type the answer letter (A, B, C...) as listed on the '3 Hazed Questions' tab.</t>
        </r>
      </text>
    </comment>
  </commentList>
</comments>
</file>

<file path=xl/sharedStrings.xml><?xml version="1.0" encoding="utf-8"?>
<sst xmlns="http://schemas.openxmlformats.org/spreadsheetml/2006/main" count="600" uniqueCount="352">
  <si>
    <t xml:space="preserve">Eduplan student tools: data workbook</t>
  </si>
  <si>
    <t xml:space="preserve">What this is</t>
  </si>
  <si>
    <t xml:space="preserve">All the information the Eduplan website needs for its three tools, plus a tracker for every student who uses each one.</t>
  </si>
  <si>
    <t xml:space="preserve">Tabs</t>
  </si>
  <si>
    <t xml:space="preserve">Fields</t>
  </si>
  <si>
    <t xml:space="preserve">Shared list of fields of study. Every tool uses these IDs.</t>
  </si>
  <si>
    <t xml:space="preserve">Universities</t>
  </si>
  <si>
    <t xml:space="preserve">Shared list of partner universities and colleges, with hostel and rent (used by Accommodation).</t>
  </si>
  <si>
    <t xml:space="preserve">1 Scholarships</t>
  </si>
  <si>
    <t xml:space="preserve">Option 1, Scholarship-based: every scholarship and who can get it.</t>
  </si>
  <si>
    <t xml:space="preserve">1 Scholarship Students</t>
  </si>
  <si>
    <t xml:space="preserve">Option 1 tracker: students who need funding, their grade, income group and field, and how far they have got.</t>
  </si>
  <si>
    <t xml:space="preserve">2 Interests</t>
  </si>
  <si>
    <t xml:space="preserve">Option 2, Interest-based: the interests a student can pick.</t>
  </si>
  <si>
    <t xml:space="preserve">2 Courses</t>
  </si>
  <si>
    <t xml:space="preserve">Option 2: every course, its level and length, and which interests it matches.</t>
  </si>
  <si>
    <t xml:space="preserve">2 Interest Students</t>
  </si>
  <si>
    <t xml:space="preserve">Option 2 tracker: students who know what they enjoy, the interests they picked, and the course they chose.</t>
  </si>
  <si>
    <t xml:space="preserve">3 Hazed Questions</t>
  </si>
  <si>
    <t xml:space="preserve">Option 3, Hazed-based (unsure students): the 5 guided questions, each answer, and the points it gives each field.</t>
  </si>
  <si>
    <t xml:space="preserve">3 Hazed Students</t>
  </si>
  <si>
    <t xml:space="preserve">Option 3 tracker: students who are unsure, their 5 answers, the fields suggested, and the counsellor's follow-up.</t>
  </si>
  <si>
    <t xml:space="preserve">Lists</t>
  </si>
  <si>
    <t xml:space="preserve">Dropdown values (status, grade, income group and so on). Edit here to change the dropdowns.</t>
  </si>
  <si>
    <t xml:space="preserve">Legend</t>
  </si>
  <si>
    <t xml:space="preserve">Blue text</t>
  </si>
  <si>
    <t xml:space="preserve">Sample data copied from the website. Replace it with real information.</t>
  </si>
  <si>
    <t xml:space="preserve">Yellow cells</t>
  </si>
  <si>
    <t xml:space="preserve">Columns you fill in for each student.</t>
  </si>
  <si>
    <t xml:space="preserve">Grey cells</t>
  </si>
  <si>
    <t xml:space="preserve">Formulas that fill in by themselves. Do not type over them.</t>
  </si>
  <si>
    <t xml:space="preserve">Row 2 in each tracker</t>
  </si>
  <si>
    <t xml:space="preserve">An example student showing the expected format. Delete it when you add real students.</t>
  </si>
  <si>
    <t xml:space="preserve">Statuses</t>
  </si>
  <si>
    <t xml:space="preserve">New &gt; Contacted &gt; Consultation booked &gt; Applying &gt; Offer received &gt; Registered (or Not proceeding).</t>
  </si>
  <si>
    <t xml:space="preserve">Open in Google Sheets</t>
  </si>
  <si>
    <t xml:space="preserve">Upload this file to Google Drive, then right-click it and choose Open with &gt; Google Sheets. To keep a pure Google copy, use File &gt; Save as Google Sheets.</t>
  </si>
  <si>
    <t xml:space="preserve">Field ID</t>
  </si>
  <si>
    <t xml:space="preserve">Field name</t>
  </si>
  <si>
    <t xml:space="preserve">Description (optional)</t>
  </si>
  <si>
    <t xml:space="preserve">med</t>
  </si>
  <si>
    <t xml:space="preserve">Medicine &amp; Health</t>
  </si>
  <si>
    <t xml:space="preserve">eng</t>
  </si>
  <si>
    <t xml:space="preserve">Engineering</t>
  </si>
  <si>
    <t xml:space="preserve">cs</t>
  </si>
  <si>
    <t xml:space="preserve">Computer Science &amp; IT</t>
  </si>
  <si>
    <t xml:space="preserve">biz</t>
  </si>
  <si>
    <t xml:space="preserve">Business &amp; Finance</t>
  </si>
  <si>
    <t xml:space="preserve">design</t>
  </si>
  <si>
    <t xml:space="preserve">Design &amp; Creative Arts</t>
  </si>
  <si>
    <t xml:space="preserve">law</t>
  </si>
  <si>
    <t xml:space="preserve">Law</t>
  </si>
  <si>
    <t xml:space="preserve">edu</t>
  </si>
  <si>
    <t xml:space="preserve">Education</t>
  </si>
  <si>
    <t xml:space="preserve">sci</t>
  </si>
  <si>
    <t xml:space="preserve">Science</t>
  </si>
  <si>
    <t xml:space="preserve">hosp</t>
  </si>
  <si>
    <t xml:space="preserve">Hospitality &amp; Tourism</t>
  </si>
  <si>
    <t xml:space="preserve">comm</t>
  </si>
  <si>
    <t xml:space="preserve">Communication &amp; Media</t>
  </si>
  <si>
    <t xml:space="preserve">University ID</t>
  </si>
  <si>
    <t xml:space="preserve">Name</t>
  </si>
  <si>
    <t xml:space="preserve">City / State</t>
  </si>
  <si>
    <t xml:space="preserve">Fields offered (Field IDs, comma separated)</t>
  </si>
  <si>
    <t xml:space="preserve">Hostel / accommodation</t>
  </si>
  <si>
    <t xml:space="preserve">Hostel rent (RM / month, shared room)</t>
  </si>
  <si>
    <t xml:space="preserve">Website</t>
  </si>
  <si>
    <t xml:space="preserve">Admissions contact</t>
  </si>
  <si>
    <t xml:space="preserve">Phone / email</t>
  </si>
  <si>
    <t xml:space="preserve">Notes</t>
  </si>
  <si>
    <t xml:space="preserve">a</t>
  </si>
  <si>
    <t xml:space="preserve">Sample University A</t>
  </si>
  <si>
    <t xml:space="preserve">Kuala Lumpur</t>
  </si>
  <si>
    <t xml:space="preserve">med, sci, biz</t>
  </si>
  <si>
    <t xml:space="preserve">On-campus hostel</t>
  </si>
  <si>
    <t xml:space="preserve">b</t>
  </si>
  <si>
    <t xml:space="preserve">Sample University B</t>
  </si>
  <si>
    <t xml:space="preserve">Penang</t>
  </si>
  <si>
    <t xml:space="preserve">eng, cs, sci</t>
  </si>
  <si>
    <t xml:space="preserve">c</t>
  </si>
  <si>
    <t xml:space="preserve">Sample College C</t>
  </si>
  <si>
    <t xml:space="preserve">Johor Bahru</t>
  </si>
  <si>
    <t xml:space="preserve">biz, hosp, comm</t>
  </si>
  <si>
    <t xml:space="preserve">Partner hostel, 10 minutes by shuttle</t>
  </si>
  <si>
    <t xml:space="preserve">d</t>
  </si>
  <si>
    <t xml:space="preserve">Sample University D</t>
  </si>
  <si>
    <t xml:space="preserve">Selangor</t>
  </si>
  <si>
    <t xml:space="preserve">design, comm, cs</t>
  </si>
  <si>
    <t xml:space="preserve">e</t>
  </si>
  <si>
    <t xml:space="preserve">Sample College E</t>
  </si>
  <si>
    <t xml:space="preserve">Kuching</t>
  </si>
  <si>
    <t xml:space="preserve">edu, biz, hosp</t>
  </si>
  <si>
    <t xml:space="preserve">f</t>
  </si>
  <si>
    <t xml:space="preserve">Sample University F</t>
  </si>
  <si>
    <t xml:space="preserve">law, biz, edu</t>
  </si>
  <si>
    <t xml:space="preserve">No hostel. Eduplan helps find a rented room nearby</t>
  </si>
  <si>
    <t xml:space="preserve">Scholarship ID</t>
  </si>
  <si>
    <t xml:space="preserve">Scholarship name</t>
  </si>
  <si>
    <t xml:space="preserve">University name</t>
  </si>
  <si>
    <t xml:space="preserve">Type</t>
  </si>
  <si>
    <t xml:space="preserve">Tuition covered (%)</t>
  </si>
  <si>
    <t xml:space="preserve">Minimum grade (A/B/C)</t>
  </si>
  <si>
    <t xml:space="preserve">Income groups allowed (blank = any)</t>
  </si>
  <si>
    <t xml:space="preserve">Fields allowed (Field IDs, blank = any)</t>
  </si>
  <si>
    <t xml:space="preserve">Needs sports / co-curricular?</t>
  </si>
  <si>
    <t xml:space="preserve">Other requirements</t>
  </si>
  <si>
    <t xml:space="preserve">Application deadline</t>
  </si>
  <si>
    <t xml:space="preserve">How to apply (link)</t>
  </si>
  <si>
    <t xml:space="preserve">Bond / conditions</t>
  </si>
  <si>
    <t xml:space="preserve">Fields covered (auto: fields allowed, or else the fields its university offers)</t>
  </si>
  <si>
    <t xml:space="preserve">S1</t>
  </si>
  <si>
    <t xml:space="preserve">Merit Scholarship</t>
  </si>
  <si>
    <t xml:space="preserve">Merit</t>
  </si>
  <si>
    <t xml:space="preserve">A</t>
  </si>
  <si>
    <t xml:space="preserve">No</t>
  </si>
  <si>
    <t xml:space="preserve">S2</t>
  </si>
  <si>
    <t xml:space="preserve">High Achiever Award</t>
  </si>
  <si>
    <t xml:space="preserve">S3</t>
  </si>
  <si>
    <t xml:space="preserve">Bursary for B40 Families</t>
  </si>
  <si>
    <t xml:space="preserve">Need-based</t>
  </si>
  <si>
    <t xml:space="preserve">C</t>
  </si>
  <si>
    <t xml:space="preserve">B40</t>
  </si>
  <si>
    <t xml:space="preserve">S4</t>
  </si>
  <si>
    <t xml:space="preserve">Need-based Grant</t>
  </si>
  <si>
    <t xml:space="preserve">B</t>
  </si>
  <si>
    <t xml:space="preserve">B40, M40</t>
  </si>
  <si>
    <t xml:space="preserve">S5</t>
  </si>
  <si>
    <t xml:space="preserve">Engineering Talent Scholarship</t>
  </si>
  <si>
    <t xml:space="preserve">Field-specific</t>
  </si>
  <si>
    <t xml:space="preserve">S6</t>
  </si>
  <si>
    <t xml:space="preserve">Future Teachers Award</t>
  </si>
  <si>
    <t xml:space="preserve">S7</t>
  </si>
  <si>
    <t xml:space="preserve">Sports and Co-curricular Award</t>
  </si>
  <si>
    <t xml:space="preserve">Sports &amp; co-curricular</t>
  </si>
  <si>
    <t xml:space="preserve">Yes</t>
  </si>
  <si>
    <t xml:space="preserve">S8</t>
  </si>
  <si>
    <t xml:space="preserve">Early Bird Tuition Waiver</t>
  </si>
  <si>
    <t xml:space="preserve">Tuition waiver</t>
  </si>
  <si>
    <t xml:space="preserve">Student ID</t>
  </si>
  <si>
    <t xml:space="preserve">Date enquired</t>
  </si>
  <si>
    <t xml:space="preserve">Full name</t>
  </si>
  <si>
    <t xml:space="preserve">Phone / WhatsApp</t>
  </si>
  <si>
    <t xml:space="preserve">Email</t>
  </si>
  <si>
    <t xml:space="preserve">Latest qualification</t>
  </si>
  <si>
    <t xml:space="preserve">School / state</t>
  </si>
  <si>
    <t xml:space="preserve">How they found us</t>
  </si>
  <si>
    <t xml:space="preserve">Average grade (A/B/C)</t>
  </si>
  <si>
    <t xml:space="preserve">Household income group</t>
  </si>
  <si>
    <t xml:space="preserve">Field wanted (Field ID)</t>
  </si>
  <si>
    <t xml:space="preserve">Sports / co-curricular rep?</t>
  </si>
  <si>
    <t xml:space="preserve">Number of matching scholarships</t>
  </si>
  <si>
    <t xml:space="preserve">Best coverage available</t>
  </si>
  <si>
    <t xml:space="preserve">Scholarships shortlisted</t>
  </si>
  <si>
    <t xml:space="preserve">Counsellor</t>
  </si>
  <si>
    <t xml:space="preserve">Status</t>
  </si>
  <si>
    <t xml:space="preserve">Next follow-up date</t>
  </si>
  <si>
    <t xml:space="preserve">Consultation date</t>
  </si>
  <si>
    <t xml:space="preserve">Final course</t>
  </si>
  <si>
    <t xml:space="preserve">Final university</t>
  </si>
  <si>
    <t xml:space="preserve">ST-001</t>
  </si>
  <si>
    <t xml:space="preserve">Nur Aisyah binti Ahmad</t>
  </si>
  <si>
    <t xml:space="preserve">012-345 6789</t>
  </si>
  <si>
    <t xml:space="preserve">aisyah@example.com</t>
  </si>
  <si>
    <t xml:space="preserve">SPM</t>
  </si>
  <si>
    <t xml:space="preserve">SMK Example, Selangor</t>
  </si>
  <si>
    <t xml:space="preserve">Mei Ling</t>
  </si>
  <si>
    <t xml:space="preserve">Contacted</t>
  </si>
  <si>
    <t xml:space="preserve">Interest ID</t>
  </si>
  <si>
    <t xml:space="preserve">Interest (as students see it)</t>
  </si>
  <si>
    <t xml:space="preserve">help</t>
  </si>
  <si>
    <t xml:space="preserve">Helping people</t>
  </si>
  <si>
    <t xml:space="preserve">build</t>
  </si>
  <si>
    <t xml:space="preserve">Building and fixing things</t>
  </si>
  <si>
    <t xml:space="preserve">computers</t>
  </si>
  <si>
    <t xml:space="preserve">Computers and coding</t>
  </si>
  <si>
    <t xml:space="preserve">numbers</t>
  </si>
  <si>
    <t xml:space="preserve">Numbers and money</t>
  </si>
  <si>
    <t xml:space="preserve">Drawing and design</t>
  </si>
  <si>
    <t xml:space="preserve">argue</t>
  </si>
  <si>
    <t xml:space="preserve">Debating and arguing a case</t>
  </si>
  <si>
    <t xml:space="preserve">teach</t>
  </si>
  <si>
    <t xml:space="preserve">Teaching and explaining</t>
  </si>
  <si>
    <t xml:space="preserve">experiments</t>
  </si>
  <si>
    <t xml:space="preserve">Experiments and discovery</t>
  </si>
  <si>
    <t xml:space="preserve">travel</t>
  </si>
  <si>
    <t xml:space="preserve">Food, travel and hosting</t>
  </si>
  <si>
    <t xml:space="preserve">lead</t>
  </si>
  <si>
    <t xml:space="preserve">Leading and organising</t>
  </si>
  <si>
    <t xml:space="preserve">write</t>
  </si>
  <si>
    <t xml:space="preserve">Writing and storytelling</t>
  </si>
  <si>
    <t xml:space="preserve">Course ID</t>
  </si>
  <si>
    <t xml:space="preserve">Course name</t>
  </si>
  <si>
    <t xml:space="preserve">Level</t>
  </si>
  <si>
    <t xml:space="preserve">Duration (years)</t>
  </si>
  <si>
    <t xml:space="preserve">Interest 1</t>
  </si>
  <si>
    <t xml:space="preserve">Interest 2</t>
  </si>
  <si>
    <t xml:space="preserve">Interest 3</t>
  </si>
  <si>
    <t xml:space="preserve">Offered at (University IDs, comma separated)</t>
  </si>
  <si>
    <t xml:space="preserve">Intakes</t>
  </si>
  <si>
    <t xml:space="preserve">Entry requirements</t>
  </si>
  <si>
    <t xml:space="preserve">Tuition fee (RM, whole course)</t>
  </si>
  <si>
    <t xml:space="preserve">C01</t>
  </si>
  <si>
    <t xml:space="preserve">Bachelor of Medicine and Surgery (MBBS)</t>
  </si>
  <si>
    <t xml:space="preserve">Degree</t>
  </si>
  <si>
    <t xml:space="preserve">C02</t>
  </si>
  <si>
    <t xml:space="preserve">Diploma in Nursing</t>
  </si>
  <si>
    <t xml:space="preserve">Diploma</t>
  </si>
  <si>
    <t xml:space="preserve">C03</t>
  </si>
  <si>
    <t xml:space="preserve">Bachelor of Pharmacy</t>
  </si>
  <si>
    <t xml:space="preserve">C04</t>
  </si>
  <si>
    <t xml:space="preserve">Bachelor of Civil Engineering</t>
  </si>
  <si>
    <t xml:space="preserve">C05</t>
  </si>
  <si>
    <t xml:space="preserve">Diploma in Mechanical Engineering</t>
  </si>
  <si>
    <t xml:space="preserve">C06</t>
  </si>
  <si>
    <t xml:space="preserve">Bachelor of Computer Science</t>
  </si>
  <si>
    <t xml:space="preserve">b, d</t>
  </si>
  <si>
    <t xml:space="preserve">C07</t>
  </si>
  <si>
    <t xml:space="preserve">Diploma in Information Technology</t>
  </si>
  <si>
    <t xml:space="preserve">C08</t>
  </si>
  <si>
    <t xml:space="preserve">Bachelor of Accounting</t>
  </si>
  <si>
    <t xml:space="preserve">a, c, e, f</t>
  </si>
  <si>
    <t xml:space="preserve">C09</t>
  </si>
  <si>
    <t xml:space="preserve">Diploma in Business Administration</t>
  </si>
  <si>
    <t xml:space="preserve">C10</t>
  </si>
  <si>
    <t xml:space="preserve">Bachelor of Graphic Design</t>
  </si>
  <si>
    <t xml:space="preserve">C11</t>
  </si>
  <si>
    <t xml:space="preserve">Diploma in Interior Design</t>
  </si>
  <si>
    <t xml:space="preserve">C12</t>
  </si>
  <si>
    <t xml:space="preserve">Bachelor of Laws (LLB)</t>
  </si>
  <si>
    <t xml:space="preserve">C13</t>
  </si>
  <si>
    <t xml:space="preserve">Bachelor of Education (TESL)</t>
  </si>
  <si>
    <t xml:space="preserve">e, f</t>
  </si>
  <si>
    <t xml:space="preserve">C14</t>
  </si>
  <si>
    <t xml:space="preserve">Diploma in Early Childhood Education</t>
  </si>
  <si>
    <t xml:space="preserve">C15</t>
  </si>
  <si>
    <t xml:space="preserve">Bachelor of Biotechnology</t>
  </si>
  <si>
    <t xml:space="preserve">a, b</t>
  </si>
  <si>
    <t xml:space="preserve">C16</t>
  </si>
  <si>
    <t xml:space="preserve">Diploma in Hotel Management</t>
  </si>
  <si>
    <t xml:space="preserve">c, e</t>
  </si>
  <si>
    <t xml:space="preserve">C17</t>
  </si>
  <si>
    <t xml:space="preserve">Bachelor of Culinary Arts</t>
  </si>
  <si>
    <t xml:space="preserve">C18</t>
  </si>
  <si>
    <t xml:space="preserve">Bachelor of Mass Communication</t>
  </si>
  <si>
    <t xml:space="preserve">c, d</t>
  </si>
  <si>
    <t xml:space="preserve">Level preference</t>
  </si>
  <si>
    <t xml:space="preserve">Matching courses</t>
  </si>
  <si>
    <t xml:space="preserve">Shortlisted course ID</t>
  </si>
  <si>
    <t xml:space="preserve">ST-002</t>
  </si>
  <si>
    <t xml:space="preserve">Daniel Tan Wei Jie</t>
  </si>
  <si>
    <t xml:space="preserve">011-2233 4455</t>
  </si>
  <si>
    <t xml:space="preserve">daniel@example.com</t>
  </si>
  <si>
    <t xml:space="preserve">SMK Example, Penang</t>
  </si>
  <si>
    <t xml:space="preserve">School talk</t>
  </si>
  <si>
    <t xml:space="preserve">Consultation booked</t>
  </si>
  <si>
    <t xml:space="preserve">Question no.</t>
  </si>
  <si>
    <t xml:space="preserve">Question</t>
  </si>
  <si>
    <t xml:space="preserve">Answer option</t>
  </si>
  <si>
    <t xml:space="preserve">Answer text</t>
  </si>
  <si>
    <t xml:space="preserve">Points: med</t>
  </si>
  <si>
    <t xml:space="preserve">Points: eng</t>
  </si>
  <si>
    <t xml:space="preserve">Points: cs</t>
  </si>
  <si>
    <t xml:space="preserve">Points: biz</t>
  </si>
  <si>
    <t xml:space="preserve">Points: design</t>
  </si>
  <si>
    <t xml:space="preserve">Points: law</t>
  </si>
  <si>
    <t xml:space="preserve">Points: edu</t>
  </si>
  <si>
    <t xml:space="preserve">Points: sci</t>
  </si>
  <si>
    <t xml:space="preserve">Points: hosp</t>
  </si>
  <si>
    <t xml:space="preserve">Points: comm</t>
  </si>
  <si>
    <t xml:space="preserve">Level it suggests (Q5 only)</t>
  </si>
  <si>
    <t xml:space="preserve">Q1</t>
  </si>
  <si>
    <t xml:space="preserve">Which school subjects do you enjoy most?</t>
  </si>
  <si>
    <t xml:space="preserve">Biology and Chemistry</t>
  </si>
  <si>
    <t xml:space="preserve">Maths and Physics</t>
  </si>
  <si>
    <t xml:space="preserve">Accounts and Economics</t>
  </si>
  <si>
    <t xml:space="preserve">D</t>
  </si>
  <si>
    <t xml:space="preserve">Art and Design</t>
  </si>
  <si>
    <t xml:space="preserve">E</t>
  </si>
  <si>
    <t xml:space="preserve">Languages and History</t>
  </si>
  <si>
    <t xml:space="preserve">Q2</t>
  </si>
  <si>
    <t xml:space="preserve">On a free weekend, what would you rather do?</t>
  </si>
  <si>
    <t xml:space="preserve">Fix or build something</t>
  </si>
  <si>
    <t xml:space="preserve">Make a video or a poster</t>
  </si>
  <si>
    <t xml:space="preserve">Help out at a clinic or care home</t>
  </si>
  <si>
    <t xml:space="preserve">Run a small stall or sell something</t>
  </si>
  <si>
    <t xml:space="preserve">Solve puzzles or write code</t>
  </si>
  <si>
    <t xml:space="preserve">Q3</t>
  </si>
  <si>
    <t xml:space="preserve">How do you like to work?</t>
  </si>
  <si>
    <t xml:space="preserve">With people, face to face</t>
  </si>
  <si>
    <t xml:space="preserve">With data and numbers</t>
  </si>
  <si>
    <t xml:space="preserve">With my hands and tools</t>
  </si>
  <si>
    <t xml:space="preserve">With words and arguments</t>
  </si>
  <si>
    <t xml:space="preserve">Q4</t>
  </si>
  <si>
    <t xml:space="preserve">What matters most to you in a future job?</t>
  </si>
  <si>
    <t xml:space="preserve">A stable income</t>
  </si>
  <si>
    <t xml:space="preserve">Helping other people</t>
  </si>
  <si>
    <t xml:space="preserve">Being creative</t>
  </si>
  <si>
    <t xml:space="preserve">Solving hard problems</t>
  </si>
  <si>
    <t xml:space="preserve">Q5</t>
  </si>
  <si>
    <t xml:space="preserve">How long are you ready to study before you start working?</t>
  </si>
  <si>
    <t xml:space="preserve">About 2 years</t>
  </si>
  <si>
    <t xml:space="preserve">3 to 4 years</t>
  </si>
  <si>
    <t xml:space="preserve">5 years or more</t>
  </si>
  <si>
    <t xml:space="preserve">Degree (long)</t>
  </si>
  <si>
    <t xml:space="preserve">I am not sure yet</t>
  </si>
  <si>
    <t xml:space="preserve">How scoring works: each answer adds its points to the fields shown. The two fields with the most points are suggested. Q5 sets the preferred level instead of giving points.</t>
  </si>
  <si>
    <t xml:space="preserve">Q1 answer</t>
  </si>
  <si>
    <t xml:space="preserve">Q2 answer</t>
  </si>
  <si>
    <t xml:space="preserve">Q3 answer</t>
  </si>
  <si>
    <t xml:space="preserve">Q4 answer</t>
  </si>
  <si>
    <t xml:space="preserve">Q5 answer</t>
  </si>
  <si>
    <t xml:space="preserve">Score: med</t>
  </si>
  <si>
    <t xml:space="preserve">Score: eng</t>
  </si>
  <si>
    <t xml:space="preserve">Score: cs</t>
  </si>
  <si>
    <t xml:space="preserve">Score: biz</t>
  </si>
  <si>
    <t xml:space="preserve">Score: design</t>
  </si>
  <si>
    <t xml:space="preserve">Score: law</t>
  </si>
  <si>
    <t xml:space="preserve">Score: edu</t>
  </si>
  <si>
    <t xml:space="preserve">Score: sci</t>
  </si>
  <si>
    <t xml:space="preserve">Score: hosp</t>
  </si>
  <si>
    <t xml:space="preserve">Score: comm</t>
  </si>
  <si>
    <t xml:space="preserve">Top field</t>
  </si>
  <si>
    <t xml:space="preserve">Second field</t>
  </si>
  <si>
    <t xml:space="preserve">Preferred level</t>
  </si>
  <si>
    <t xml:space="preserve">ST-003</t>
  </si>
  <si>
    <t xml:space="preserve">Priya a/p Raman</t>
  </si>
  <si>
    <t xml:space="preserve">013-987 6543</t>
  </si>
  <si>
    <t xml:space="preserve">SMK Example, Johor</t>
  </si>
  <si>
    <t xml:space="preserve">WhatsApp</t>
  </si>
  <si>
    <t xml:space="preserve">Ahmad</t>
  </si>
  <si>
    <t xml:space="preserve">New</t>
  </si>
  <si>
    <t xml:space="preserve">Grade</t>
  </si>
  <si>
    <t xml:space="preserve">Income group</t>
  </si>
  <si>
    <t xml:space="preserve">Yes/No</t>
  </si>
  <si>
    <t xml:space="preserve">Qualification</t>
  </si>
  <si>
    <t xml:space="preserve">Source</t>
  </si>
  <si>
    <t xml:space="preserve">Scholarship type</t>
  </si>
  <si>
    <t xml:space="preserve">Diploma or degree</t>
  </si>
  <si>
    <t xml:space="preserve">M40</t>
  </si>
  <si>
    <t xml:space="preserve">UEC</t>
  </si>
  <si>
    <t xml:space="preserve">T20</t>
  </si>
  <si>
    <t xml:space="preserve">STPM</t>
  </si>
  <si>
    <t xml:space="preserve">Applying</t>
  </si>
  <si>
    <t xml:space="preserve">A-Level</t>
  </si>
  <si>
    <t xml:space="preserve">Education fair</t>
  </si>
  <si>
    <t xml:space="preserve">Offer received</t>
  </si>
  <si>
    <t xml:space="preserve">Foundation or Matriculation</t>
  </si>
  <si>
    <t xml:space="preserve">Referral</t>
  </si>
  <si>
    <t xml:space="preserve">Registered</t>
  </si>
  <si>
    <t xml:space="preserve">Social media</t>
  </si>
  <si>
    <t xml:space="preserve">Not proceeding</t>
  </si>
  <si>
    <t xml:space="preserve">Other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</si>
</sst>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M &quot;#,##0"/>
    <numFmt numFmtId="166" formatCode="0%"/>
    <numFmt numFmtId="167" formatCode="dd\ mmm\ 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11418"/>
      <name val="Arial"/>
      <family val="0"/>
      <charset val="1"/>
    </font>
    <font>
      <b val="true"/>
      <sz val="10"/>
      <color rgb="FF111418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0A6EA8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  <font>
      <i val="true"/>
      <sz val="11"/>
      <color rgb="FF58616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EEF2F5"/>
        <bgColor rgb="FFFFF9DB"/>
      </patternFill>
    </fill>
    <fill>
      <patternFill patternType="solid">
        <fgColor rgb="FF0A6EA8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A6EA8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2F5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EEF2F5"/>
      <rgbColor rgb="FF660066"/>
      <rgbColor rgb="FFFF8080"/>
      <rgbColor rgb="FF0A6EA8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8616C"/>
      <rgbColor rgb="FF969696"/>
      <rgbColor rgb="FF003366"/>
      <rgbColor rgb="FF339966"/>
      <rgbColor rgb="FF11141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2" t="s">
        <v>4</v>
      </c>
      <c r="B6" s="3" t="s">
        <v>5</v>
      </c>
    </row>
    <row r="7" customFormat="false" ht="15" hidden="false" customHeight="false" outlineLevel="0" collapsed="false">
      <c r="A7" s="2" t="s">
        <v>6</v>
      </c>
      <c r="B7" s="3" t="s">
        <v>7</v>
      </c>
    </row>
    <row r="8" customFormat="false" ht="15" hidden="false" customHeight="false" outlineLevel="0" collapsed="false">
      <c r="A8" s="2" t="s">
        <v>8</v>
      </c>
      <c r="B8" s="3" t="s">
        <v>9</v>
      </c>
    </row>
    <row r="9" customFormat="false" ht="26.85" hidden="false" customHeight="false" outlineLevel="0" collapsed="false">
      <c r="A9" s="2" t="s">
        <v>10</v>
      </c>
      <c r="B9" s="3" t="s">
        <v>11</v>
      </c>
    </row>
    <row r="10" customFormat="false" ht="15" hidden="false" customHeight="false" outlineLevel="0" collapsed="false">
      <c r="A10" s="2" t="s">
        <v>12</v>
      </c>
      <c r="B10" s="3" t="s">
        <v>13</v>
      </c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26.85" hidden="false" customHeight="false" outlineLevel="0" collapsed="false">
      <c r="A12" s="2" t="s">
        <v>16</v>
      </c>
      <c r="B12" s="3" t="s">
        <v>17</v>
      </c>
    </row>
    <row r="13" customFormat="false" ht="26.85" hidden="false" customHeight="false" outlineLevel="0" collapsed="false">
      <c r="A13" s="2" t="s">
        <v>18</v>
      </c>
      <c r="B13" s="3" t="s">
        <v>19</v>
      </c>
    </row>
    <row r="14" customFormat="false" ht="26.85" hidden="false" customHeight="false" outlineLevel="0" collapsed="false">
      <c r="A14" s="2" t="s">
        <v>20</v>
      </c>
      <c r="B14" s="3" t="s">
        <v>21</v>
      </c>
    </row>
    <row r="15" customFormat="false" ht="15" hidden="false" customHeight="false" outlineLevel="0" collapsed="false">
      <c r="A15" s="2" t="s">
        <v>22</v>
      </c>
      <c r="B15" s="3" t="s">
        <v>23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4" t="s">
        <v>24</v>
      </c>
    </row>
    <row r="18" customFormat="false" ht="15" hidden="false" customHeight="false" outlineLevel="0" collapsed="false">
      <c r="A18" s="5" t="s">
        <v>25</v>
      </c>
      <c r="B18" s="3" t="s">
        <v>26</v>
      </c>
    </row>
    <row r="19" customFormat="false" ht="15" hidden="false" customHeight="false" outlineLevel="0" collapsed="false">
      <c r="A19" s="6" t="s">
        <v>27</v>
      </c>
      <c r="B19" s="3" t="s">
        <v>28</v>
      </c>
    </row>
    <row r="20" customFormat="false" ht="15" hidden="false" customHeight="false" outlineLevel="0" collapsed="false">
      <c r="A20" s="7" t="s">
        <v>29</v>
      </c>
      <c r="B20" s="3" t="s">
        <v>30</v>
      </c>
    </row>
    <row r="21" customFormat="false" ht="15" hidden="false" customHeight="false" outlineLevel="0" collapsed="false">
      <c r="A21" s="2" t="s">
        <v>31</v>
      </c>
      <c r="B21" s="3" t="s">
        <v>32</v>
      </c>
    </row>
    <row r="22" customFormat="false" ht="15" hidden="false" customHeight="false" outlineLevel="0" collapsed="false">
      <c r="A22" s="2"/>
    </row>
    <row r="23" customFormat="false" ht="26.85" hidden="false" customHeight="false" outlineLevel="0" collapsed="false">
      <c r="A23" s="2" t="s">
        <v>33</v>
      </c>
      <c r="B23" s="3" t="s">
        <v>34</v>
      </c>
    </row>
    <row r="24" customFormat="false" ht="26.85" hidden="false" customHeight="false" outlineLevel="0" collapsed="false">
      <c r="A24" s="2" t="s">
        <v>35</v>
      </c>
      <c r="B24" s="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60"/>
  </cols>
  <sheetData>
    <row r="1" customFormat="false" ht="31.5" hidden="false" customHeight="true" outlineLevel="0" collapsed="false">
      <c r="A1" s="8" t="s">
        <v>37</v>
      </c>
      <c r="B1" s="8" t="s">
        <v>38</v>
      </c>
      <c r="C1" s="8" t="s">
        <v>39</v>
      </c>
    </row>
    <row r="2" customFormat="false" ht="15" hidden="false" customHeight="false" outlineLevel="0" collapsed="false">
      <c r="A2" s="9" t="s">
        <v>40</v>
      </c>
      <c r="B2" s="9" t="s">
        <v>41</v>
      </c>
      <c r="C2" s="9"/>
    </row>
    <row r="3" customFormat="false" ht="15" hidden="false" customHeight="false" outlineLevel="0" collapsed="false">
      <c r="A3" s="9" t="s">
        <v>42</v>
      </c>
      <c r="B3" s="9" t="s">
        <v>43</v>
      </c>
      <c r="C3" s="9"/>
    </row>
    <row r="4" customFormat="false" ht="15" hidden="false" customHeight="false" outlineLevel="0" collapsed="false">
      <c r="A4" s="9" t="s">
        <v>44</v>
      </c>
      <c r="B4" s="9" t="s">
        <v>45</v>
      </c>
      <c r="C4" s="9"/>
    </row>
    <row r="5" customFormat="false" ht="15" hidden="false" customHeight="false" outlineLevel="0" collapsed="false">
      <c r="A5" s="9" t="s">
        <v>46</v>
      </c>
      <c r="B5" s="9" t="s">
        <v>47</v>
      </c>
      <c r="C5" s="9"/>
    </row>
    <row r="6" customFormat="false" ht="15" hidden="false" customHeight="false" outlineLevel="0" collapsed="false">
      <c r="A6" s="9" t="s">
        <v>48</v>
      </c>
      <c r="B6" s="9" t="s">
        <v>49</v>
      </c>
      <c r="C6" s="9"/>
    </row>
    <row r="7" customFormat="false" ht="15" hidden="false" customHeight="false" outlineLevel="0" collapsed="false">
      <c r="A7" s="9" t="s">
        <v>50</v>
      </c>
      <c r="B7" s="9" t="s">
        <v>51</v>
      </c>
      <c r="C7" s="9"/>
    </row>
    <row r="8" customFormat="false" ht="15" hidden="false" customHeight="false" outlineLevel="0" collapsed="false">
      <c r="A8" s="9" t="s">
        <v>52</v>
      </c>
      <c r="B8" s="9" t="s">
        <v>53</v>
      </c>
      <c r="C8" s="9"/>
    </row>
    <row r="9" customFormat="false" ht="15" hidden="false" customHeight="false" outlineLevel="0" collapsed="false">
      <c r="A9" s="9" t="s">
        <v>54</v>
      </c>
      <c r="B9" s="9" t="s">
        <v>55</v>
      </c>
      <c r="C9" s="9"/>
    </row>
    <row r="10" customFormat="false" ht="15" hidden="false" customHeight="false" outlineLevel="0" collapsed="false">
      <c r="A10" s="9" t="s">
        <v>56</v>
      </c>
      <c r="B10" s="9" t="s">
        <v>57</v>
      </c>
      <c r="C10" s="9"/>
    </row>
    <row r="11" customFormat="false" ht="15" hidden="false" customHeight="false" outlineLevel="0" collapsed="false">
      <c r="A11" s="9" t="s">
        <v>58</v>
      </c>
      <c r="B11" s="9" t="s">
        <v>59</v>
      </c>
      <c r="C1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9" min="8" style="0" width="22"/>
    <col collapsed="false" customWidth="true" hidden="false" outlineLevel="0" max="10" min="10" style="0" width="30"/>
  </cols>
  <sheetData>
    <row r="1" customFormat="false" ht="31.5" hidden="false" customHeight="true" outlineLevel="0" collapsed="false">
      <c r="A1" s="8" t="s">
        <v>60</v>
      </c>
      <c r="B1" s="8" t="s">
        <v>61</v>
      </c>
      <c r="C1" s="8" t="s">
        <v>62</v>
      </c>
      <c r="D1" s="8" t="s">
        <v>63</v>
      </c>
      <c r="E1" s="8" t="s">
        <v>64</v>
      </c>
      <c r="F1" s="8" t="s">
        <v>65</v>
      </c>
      <c r="G1" s="8" t="s">
        <v>66</v>
      </c>
      <c r="H1" s="8" t="s">
        <v>67</v>
      </c>
      <c r="I1" s="8" t="s">
        <v>68</v>
      </c>
      <c r="J1" s="8" t="s">
        <v>69</v>
      </c>
    </row>
    <row r="2" customFormat="false" ht="15" hidden="false" customHeight="false" outlineLevel="0" collapsed="false">
      <c r="A2" s="9" t="s">
        <v>70</v>
      </c>
      <c r="B2" s="9" t="s">
        <v>71</v>
      </c>
      <c r="C2" s="9" t="s">
        <v>72</v>
      </c>
      <c r="D2" s="9" t="s">
        <v>73</v>
      </c>
      <c r="E2" s="9" t="s">
        <v>74</v>
      </c>
      <c r="F2" s="10" t="n">
        <v>450</v>
      </c>
      <c r="G2" s="9"/>
      <c r="H2" s="9"/>
      <c r="I2" s="9"/>
      <c r="J2" s="9"/>
    </row>
    <row r="3" customFormat="false" ht="15" hidden="false" customHeight="false" outlineLevel="0" collapsed="false">
      <c r="A3" s="9" t="s">
        <v>75</v>
      </c>
      <c r="B3" s="9" t="s">
        <v>76</v>
      </c>
      <c r="C3" s="9" t="s">
        <v>77</v>
      </c>
      <c r="D3" s="9" t="s">
        <v>78</v>
      </c>
      <c r="E3" s="9" t="s">
        <v>74</v>
      </c>
      <c r="F3" s="10" t="n">
        <v>380</v>
      </c>
      <c r="G3" s="9"/>
      <c r="H3" s="9"/>
      <c r="I3" s="9"/>
      <c r="J3" s="9"/>
    </row>
    <row r="4" customFormat="false" ht="15" hidden="false" customHeight="false" outlineLevel="0" collapsed="false">
      <c r="A4" s="9" t="s">
        <v>79</v>
      </c>
      <c r="B4" s="9" t="s">
        <v>80</v>
      </c>
      <c r="C4" s="9" t="s">
        <v>81</v>
      </c>
      <c r="D4" s="9" t="s">
        <v>82</v>
      </c>
      <c r="E4" s="9" t="s">
        <v>83</v>
      </c>
      <c r="F4" s="10" t="n">
        <v>520</v>
      </c>
      <c r="G4" s="9"/>
      <c r="H4" s="9"/>
      <c r="I4" s="9"/>
      <c r="J4" s="9"/>
    </row>
    <row r="5" customFormat="false" ht="15" hidden="false" customHeight="false" outlineLevel="0" collapsed="false">
      <c r="A5" s="9" t="s">
        <v>84</v>
      </c>
      <c r="B5" s="9" t="s">
        <v>85</v>
      </c>
      <c r="C5" s="9" t="s">
        <v>86</v>
      </c>
      <c r="D5" s="9" t="s">
        <v>87</v>
      </c>
      <c r="E5" s="9" t="s">
        <v>74</v>
      </c>
      <c r="F5" s="10" t="n">
        <v>480</v>
      </c>
      <c r="G5" s="9"/>
      <c r="H5" s="9"/>
      <c r="I5" s="9"/>
      <c r="J5" s="9"/>
    </row>
    <row r="6" customFormat="false" ht="15" hidden="false" customHeight="false" outlineLevel="0" collapsed="false">
      <c r="A6" s="9" t="s">
        <v>88</v>
      </c>
      <c r="B6" s="9" t="s">
        <v>89</v>
      </c>
      <c r="C6" s="9" t="s">
        <v>90</v>
      </c>
      <c r="D6" s="9" t="s">
        <v>91</v>
      </c>
      <c r="E6" s="9" t="s">
        <v>74</v>
      </c>
      <c r="F6" s="10" t="n">
        <v>300</v>
      </c>
      <c r="G6" s="9"/>
      <c r="H6" s="9"/>
      <c r="I6" s="9"/>
      <c r="J6" s="9"/>
    </row>
    <row r="7" customFormat="false" ht="26.85" hidden="false" customHeight="false" outlineLevel="0" collapsed="false">
      <c r="A7" s="9" t="s">
        <v>92</v>
      </c>
      <c r="B7" s="9" t="s">
        <v>93</v>
      </c>
      <c r="C7" s="9" t="s">
        <v>72</v>
      </c>
      <c r="D7" s="9" t="s">
        <v>94</v>
      </c>
      <c r="E7" s="9" t="s">
        <v>95</v>
      </c>
      <c r="F7" s="10"/>
      <c r="G7" s="9"/>
      <c r="H7" s="9"/>
      <c r="I7" s="9"/>
      <c r="J7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7" min="6" style="0" width="12"/>
    <col collapsed="false" customWidth="true" hidden="false" outlineLevel="0" max="9" min="8" style="0" width="18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26"/>
    <col collapsed="false" customWidth="true" hidden="false" outlineLevel="0" max="14" min="14" style="0" width="20"/>
    <col collapsed="false" customWidth="true" hidden="false" outlineLevel="0" max="16" min="15" style="0" width="24"/>
  </cols>
  <sheetData>
    <row r="1" customFormat="false" ht="31.5" hidden="false" customHeight="true" outlineLevel="0" collapsed="false">
      <c r="A1" s="8" t="s">
        <v>96</v>
      </c>
      <c r="B1" s="8" t="s">
        <v>97</v>
      </c>
      <c r="C1" s="8" t="s">
        <v>60</v>
      </c>
      <c r="D1" s="8" t="s">
        <v>98</v>
      </c>
      <c r="E1" s="8" t="s">
        <v>99</v>
      </c>
      <c r="F1" s="8" t="s">
        <v>100</v>
      </c>
      <c r="G1" s="8" t="s">
        <v>101</v>
      </c>
      <c r="H1" s="8" t="s">
        <v>102</v>
      </c>
      <c r="I1" s="8" t="s">
        <v>103</v>
      </c>
      <c r="J1" s="8" t="s">
        <v>104</v>
      </c>
      <c r="K1" s="8" t="s">
        <v>105</v>
      </c>
      <c r="L1" s="8" t="s">
        <v>106</v>
      </c>
      <c r="M1" s="8" t="s">
        <v>107</v>
      </c>
      <c r="N1" s="8" t="s">
        <v>108</v>
      </c>
      <c r="O1" s="8" t="s">
        <v>69</v>
      </c>
      <c r="P1" s="8" t="s">
        <v>109</v>
      </c>
    </row>
    <row r="2" customFormat="false" ht="15" hidden="false" customHeight="false" outlineLevel="0" collapsed="false">
      <c r="A2" s="9" t="s">
        <v>110</v>
      </c>
      <c r="B2" s="9" t="s">
        <v>111</v>
      </c>
      <c r="C2" s="9" t="s">
        <v>70</v>
      </c>
      <c r="D2" s="11" t="str">
        <f aca="false">IF(C2="","",IFERROR(INDEX(Universities!$B$2:$B$100,MATCH(C2,Universities!$A$2:$A$100,0)),"Unknown ID"))</f>
        <v>Sample University A</v>
      </c>
      <c r="E2" s="9" t="s">
        <v>112</v>
      </c>
      <c r="F2" s="12" t="n">
        <v>1</v>
      </c>
      <c r="G2" s="9" t="s">
        <v>113</v>
      </c>
      <c r="H2" s="9"/>
      <c r="I2" s="9"/>
      <c r="J2" s="9" t="s">
        <v>114</v>
      </c>
      <c r="K2" s="9"/>
      <c r="L2" s="13"/>
      <c r="M2" s="9"/>
      <c r="N2" s="9"/>
      <c r="O2" s="9"/>
      <c r="P2" s="14" t="str">
        <f aca="false">IF(A2="","",IF(I2&lt;&gt;"",I2,IFERROR(INDEX(Universities!$D$2:$D$100,MATCH(C2,Universities!$A$2:$A$100,0)),"")))</f>
        <v>med, sci, biz</v>
      </c>
    </row>
    <row r="3" customFormat="false" ht="15" hidden="false" customHeight="false" outlineLevel="0" collapsed="false">
      <c r="A3" s="9" t="s">
        <v>115</v>
      </c>
      <c r="B3" s="9" t="s">
        <v>116</v>
      </c>
      <c r="C3" s="9" t="s">
        <v>75</v>
      </c>
      <c r="D3" s="11" t="str">
        <f aca="false">IF(C3="","",IFERROR(INDEX(Universities!$B$2:$B$100,MATCH(C3,Universities!$A$2:$A$100,0)),"Unknown ID"))</f>
        <v>Sample University B</v>
      </c>
      <c r="E3" s="9" t="s">
        <v>112</v>
      </c>
      <c r="F3" s="12" t="n">
        <v>0.5</v>
      </c>
      <c r="G3" s="9" t="s">
        <v>113</v>
      </c>
      <c r="H3" s="9"/>
      <c r="I3" s="9"/>
      <c r="J3" s="9" t="s">
        <v>114</v>
      </c>
      <c r="K3" s="9"/>
      <c r="L3" s="13"/>
      <c r="M3" s="9"/>
      <c r="N3" s="9"/>
      <c r="O3" s="9"/>
      <c r="P3" s="14" t="str">
        <f aca="false">IF(A3="","",IF(I3&lt;&gt;"",I3,IFERROR(INDEX(Universities!$D$2:$D$100,MATCH(C3,Universities!$A$2:$A$100,0)),"")))</f>
        <v>eng, cs, sci</v>
      </c>
    </row>
    <row r="4" customFormat="false" ht="15" hidden="false" customHeight="false" outlineLevel="0" collapsed="false">
      <c r="A4" s="9" t="s">
        <v>117</v>
      </c>
      <c r="B4" s="9" t="s">
        <v>118</v>
      </c>
      <c r="C4" s="9" t="s">
        <v>79</v>
      </c>
      <c r="D4" s="11" t="str">
        <f aca="false">IF(C4="","",IFERROR(INDEX(Universities!$B$2:$B$100,MATCH(C4,Universities!$A$2:$A$100,0)),"Unknown ID"))</f>
        <v>Sample College C</v>
      </c>
      <c r="E4" s="9" t="s">
        <v>119</v>
      </c>
      <c r="F4" s="12" t="n">
        <v>0.7</v>
      </c>
      <c r="G4" s="9" t="s">
        <v>120</v>
      </c>
      <c r="H4" s="9" t="s">
        <v>121</v>
      </c>
      <c r="I4" s="9"/>
      <c r="J4" s="9" t="s">
        <v>114</v>
      </c>
      <c r="K4" s="9"/>
      <c r="L4" s="13"/>
      <c r="M4" s="9"/>
      <c r="N4" s="9"/>
      <c r="O4" s="9"/>
      <c r="P4" s="14" t="str">
        <f aca="false">IF(A4="","",IF(I4&lt;&gt;"",I4,IFERROR(INDEX(Universities!$D$2:$D$100,MATCH(C4,Universities!$A$2:$A$100,0)),"")))</f>
        <v>biz, hosp, comm</v>
      </c>
    </row>
    <row r="5" customFormat="false" ht="15" hidden="false" customHeight="false" outlineLevel="0" collapsed="false">
      <c r="A5" s="9" t="s">
        <v>122</v>
      </c>
      <c r="B5" s="9" t="s">
        <v>123</v>
      </c>
      <c r="C5" s="9" t="s">
        <v>84</v>
      </c>
      <c r="D5" s="11" t="str">
        <f aca="false">IF(C5="","",IFERROR(INDEX(Universities!$B$2:$B$100,MATCH(C5,Universities!$A$2:$A$100,0)),"Unknown ID"))</f>
        <v>Sample University D</v>
      </c>
      <c r="E5" s="9" t="s">
        <v>119</v>
      </c>
      <c r="F5" s="12" t="n">
        <v>0.4</v>
      </c>
      <c r="G5" s="9" t="s">
        <v>124</v>
      </c>
      <c r="H5" s="9" t="s">
        <v>125</v>
      </c>
      <c r="I5" s="9"/>
      <c r="J5" s="9" t="s">
        <v>114</v>
      </c>
      <c r="K5" s="9"/>
      <c r="L5" s="13"/>
      <c r="M5" s="9"/>
      <c r="N5" s="9"/>
      <c r="O5" s="9"/>
      <c r="P5" s="14" t="str">
        <f aca="false">IF(A5="","",IF(I5&lt;&gt;"",I5,IFERROR(INDEX(Universities!$D$2:$D$100,MATCH(C5,Universities!$A$2:$A$100,0)),"")))</f>
        <v>design, comm, cs</v>
      </c>
    </row>
    <row r="6" customFormat="false" ht="15" hidden="false" customHeight="false" outlineLevel="0" collapsed="false">
      <c r="A6" s="9" t="s">
        <v>126</v>
      </c>
      <c r="B6" s="9" t="s">
        <v>127</v>
      </c>
      <c r="C6" s="9" t="s">
        <v>75</v>
      </c>
      <c r="D6" s="11" t="str">
        <f aca="false">IF(C6="","",IFERROR(INDEX(Universities!$B$2:$B$100,MATCH(C6,Universities!$A$2:$A$100,0)),"Unknown ID"))</f>
        <v>Sample University B</v>
      </c>
      <c r="E6" s="9" t="s">
        <v>128</v>
      </c>
      <c r="F6" s="12" t="n">
        <v>0.6</v>
      </c>
      <c r="G6" s="9" t="s">
        <v>124</v>
      </c>
      <c r="H6" s="9"/>
      <c r="I6" s="9" t="s">
        <v>42</v>
      </c>
      <c r="J6" s="9" t="s">
        <v>114</v>
      </c>
      <c r="K6" s="9"/>
      <c r="L6" s="13"/>
      <c r="M6" s="9"/>
      <c r="N6" s="9"/>
      <c r="O6" s="9"/>
      <c r="P6" s="14" t="str">
        <f aca="false">IF(A6="","",IF(I6&lt;&gt;"",I6,IFERROR(INDEX(Universities!$D$2:$D$100,MATCH(C6,Universities!$A$2:$A$100,0)),"")))</f>
        <v>eng</v>
      </c>
    </row>
    <row r="7" customFormat="false" ht="15" hidden="false" customHeight="false" outlineLevel="0" collapsed="false">
      <c r="A7" s="9" t="s">
        <v>129</v>
      </c>
      <c r="B7" s="9" t="s">
        <v>130</v>
      </c>
      <c r="C7" s="9" t="s">
        <v>88</v>
      </c>
      <c r="D7" s="11" t="str">
        <f aca="false">IF(C7="","",IFERROR(INDEX(Universities!$B$2:$B$100,MATCH(C7,Universities!$A$2:$A$100,0)),"Unknown ID"))</f>
        <v>Sample College E</v>
      </c>
      <c r="E7" s="9" t="s">
        <v>128</v>
      </c>
      <c r="F7" s="12" t="n">
        <v>0.5</v>
      </c>
      <c r="G7" s="9" t="s">
        <v>124</v>
      </c>
      <c r="H7" s="9"/>
      <c r="I7" s="9" t="s">
        <v>52</v>
      </c>
      <c r="J7" s="9" t="s">
        <v>114</v>
      </c>
      <c r="K7" s="9"/>
      <c r="L7" s="13"/>
      <c r="M7" s="9"/>
      <c r="N7" s="9"/>
      <c r="O7" s="9"/>
      <c r="P7" s="14" t="str">
        <f aca="false">IF(A7="","",IF(I7&lt;&gt;"",I7,IFERROR(INDEX(Universities!$D$2:$D$100,MATCH(C7,Universities!$A$2:$A$100,0)),"")))</f>
        <v>edu</v>
      </c>
    </row>
    <row r="8" customFormat="false" ht="26.85" hidden="false" customHeight="false" outlineLevel="0" collapsed="false">
      <c r="A8" s="9" t="s">
        <v>131</v>
      </c>
      <c r="B8" s="9" t="s">
        <v>132</v>
      </c>
      <c r="C8" s="9" t="s">
        <v>92</v>
      </c>
      <c r="D8" s="11" t="str">
        <f aca="false">IF(C8="","",IFERROR(INDEX(Universities!$B$2:$B$100,MATCH(C8,Universities!$A$2:$A$100,0)),"Unknown ID"))</f>
        <v>Sample University F</v>
      </c>
      <c r="E8" s="9" t="s">
        <v>133</v>
      </c>
      <c r="F8" s="12" t="n">
        <v>0.3</v>
      </c>
      <c r="G8" s="9" t="s">
        <v>120</v>
      </c>
      <c r="H8" s="9"/>
      <c r="I8" s="9"/>
      <c r="J8" s="9" t="s">
        <v>134</v>
      </c>
      <c r="K8" s="9"/>
      <c r="L8" s="13"/>
      <c r="M8" s="9"/>
      <c r="N8" s="9"/>
      <c r="O8" s="9"/>
      <c r="P8" s="14" t="str">
        <f aca="false">IF(A8="","",IF(I8&lt;&gt;"",I8,IFERROR(INDEX(Universities!$D$2:$D$100,MATCH(C8,Universities!$A$2:$A$100,0)),"")))</f>
        <v>law, biz, edu</v>
      </c>
    </row>
    <row r="9" customFormat="false" ht="15" hidden="false" customHeight="false" outlineLevel="0" collapsed="false">
      <c r="A9" s="9" t="s">
        <v>135</v>
      </c>
      <c r="B9" s="9" t="s">
        <v>136</v>
      </c>
      <c r="C9" s="9" t="s">
        <v>79</v>
      </c>
      <c r="D9" s="11" t="str">
        <f aca="false">IF(C9="","",IFERROR(INDEX(Universities!$B$2:$B$100,MATCH(C9,Universities!$A$2:$A$100,0)),"Unknown ID"))</f>
        <v>Sample College C</v>
      </c>
      <c r="E9" s="9" t="s">
        <v>137</v>
      </c>
      <c r="F9" s="12" t="n">
        <v>0.2</v>
      </c>
      <c r="G9" s="9" t="s">
        <v>120</v>
      </c>
      <c r="H9" s="9"/>
      <c r="I9" s="9"/>
      <c r="J9" s="9" t="s">
        <v>114</v>
      </c>
      <c r="K9" s="9"/>
      <c r="L9" s="13"/>
      <c r="M9" s="9"/>
      <c r="N9" s="9"/>
      <c r="O9" s="9"/>
      <c r="P9" s="14" t="str">
        <f aca="false">IF(A9="","",IF(I9&lt;&gt;"",I9,IFERROR(INDEX(Universities!$D$2:$D$100,MATCH(C9,Universities!$A$2:$A$100,0)),"")))</f>
        <v>biz, hosp, comm</v>
      </c>
    </row>
    <row r="10" customFormat="false" ht="15" hidden="false" customHeight="false" outlineLevel="0" collapsed="false">
      <c r="D10" s="14" t="str">
        <f aca="false">IF(C10="","",IFERROR(INDEX(Universities!$B$2:$B$100,MATCH(C10,Universities!$A$2:$A$100,0)),"Unknown ID"))</f>
        <v/>
      </c>
      <c r="F10" s="15"/>
      <c r="L10" s="16"/>
      <c r="P10" s="14" t="str">
        <f aca="false">IF(A10="","",IF(I10&lt;&gt;"",I10,IFERROR(INDEX(Universities!$D$2:$D$100,MATCH(C10,Universities!$A$2:$A$100,0)),"")))</f>
        <v/>
      </c>
    </row>
    <row r="11" customFormat="false" ht="15" hidden="false" customHeight="false" outlineLevel="0" collapsed="false">
      <c r="D11" s="14" t="str">
        <f aca="false">IF(C11="","",IFERROR(INDEX(Universities!$B$2:$B$100,MATCH(C11,Universities!$A$2:$A$100,0)),"Unknown ID"))</f>
        <v/>
      </c>
      <c r="F11" s="15"/>
      <c r="L11" s="16"/>
      <c r="P11" s="14" t="str">
        <f aca="false">IF(A11="","",IF(I11&lt;&gt;"",I11,IFERROR(INDEX(Universities!$D$2:$D$100,MATCH(C11,Universities!$A$2:$A$100,0)),"")))</f>
        <v/>
      </c>
    </row>
    <row r="12" customFormat="false" ht="15" hidden="false" customHeight="false" outlineLevel="0" collapsed="false">
      <c r="D12" s="14" t="str">
        <f aca="false">IF(C12="","",IFERROR(INDEX(Universities!$B$2:$B$100,MATCH(C12,Universities!$A$2:$A$100,0)),"Unknown ID"))</f>
        <v/>
      </c>
      <c r="F12" s="15"/>
      <c r="L12" s="16"/>
      <c r="P12" s="14" t="str">
        <f aca="false">IF(A12="","",IF(I12&lt;&gt;"",I12,IFERROR(INDEX(Universities!$D$2:$D$100,MATCH(C12,Universities!$A$2:$A$100,0)),"")))</f>
        <v/>
      </c>
    </row>
    <row r="13" customFormat="false" ht="15" hidden="false" customHeight="false" outlineLevel="0" collapsed="false">
      <c r="D13" s="14" t="str">
        <f aca="false">IF(C13="","",IFERROR(INDEX(Universities!$B$2:$B$100,MATCH(C13,Universities!$A$2:$A$100,0)),"Unknown ID"))</f>
        <v/>
      </c>
      <c r="F13" s="15"/>
      <c r="L13" s="16"/>
      <c r="P13" s="14" t="str">
        <f aca="false">IF(A13="","",IF(I13&lt;&gt;"",I13,IFERROR(INDEX(Universities!$D$2:$D$100,MATCH(C13,Universities!$A$2:$A$100,0)),"")))</f>
        <v/>
      </c>
    </row>
    <row r="14" customFormat="false" ht="15" hidden="false" customHeight="false" outlineLevel="0" collapsed="false">
      <c r="D14" s="14" t="str">
        <f aca="false">IF(C14="","",IFERROR(INDEX(Universities!$B$2:$B$100,MATCH(C14,Universities!$A$2:$A$100,0)),"Unknown ID"))</f>
        <v/>
      </c>
      <c r="F14" s="15"/>
      <c r="L14" s="16"/>
      <c r="P14" s="14" t="str">
        <f aca="false">IF(A14="","",IF(I14&lt;&gt;"",I14,IFERROR(INDEX(Universities!$D$2:$D$100,MATCH(C14,Universities!$A$2:$A$100,0)),"")))</f>
        <v/>
      </c>
    </row>
    <row r="15" customFormat="false" ht="15" hidden="false" customHeight="false" outlineLevel="0" collapsed="false">
      <c r="D15" s="14" t="str">
        <f aca="false">IF(C15="","",IFERROR(INDEX(Universities!$B$2:$B$100,MATCH(C15,Universities!$A$2:$A$100,0)),"Unknown ID"))</f>
        <v/>
      </c>
      <c r="F15" s="15"/>
      <c r="L15" s="16"/>
      <c r="P15" s="14" t="str">
        <f aca="false">IF(A15="","",IF(I15&lt;&gt;"",I15,IFERROR(INDEX(Universities!$D$2:$D$100,MATCH(C15,Universities!$A$2:$A$100,0)),"")))</f>
        <v/>
      </c>
    </row>
    <row r="16" customFormat="false" ht="15" hidden="false" customHeight="false" outlineLevel="0" collapsed="false">
      <c r="D16" s="14" t="str">
        <f aca="false">IF(C16="","",IFERROR(INDEX(Universities!$B$2:$B$100,MATCH(C16,Universities!$A$2:$A$100,0)),"Unknown ID"))</f>
        <v/>
      </c>
      <c r="F16" s="15"/>
      <c r="L16" s="16"/>
      <c r="P16" s="14" t="str">
        <f aca="false">IF(A16="","",IF(I16&lt;&gt;"",I16,IFERROR(INDEX(Universities!$D$2:$D$100,MATCH(C16,Universities!$A$2:$A$100,0)),"")))</f>
        <v/>
      </c>
    </row>
    <row r="17" customFormat="false" ht="15" hidden="false" customHeight="false" outlineLevel="0" collapsed="false">
      <c r="D17" s="14" t="str">
        <f aca="false">IF(C17="","",IFERROR(INDEX(Universities!$B$2:$B$100,MATCH(C17,Universities!$A$2:$A$100,0)),"Unknown ID"))</f>
        <v/>
      </c>
      <c r="F17" s="15"/>
      <c r="L17" s="16"/>
      <c r="P17" s="14" t="str">
        <f aca="false">IF(A17="","",IF(I17&lt;&gt;"",I17,IFERROR(INDEX(Universities!$D$2:$D$100,MATCH(C17,Universities!$A$2:$A$100,0)),"")))</f>
        <v/>
      </c>
    </row>
    <row r="18" customFormat="false" ht="15" hidden="false" customHeight="false" outlineLevel="0" collapsed="false">
      <c r="D18" s="14" t="str">
        <f aca="false">IF(C18="","",IFERROR(INDEX(Universities!$B$2:$B$100,MATCH(C18,Universities!$A$2:$A$100,0)),"Unknown ID"))</f>
        <v/>
      </c>
      <c r="F18" s="15"/>
      <c r="L18" s="16"/>
      <c r="P18" s="14" t="str">
        <f aca="false">IF(A18="","",IF(I18&lt;&gt;"",I18,IFERROR(INDEX(Universities!$D$2:$D$100,MATCH(C18,Universities!$A$2:$A$100,0)),"")))</f>
        <v/>
      </c>
    </row>
    <row r="19" customFormat="false" ht="15" hidden="false" customHeight="false" outlineLevel="0" collapsed="false">
      <c r="D19" s="14" t="str">
        <f aca="false">IF(C19="","",IFERROR(INDEX(Universities!$B$2:$B$100,MATCH(C19,Universities!$A$2:$A$100,0)),"Unknown ID"))</f>
        <v/>
      </c>
      <c r="F19" s="15"/>
      <c r="L19" s="16"/>
      <c r="P19" s="14" t="str">
        <f aca="false">IF(A19="","",IF(I19&lt;&gt;"",I19,IFERROR(INDEX(Universities!$D$2:$D$100,MATCH(C19,Universities!$A$2:$A$100,0)),"")))</f>
        <v/>
      </c>
    </row>
    <row r="20" customFormat="false" ht="15" hidden="false" customHeight="false" outlineLevel="0" collapsed="false">
      <c r="D20" s="14" t="str">
        <f aca="false">IF(C20="","",IFERROR(INDEX(Universities!$B$2:$B$100,MATCH(C20,Universities!$A$2:$A$100,0)),"Unknown ID"))</f>
        <v/>
      </c>
      <c r="F20" s="15"/>
      <c r="L20" s="16"/>
      <c r="P20" s="14" t="str">
        <f aca="false">IF(A20="","",IF(I20&lt;&gt;"",I20,IFERROR(INDEX(Universities!$D$2:$D$100,MATCH(C20,Universities!$A$2:$A$100,0)),"")))</f>
        <v/>
      </c>
    </row>
    <row r="21" customFormat="false" ht="15" hidden="false" customHeight="false" outlineLevel="0" collapsed="false">
      <c r="D21" s="14" t="str">
        <f aca="false">IF(C21="","",IFERROR(INDEX(Universities!$B$2:$B$100,MATCH(C21,Universities!$A$2:$A$100,0)),"Unknown ID"))</f>
        <v/>
      </c>
      <c r="F21" s="15"/>
      <c r="L21" s="16"/>
      <c r="P21" s="14" t="str">
        <f aca="false">IF(A21="","",IF(I21&lt;&gt;"",I21,IFERROR(INDEX(Universities!$D$2:$D$100,MATCH(C21,Universities!$A$2:$A$100,0)),"")))</f>
        <v/>
      </c>
    </row>
    <row r="22" customFormat="false" ht="15" hidden="false" customHeight="false" outlineLevel="0" collapsed="false">
      <c r="D22" s="14" t="str">
        <f aca="false">IF(C22="","",IFERROR(INDEX(Universities!$B$2:$B$100,MATCH(C22,Universities!$A$2:$A$100,0)),"Unknown ID"))</f>
        <v/>
      </c>
      <c r="F22" s="15"/>
      <c r="L22" s="16"/>
      <c r="P22" s="14" t="str">
        <f aca="false">IF(A22="","",IF(I22&lt;&gt;"",I22,IFERROR(INDEX(Universities!$D$2:$D$100,MATCH(C22,Universities!$A$2:$A$100,0)),"")))</f>
        <v/>
      </c>
    </row>
    <row r="23" customFormat="false" ht="15" hidden="false" customHeight="false" outlineLevel="0" collapsed="false">
      <c r="D23" s="14" t="str">
        <f aca="false">IF(C23="","",IFERROR(INDEX(Universities!$B$2:$B$100,MATCH(C23,Universities!$A$2:$A$100,0)),"Unknown ID"))</f>
        <v/>
      </c>
      <c r="F23" s="15"/>
      <c r="L23" s="16"/>
      <c r="P23" s="14" t="str">
        <f aca="false">IF(A23="","",IF(I23&lt;&gt;"",I23,IFERROR(INDEX(Universities!$D$2:$D$100,MATCH(C23,Universities!$A$2:$A$100,0)),"")))</f>
        <v/>
      </c>
    </row>
    <row r="24" customFormat="false" ht="15" hidden="false" customHeight="false" outlineLevel="0" collapsed="false">
      <c r="D24" s="14" t="str">
        <f aca="false">IF(C24="","",IFERROR(INDEX(Universities!$B$2:$B$100,MATCH(C24,Universities!$A$2:$A$100,0)),"Unknown ID"))</f>
        <v/>
      </c>
      <c r="F24" s="15"/>
      <c r="L24" s="16"/>
      <c r="P24" s="14" t="str">
        <f aca="false">IF(A24="","",IF(I24&lt;&gt;"",I24,IFERROR(INDEX(Universities!$D$2:$D$100,MATCH(C24,Universities!$A$2:$A$100,0)),"")))</f>
        <v/>
      </c>
    </row>
    <row r="25" customFormat="false" ht="15" hidden="false" customHeight="false" outlineLevel="0" collapsed="false">
      <c r="D25" s="14" t="str">
        <f aca="false">IF(C25="","",IFERROR(INDEX(Universities!$B$2:$B$100,MATCH(C25,Universities!$A$2:$A$100,0)),"Unknown ID"))</f>
        <v/>
      </c>
      <c r="F25" s="15"/>
      <c r="L25" s="16"/>
      <c r="P25" s="14" t="str">
        <f aca="false">IF(A25="","",IF(I25&lt;&gt;"",I25,IFERROR(INDEX(Universities!$D$2:$D$100,MATCH(C25,Universities!$A$2:$A$100,0)),"")))</f>
        <v/>
      </c>
    </row>
    <row r="26" customFormat="false" ht="15" hidden="false" customHeight="false" outlineLevel="0" collapsed="false">
      <c r="D26" s="14" t="str">
        <f aca="false">IF(C26="","",IFERROR(INDEX(Universities!$B$2:$B$100,MATCH(C26,Universities!$A$2:$A$100,0)),"Unknown ID"))</f>
        <v/>
      </c>
      <c r="F26" s="15"/>
      <c r="L26" s="16"/>
      <c r="P26" s="14" t="str">
        <f aca="false">IF(A26="","",IF(I26&lt;&gt;"",I26,IFERROR(INDEX(Universities!$D$2:$D$100,MATCH(C26,Universities!$A$2:$A$100,0)),"")))</f>
        <v/>
      </c>
    </row>
    <row r="27" customFormat="false" ht="15" hidden="false" customHeight="false" outlineLevel="0" collapsed="false">
      <c r="D27" s="14" t="str">
        <f aca="false">IF(C27="","",IFERROR(INDEX(Universities!$B$2:$B$100,MATCH(C27,Universities!$A$2:$A$100,0)),"Unknown ID"))</f>
        <v/>
      </c>
      <c r="F27" s="15"/>
      <c r="L27" s="16"/>
      <c r="P27" s="14" t="str">
        <f aca="false">IF(A27="","",IF(I27&lt;&gt;"",I27,IFERROR(INDEX(Universities!$D$2:$D$100,MATCH(C27,Universities!$A$2:$A$100,0)),"")))</f>
        <v/>
      </c>
    </row>
    <row r="28" customFormat="false" ht="15" hidden="false" customHeight="false" outlineLevel="0" collapsed="false">
      <c r="D28" s="14" t="str">
        <f aca="false">IF(C28="","",IFERROR(INDEX(Universities!$B$2:$B$100,MATCH(C28,Universities!$A$2:$A$100,0)),"Unknown ID"))</f>
        <v/>
      </c>
      <c r="F28" s="15"/>
      <c r="L28" s="16"/>
      <c r="P28" s="14" t="str">
        <f aca="false">IF(A28="","",IF(I28&lt;&gt;"",I28,IFERROR(INDEX(Universities!$D$2:$D$100,MATCH(C28,Universities!$A$2:$A$100,0)),"")))</f>
        <v/>
      </c>
    </row>
    <row r="29" customFormat="false" ht="15" hidden="false" customHeight="false" outlineLevel="0" collapsed="false">
      <c r="D29" s="14" t="str">
        <f aca="false">IF(C29="","",IFERROR(INDEX(Universities!$B$2:$B$100,MATCH(C29,Universities!$A$2:$A$100,0)),"Unknown ID"))</f>
        <v/>
      </c>
      <c r="F29" s="15"/>
      <c r="L29" s="16"/>
      <c r="P29" s="14" t="str">
        <f aca="false">IF(A29="","",IF(I29&lt;&gt;"",I29,IFERROR(INDEX(Universities!$D$2:$D$100,MATCH(C29,Universities!$A$2:$A$100,0)),"")))</f>
        <v/>
      </c>
    </row>
    <row r="30" customFormat="false" ht="15" hidden="false" customHeight="false" outlineLevel="0" collapsed="false">
      <c r="D30" s="14" t="str">
        <f aca="false">IF(C30="","",IFERROR(INDEX(Universities!$B$2:$B$100,MATCH(C30,Universities!$A$2:$A$100,0)),"Unknown ID"))</f>
        <v/>
      </c>
      <c r="F30" s="15"/>
      <c r="L30" s="16"/>
      <c r="P30" s="14" t="str">
        <f aca="false">IF(A30="","",IF(I30&lt;&gt;"",I30,IFERROR(INDEX(Universities!$D$2:$D$100,MATCH(C30,Universities!$A$2:$A$100,0)),"")))</f>
        <v/>
      </c>
    </row>
    <row r="31" customFormat="false" ht="15" hidden="false" customHeight="false" outlineLevel="0" collapsed="false">
      <c r="D31" s="14" t="str">
        <f aca="false">IF(C31="","",IFERROR(INDEX(Universities!$B$2:$B$100,MATCH(C31,Universities!$A$2:$A$100,0)),"Unknown ID"))</f>
        <v/>
      </c>
      <c r="F31" s="15"/>
      <c r="L31" s="16"/>
      <c r="P31" s="14" t="str">
        <f aca="false">IF(A31="","",IF(I31&lt;&gt;"",I31,IFERROR(INDEX(Universities!$D$2:$D$100,MATCH(C31,Universities!$A$2:$A$100,0)),"")))</f>
        <v/>
      </c>
    </row>
    <row r="32" customFormat="false" ht="15" hidden="false" customHeight="false" outlineLevel="0" collapsed="false">
      <c r="D32" s="14" t="str">
        <f aca="false">IF(C32="","",IFERROR(INDEX(Universities!$B$2:$B$100,MATCH(C32,Universities!$A$2:$A$100,0)),"Unknown ID"))</f>
        <v/>
      </c>
      <c r="F32" s="15"/>
      <c r="L32" s="16"/>
      <c r="P32" s="14" t="str">
        <f aca="false">IF(A32="","",IF(I32&lt;&gt;"",I32,IFERROR(INDEX(Universities!$D$2:$D$100,MATCH(C32,Universities!$A$2:$A$100,0)),"")))</f>
        <v/>
      </c>
    </row>
    <row r="33" customFormat="false" ht="15" hidden="false" customHeight="false" outlineLevel="0" collapsed="false">
      <c r="D33" s="14" t="str">
        <f aca="false">IF(C33="","",IFERROR(INDEX(Universities!$B$2:$B$100,MATCH(C33,Universities!$A$2:$A$100,0)),"Unknown ID"))</f>
        <v/>
      </c>
      <c r="F33" s="15"/>
      <c r="L33" s="16"/>
      <c r="P33" s="14" t="str">
        <f aca="false">IF(A33="","",IF(I33&lt;&gt;"",I33,IFERROR(INDEX(Universities!$D$2:$D$100,MATCH(C33,Universities!$A$2:$A$100,0)),"")))</f>
        <v/>
      </c>
    </row>
    <row r="34" customFormat="false" ht="15" hidden="false" customHeight="false" outlineLevel="0" collapsed="false">
      <c r="D34" s="14" t="str">
        <f aca="false">IF(C34="","",IFERROR(INDEX(Universities!$B$2:$B$100,MATCH(C34,Universities!$A$2:$A$100,0)),"Unknown ID"))</f>
        <v/>
      </c>
      <c r="F34" s="15"/>
      <c r="L34" s="16"/>
      <c r="P34" s="14" t="str">
        <f aca="false">IF(A34="","",IF(I34&lt;&gt;"",I34,IFERROR(INDEX(Universities!$D$2:$D$100,MATCH(C34,Universities!$A$2:$A$100,0)),"")))</f>
        <v/>
      </c>
    </row>
    <row r="35" customFormat="false" ht="15" hidden="false" customHeight="false" outlineLevel="0" collapsed="false">
      <c r="D35" s="14" t="str">
        <f aca="false">IF(C35="","",IFERROR(INDEX(Universities!$B$2:$B$100,MATCH(C35,Universities!$A$2:$A$100,0)),"Unknown ID"))</f>
        <v/>
      </c>
      <c r="F35" s="15"/>
      <c r="L35" s="16"/>
      <c r="P35" s="14" t="str">
        <f aca="false">IF(A35="","",IF(I35&lt;&gt;"",I35,IFERROR(INDEX(Universities!$D$2:$D$100,MATCH(C35,Universities!$A$2:$A$100,0)),"")))</f>
        <v/>
      </c>
    </row>
    <row r="36" customFormat="false" ht="15" hidden="false" customHeight="false" outlineLevel="0" collapsed="false">
      <c r="D36" s="14" t="str">
        <f aca="false">IF(C36="","",IFERROR(INDEX(Universities!$B$2:$B$100,MATCH(C36,Universities!$A$2:$A$100,0)),"Unknown ID"))</f>
        <v/>
      </c>
      <c r="F36" s="15"/>
      <c r="L36" s="16"/>
      <c r="P36" s="14" t="str">
        <f aca="false">IF(A36="","",IF(I36&lt;&gt;"",I36,IFERROR(INDEX(Universities!$D$2:$D$100,MATCH(C36,Universities!$A$2:$A$100,0)),"")))</f>
        <v/>
      </c>
    </row>
    <row r="37" customFormat="false" ht="15" hidden="false" customHeight="false" outlineLevel="0" collapsed="false">
      <c r="D37" s="14" t="str">
        <f aca="false">IF(C37="","",IFERROR(INDEX(Universities!$B$2:$B$100,MATCH(C37,Universities!$A$2:$A$100,0)),"Unknown ID"))</f>
        <v/>
      </c>
      <c r="F37" s="15"/>
      <c r="L37" s="16"/>
      <c r="P37" s="14" t="str">
        <f aca="false">IF(A37="","",IF(I37&lt;&gt;"",I37,IFERROR(INDEX(Universities!$D$2:$D$100,MATCH(C37,Universities!$A$2:$A$100,0)),"")))</f>
        <v/>
      </c>
    </row>
    <row r="38" customFormat="false" ht="15" hidden="false" customHeight="false" outlineLevel="0" collapsed="false">
      <c r="D38" s="14" t="str">
        <f aca="false">IF(C38="","",IFERROR(INDEX(Universities!$B$2:$B$100,MATCH(C38,Universities!$A$2:$A$100,0)),"Unknown ID"))</f>
        <v/>
      </c>
      <c r="F38" s="15"/>
      <c r="L38" s="16"/>
      <c r="P38" s="14" t="str">
        <f aca="false">IF(A38="","",IF(I38&lt;&gt;"",I38,IFERROR(INDEX(Universities!$D$2:$D$100,MATCH(C38,Universities!$A$2:$A$100,0)),"")))</f>
        <v/>
      </c>
    </row>
    <row r="39" customFormat="false" ht="15" hidden="false" customHeight="false" outlineLevel="0" collapsed="false">
      <c r="D39" s="14" t="str">
        <f aca="false">IF(C39="","",IFERROR(INDEX(Universities!$B$2:$B$100,MATCH(C39,Universities!$A$2:$A$100,0)),"Unknown ID"))</f>
        <v/>
      </c>
      <c r="F39" s="15"/>
      <c r="L39" s="16"/>
      <c r="P39" s="14" t="str">
        <f aca="false">IF(A39="","",IF(I39&lt;&gt;"",I39,IFERROR(INDEX(Universities!$D$2:$D$100,MATCH(C39,Universities!$A$2:$A$100,0)),"")))</f>
        <v/>
      </c>
    </row>
    <row r="40" customFormat="false" ht="15" hidden="false" customHeight="false" outlineLevel="0" collapsed="false">
      <c r="D40" s="14" t="str">
        <f aca="false">IF(C40="","",IFERROR(INDEX(Universities!$B$2:$B$100,MATCH(C40,Universities!$A$2:$A$100,0)),"Unknown ID"))</f>
        <v/>
      </c>
      <c r="F40" s="15"/>
      <c r="L40" s="16"/>
      <c r="P40" s="14" t="str">
        <f aca="false">IF(A40="","",IF(I40&lt;&gt;"",I40,IFERROR(INDEX(Universities!$D$2:$D$100,MATCH(C40,Universities!$A$2:$A$100,0)),"")))</f>
        <v/>
      </c>
    </row>
    <row r="41" customFormat="false" ht="15" hidden="false" customHeight="false" outlineLevel="0" collapsed="false">
      <c r="D41" s="14" t="str">
        <f aca="false">IF(C41="","",IFERROR(INDEX(Universities!$B$2:$B$100,MATCH(C41,Universities!$A$2:$A$100,0)),"Unknown ID"))</f>
        <v/>
      </c>
      <c r="F41" s="15"/>
      <c r="L41" s="16"/>
      <c r="P41" s="14" t="str">
        <f aca="false">IF(A41="","",IF(I41&lt;&gt;"",I41,IFERROR(INDEX(Universities!$D$2:$D$100,MATCH(C41,Universities!$A$2:$A$100,0)),"")))</f>
        <v/>
      </c>
    </row>
    <row r="42" customFormat="false" ht="15" hidden="false" customHeight="false" outlineLevel="0" collapsed="false">
      <c r="D42" s="14" t="str">
        <f aca="false">IF(C42="","",IFERROR(INDEX(Universities!$B$2:$B$100,MATCH(C42,Universities!$A$2:$A$100,0)),"Unknown ID"))</f>
        <v/>
      </c>
      <c r="F42" s="15"/>
      <c r="L42" s="16"/>
      <c r="P42" s="14" t="str">
        <f aca="false">IF(A42="","",IF(I42&lt;&gt;"",I42,IFERROR(INDEX(Universities!$D$2:$D$100,MATCH(C42,Universities!$A$2:$A$100,0)),"")))</f>
        <v/>
      </c>
    </row>
    <row r="43" customFormat="false" ht="15" hidden="false" customHeight="false" outlineLevel="0" collapsed="false">
      <c r="D43" s="14" t="str">
        <f aca="false">IF(C43="","",IFERROR(INDEX(Universities!$B$2:$B$100,MATCH(C43,Universities!$A$2:$A$100,0)),"Unknown ID"))</f>
        <v/>
      </c>
      <c r="F43" s="15"/>
      <c r="L43" s="16"/>
      <c r="P43" s="14" t="str">
        <f aca="false">IF(A43="","",IF(I43&lt;&gt;"",I43,IFERROR(INDEX(Universities!$D$2:$D$100,MATCH(C43,Universities!$A$2:$A$100,0)),"")))</f>
        <v/>
      </c>
    </row>
    <row r="44" customFormat="false" ht="15" hidden="false" customHeight="false" outlineLevel="0" collapsed="false">
      <c r="D44" s="14" t="str">
        <f aca="false">IF(C44="","",IFERROR(INDEX(Universities!$B$2:$B$100,MATCH(C44,Universities!$A$2:$A$100,0)),"Unknown ID"))</f>
        <v/>
      </c>
      <c r="F44" s="15"/>
      <c r="L44" s="16"/>
      <c r="P44" s="14" t="str">
        <f aca="false">IF(A44="","",IF(I44&lt;&gt;"",I44,IFERROR(INDEX(Universities!$D$2:$D$100,MATCH(C44,Universities!$A$2:$A$100,0)),"")))</f>
        <v/>
      </c>
    </row>
    <row r="45" customFormat="false" ht="15" hidden="false" customHeight="false" outlineLevel="0" collapsed="false">
      <c r="D45" s="14" t="str">
        <f aca="false">IF(C45="","",IFERROR(INDEX(Universities!$B$2:$B$100,MATCH(C45,Universities!$A$2:$A$100,0)),"Unknown ID"))</f>
        <v/>
      </c>
      <c r="F45" s="15"/>
      <c r="L45" s="16"/>
      <c r="P45" s="14" t="str">
        <f aca="false">IF(A45="","",IF(I45&lt;&gt;"",I45,IFERROR(INDEX(Universities!$D$2:$D$100,MATCH(C45,Universities!$A$2:$A$100,0)),"")))</f>
        <v/>
      </c>
    </row>
    <row r="46" customFormat="false" ht="15" hidden="false" customHeight="false" outlineLevel="0" collapsed="false">
      <c r="D46" s="14" t="str">
        <f aca="false">IF(C46="","",IFERROR(INDEX(Universities!$B$2:$B$100,MATCH(C46,Universities!$A$2:$A$100,0)),"Unknown ID"))</f>
        <v/>
      </c>
      <c r="F46" s="15"/>
      <c r="L46" s="16"/>
      <c r="P46" s="14" t="str">
        <f aca="false">IF(A46="","",IF(I46&lt;&gt;"",I46,IFERROR(INDEX(Universities!$D$2:$D$100,MATCH(C46,Universities!$A$2:$A$100,0)),"")))</f>
        <v/>
      </c>
    </row>
    <row r="47" customFormat="false" ht="15" hidden="false" customHeight="false" outlineLevel="0" collapsed="false">
      <c r="D47" s="14" t="str">
        <f aca="false">IF(C47="","",IFERROR(INDEX(Universities!$B$2:$B$100,MATCH(C47,Universities!$A$2:$A$100,0)),"Unknown ID"))</f>
        <v/>
      </c>
      <c r="F47" s="15"/>
      <c r="L47" s="16"/>
      <c r="P47" s="14" t="str">
        <f aca="false">IF(A47="","",IF(I47&lt;&gt;"",I47,IFERROR(INDEX(Universities!$D$2:$D$100,MATCH(C47,Universities!$A$2:$A$100,0)),"")))</f>
        <v/>
      </c>
    </row>
    <row r="48" customFormat="false" ht="15" hidden="false" customHeight="false" outlineLevel="0" collapsed="false">
      <c r="D48" s="14" t="str">
        <f aca="false">IF(C48="","",IFERROR(INDEX(Universities!$B$2:$B$100,MATCH(C48,Universities!$A$2:$A$100,0)),"Unknown ID"))</f>
        <v/>
      </c>
      <c r="F48" s="15"/>
      <c r="L48" s="16"/>
      <c r="P48" s="14" t="str">
        <f aca="false">IF(A48="","",IF(I48&lt;&gt;"",I48,IFERROR(INDEX(Universities!$D$2:$D$100,MATCH(C48,Universities!$A$2:$A$100,0)),"")))</f>
        <v/>
      </c>
    </row>
    <row r="49" customFormat="false" ht="15" hidden="false" customHeight="false" outlineLevel="0" collapsed="false">
      <c r="D49" s="14" t="str">
        <f aca="false">IF(C49="","",IFERROR(INDEX(Universities!$B$2:$B$100,MATCH(C49,Universities!$A$2:$A$100,0)),"Unknown ID"))</f>
        <v/>
      </c>
      <c r="F49" s="15"/>
      <c r="L49" s="16"/>
      <c r="P49" s="14" t="str">
        <f aca="false">IF(A49="","",IF(I49&lt;&gt;"",I49,IFERROR(INDEX(Universities!$D$2:$D$100,MATCH(C49,Universities!$A$2:$A$100,0)),"")))</f>
        <v/>
      </c>
    </row>
    <row r="50" customFormat="false" ht="15" hidden="false" customHeight="false" outlineLevel="0" collapsed="false">
      <c r="D50" s="14" t="str">
        <f aca="false">IF(C50="","",IFERROR(INDEX(Universities!$B$2:$B$100,MATCH(C50,Universities!$A$2:$A$100,0)),"Unknown ID"))</f>
        <v/>
      </c>
      <c r="F50" s="15"/>
      <c r="L50" s="16"/>
      <c r="P50" s="14" t="str">
        <f aca="false">IF(A50="","",IF(I50&lt;&gt;"",I50,IFERROR(INDEX(Universities!$D$2:$D$100,MATCH(C50,Universities!$A$2:$A$100,0)),"")))</f>
        <v/>
      </c>
    </row>
    <row r="51" customFormat="false" ht="15" hidden="false" customHeight="false" outlineLevel="0" collapsed="false">
      <c r="D51" s="14" t="str">
        <f aca="false">IF(C51="","",IFERROR(INDEX(Universities!$B$2:$B$100,MATCH(C51,Universities!$A$2:$A$100,0)),"Unknown ID"))</f>
        <v/>
      </c>
      <c r="F51" s="15"/>
      <c r="L51" s="16"/>
      <c r="P51" s="14" t="str">
        <f aca="false">IF(A51="","",IF(I51&lt;&gt;"",I51,IFERROR(INDEX(Universities!$D$2:$D$100,MATCH(C51,Universities!$A$2:$A$100,0)),"")))</f>
        <v/>
      </c>
    </row>
    <row r="52" customFormat="false" ht="15" hidden="false" customHeight="false" outlineLevel="0" collapsed="false">
      <c r="D52" s="14" t="str">
        <f aca="false">IF(C52="","",IFERROR(INDEX(Universities!$B$2:$B$100,MATCH(C52,Universities!$A$2:$A$100,0)),"Unknown ID"))</f>
        <v/>
      </c>
      <c r="F52" s="15"/>
      <c r="L52" s="16"/>
      <c r="P52" s="14" t="str">
        <f aca="false">IF(A52="","",IF(I52&lt;&gt;"",I52,IFERROR(INDEX(Universities!$D$2:$D$100,MATCH(C52,Universities!$A$2:$A$100,0)),"")))</f>
        <v/>
      </c>
    </row>
    <row r="53" customFormat="false" ht="15" hidden="false" customHeight="false" outlineLevel="0" collapsed="false">
      <c r="D53" s="14" t="str">
        <f aca="false">IF(C53="","",IFERROR(INDEX(Universities!$B$2:$B$100,MATCH(C53,Universities!$A$2:$A$100,0)),"Unknown ID"))</f>
        <v/>
      </c>
      <c r="F53" s="15"/>
      <c r="L53" s="16"/>
      <c r="P53" s="14" t="str">
        <f aca="false">IF(A53="","",IF(I53&lt;&gt;"",I53,IFERROR(INDEX(Universities!$D$2:$D$100,MATCH(C53,Universities!$A$2:$A$100,0)),"")))</f>
        <v/>
      </c>
    </row>
    <row r="54" customFormat="false" ht="15" hidden="false" customHeight="false" outlineLevel="0" collapsed="false">
      <c r="D54" s="14" t="str">
        <f aca="false">IF(C54="","",IFERROR(INDEX(Universities!$B$2:$B$100,MATCH(C54,Universities!$A$2:$A$100,0)),"Unknown ID"))</f>
        <v/>
      </c>
      <c r="F54" s="15"/>
      <c r="L54" s="16"/>
      <c r="P54" s="14" t="str">
        <f aca="false">IF(A54="","",IF(I54&lt;&gt;"",I54,IFERROR(INDEX(Universities!$D$2:$D$100,MATCH(C54,Universities!$A$2:$A$100,0)),"")))</f>
        <v/>
      </c>
    </row>
    <row r="55" customFormat="false" ht="15" hidden="false" customHeight="false" outlineLevel="0" collapsed="false">
      <c r="D55" s="14" t="str">
        <f aca="false">IF(C55="","",IFERROR(INDEX(Universities!$B$2:$B$100,MATCH(C55,Universities!$A$2:$A$100,0)),"Unknown ID"))</f>
        <v/>
      </c>
      <c r="F55" s="15"/>
      <c r="L55" s="16"/>
      <c r="P55" s="14" t="str">
        <f aca="false">IF(A55="","",IF(I55&lt;&gt;"",I55,IFERROR(INDEX(Universities!$D$2:$D$100,MATCH(C55,Universities!$A$2:$A$100,0)),"")))</f>
        <v/>
      </c>
    </row>
    <row r="56" customFormat="false" ht="15" hidden="false" customHeight="false" outlineLevel="0" collapsed="false">
      <c r="D56" s="14" t="str">
        <f aca="false">IF(C56="","",IFERROR(INDEX(Universities!$B$2:$B$100,MATCH(C56,Universities!$A$2:$A$100,0)),"Unknown ID"))</f>
        <v/>
      </c>
      <c r="F56" s="15"/>
      <c r="L56" s="16"/>
      <c r="P56" s="14" t="str">
        <f aca="false">IF(A56="","",IF(I56&lt;&gt;"",I56,IFERROR(INDEX(Universities!$D$2:$D$100,MATCH(C56,Universities!$A$2:$A$100,0)),"")))</f>
        <v/>
      </c>
    </row>
    <row r="57" customFormat="false" ht="15" hidden="false" customHeight="false" outlineLevel="0" collapsed="false">
      <c r="D57" s="14" t="str">
        <f aca="false">IF(C57="","",IFERROR(INDEX(Universities!$B$2:$B$100,MATCH(C57,Universities!$A$2:$A$100,0)),"Unknown ID"))</f>
        <v/>
      </c>
      <c r="F57" s="15"/>
      <c r="L57" s="16"/>
      <c r="P57" s="14" t="str">
        <f aca="false">IF(A57="","",IF(I57&lt;&gt;"",I57,IFERROR(INDEX(Universities!$D$2:$D$100,MATCH(C57,Universities!$A$2:$A$100,0)),"")))</f>
        <v/>
      </c>
    </row>
    <row r="58" customFormat="false" ht="15" hidden="false" customHeight="false" outlineLevel="0" collapsed="false">
      <c r="D58" s="14" t="str">
        <f aca="false">IF(C58="","",IFERROR(INDEX(Universities!$B$2:$B$100,MATCH(C58,Universities!$A$2:$A$100,0)),"Unknown ID"))</f>
        <v/>
      </c>
      <c r="F58" s="15"/>
      <c r="L58" s="16"/>
      <c r="P58" s="14" t="str">
        <f aca="false">IF(A58="","",IF(I58&lt;&gt;"",I58,IFERROR(INDEX(Universities!$D$2:$D$100,MATCH(C58,Universities!$A$2:$A$100,0)),"")))</f>
        <v/>
      </c>
    </row>
    <row r="59" customFormat="false" ht="15" hidden="false" customHeight="false" outlineLevel="0" collapsed="false">
      <c r="D59" s="14" t="str">
        <f aca="false">IF(C59="","",IFERROR(INDEX(Universities!$B$2:$B$100,MATCH(C59,Universities!$A$2:$A$100,0)),"Unknown ID"))</f>
        <v/>
      </c>
      <c r="F59" s="15"/>
      <c r="L59" s="16"/>
      <c r="P59" s="14" t="str">
        <f aca="false">IF(A59="","",IF(I59&lt;&gt;"",I59,IFERROR(INDEX(Universities!$D$2:$D$100,MATCH(C59,Universities!$A$2:$A$100,0)),"")))</f>
        <v/>
      </c>
    </row>
    <row r="60" customFormat="false" ht="15" hidden="false" customHeight="false" outlineLevel="0" collapsed="false">
      <c r="D60" s="14" t="str">
        <f aca="false">IF(C60="","",IFERROR(INDEX(Universities!$B$2:$B$100,MATCH(C60,Universities!$A$2:$A$100,0)),"Unknown ID"))</f>
        <v/>
      </c>
      <c r="F60" s="15"/>
      <c r="L60" s="16"/>
      <c r="P60" s="14" t="str">
        <f aca="false">IF(A60="","",IF(I60&lt;&gt;"",I60,IFERROR(INDEX(Universities!$D$2:$D$100,MATCH(C60,Universities!$A$2:$A$100,0)),"")))</f>
        <v/>
      </c>
    </row>
  </sheetData>
  <dataValidations count="4">
    <dataValidation allowBlank="true" error="Pick a value from the list" errorStyle="stop" operator="between" showDropDown="false" showErrorMessage="true" showInputMessage="false" sqref="C2:C60" type="list">
      <formula1>Universities!$A$2:$A$100</formula1>
      <formula2>0</formula2>
    </dataValidation>
    <dataValidation allowBlank="true" error="Pick a value from the list" errorStyle="stop" operator="between" showDropDown="false" showErrorMessage="true" showInputMessage="false" sqref="E2:E60" type="list">
      <formula1>Lists!$I$2:$I$6</formula1>
      <formula2>0</formula2>
    </dataValidation>
    <dataValidation allowBlank="true" error="Pick a value from the list" errorStyle="stop" operator="between" showDropDown="false" showErrorMessage="true" showInputMessage="false" sqref="G2:G60" type="list">
      <formula1>Lists!$B$2:$B$4</formula1>
      <formula2>0</formula2>
    </dataValidation>
    <dataValidation allowBlank="true" error="Pick a value from the list" errorStyle="stop" operator="between" showDropDown="false" showErrorMessage="true" showInputMessage="false" sqref="J2:J60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4" min="10" style="0" width="14"/>
    <col collapsed="false" customWidth="true" hidden="false" outlineLevel="0" max="15" min="15" style="0" width="34"/>
    <col collapsed="false" customWidth="true" hidden="false" outlineLevel="0" max="16" min="16" style="0" width="14"/>
    <col collapsed="false" customWidth="true" hidden="false" outlineLevel="0" max="17" min="17" style="0" width="18"/>
    <col collapsed="false" customWidth="true" hidden="false" outlineLevel="0" max="19" min="18" style="0" width="14"/>
    <col collapsed="false" customWidth="true" hidden="false" outlineLevel="0" max="20" min="20" style="0" width="28"/>
    <col collapsed="false" customWidth="true" hidden="false" outlineLevel="0" max="21" min="21" style="0" width="24"/>
    <col collapsed="false" customWidth="true" hidden="false" outlineLevel="0" max="22" min="22" style="0" width="30"/>
  </cols>
  <sheetData>
    <row r="1" customFormat="false" ht="31.5" hidden="false" customHeight="true" outlineLevel="0" collapsed="false">
      <c r="A1" s="8" t="s">
        <v>138</v>
      </c>
      <c r="B1" s="8" t="s">
        <v>139</v>
      </c>
      <c r="C1" s="8" t="s">
        <v>140</v>
      </c>
      <c r="D1" s="8" t="s">
        <v>141</v>
      </c>
      <c r="E1" s="8" t="s">
        <v>142</v>
      </c>
      <c r="F1" s="8" t="s">
        <v>143</v>
      </c>
      <c r="G1" s="8" t="s">
        <v>144</v>
      </c>
      <c r="H1" s="8" t="s">
        <v>145</v>
      </c>
      <c r="I1" s="8" t="s">
        <v>146</v>
      </c>
      <c r="J1" s="8" t="s">
        <v>147</v>
      </c>
      <c r="K1" s="8" t="s">
        <v>148</v>
      </c>
      <c r="L1" s="8" t="s">
        <v>149</v>
      </c>
      <c r="M1" s="8" t="s">
        <v>150</v>
      </c>
      <c r="N1" s="8" t="s">
        <v>151</v>
      </c>
      <c r="O1" s="8" t="s">
        <v>152</v>
      </c>
      <c r="P1" s="8" t="s">
        <v>153</v>
      </c>
      <c r="Q1" s="8" t="s">
        <v>154</v>
      </c>
      <c r="R1" s="8" t="s">
        <v>155</v>
      </c>
      <c r="S1" s="8" t="s">
        <v>156</v>
      </c>
      <c r="T1" s="8" t="s">
        <v>157</v>
      </c>
      <c r="U1" s="8" t="s">
        <v>158</v>
      </c>
      <c r="V1" s="8" t="s">
        <v>69</v>
      </c>
    </row>
    <row r="2" customFormat="false" ht="26.85" hidden="false" customHeight="false" outlineLevel="0" collapsed="false">
      <c r="A2" s="9" t="s">
        <v>159</v>
      </c>
      <c r="B2" s="13" t="n">
        <v>46303</v>
      </c>
      <c r="C2" s="9" t="s">
        <v>160</v>
      </c>
      <c r="D2" s="9" t="s">
        <v>161</v>
      </c>
      <c r="E2" s="9" t="s">
        <v>162</v>
      </c>
      <c r="F2" s="9" t="s">
        <v>163</v>
      </c>
      <c r="G2" s="9" t="s">
        <v>164</v>
      </c>
      <c r="H2" s="9" t="s">
        <v>66</v>
      </c>
      <c r="I2" s="9" t="s">
        <v>124</v>
      </c>
      <c r="J2" s="9" t="s">
        <v>121</v>
      </c>
      <c r="K2" s="9" t="s">
        <v>42</v>
      </c>
      <c r="L2" s="9" t="s">
        <v>114</v>
      </c>
      <c r="M2" s="11" t="n">
        <f aca="false">IF(OR(I2="",J2=""),"",SUMPRODUCT((CODE(I2)&lt;=CODE('1 Scholarships'!$G$2:$G$60))*('1 Scholarships'!$A$2:$A$60&lt;&gt;"")*(('1 Scholarships'!$H$2:$H$60="")+ISNUMBER(SEARCH(","&amp;J2&amp;",",","&amp;SUBSTITUTE('1 Scholarships'!$H$2:$H$60," ","")&amp;","))&gt;0)*(('1 Scholarships'!$J$2:$J$60&lt;&gt;"Yes")+(L2="Yes")&gt;0)*((K2="")+ISNUMBER(SEARCH(","&amp;K2&amp;",",","&amp;SUBSTITUTE('1 Scholarships'!$P$2:$P$60," ","")&amp;","))&gt;0)))</f>
        <v>1</v>
      </c>
      <c r="N2" s="17" t="n">
        <f aca="false">IF(OR(I2="",J2=""),"",SUMPRODUCT(MAX((CODE(I2)&lt;=CODE('1 Scholarships'!$G$2:$G$60))*('1 Scholarships'!$A$2:$A$60&lt;&gt;"")*(('1 Scholarships'!$H$2:$H$60="")+ISNUMBER(SEARCH(","&amp;J2&amp;",",","&amp;SUBSTITUTE('1 Scholarships'!$H$2:$H$60," ","")&amp;","))&gt;0)*(('1 Scholarships'!$J$2:$J$60&lt;&gt;"Yes")+(L2="Yes")&gt;0)*((K2="")+ISNUMBER(SEARCH(","&amp;K2&amp;",",","&amp;SUBSTITUTE('1 Scholarships'!$P$2:$P$60," ","")&amp;","))&gt;0)*'1 Scholarships'!$F$2:$F$60)))</f>
        <v>0.6</v>
      </c>
      <c r="O2" s="9" t="s">
        <v>127</v>
      </c>
      <c r="P2" s="9" t="s">
        <v>165</v>
      </c>
      <c r="Q2" s="9" t="s">
        <v>166</v>
      </c>
      <c r="R2" s="13" t="n">
        <v>46310</v>
      </c>
      <c r="S2" s="13"/>
      <c r="T2" s="9"/>
      <c r="U2" s="9"/>
      <c r="V2" s="9"/>
    </row>
    <row r="3" customFormat="false" ht="15" hidden="false" customHeight="false" outlineLevel="0" collapsed="false">
      <c r="A3" s="18"/>
      <c r="B3" s="19"/>
      <c r="C3" s="18"/>
      <c r="D3" s="18"/>
      <c r="E3" s="18"/>
      <c r="F3" s="18"/>
      <c r="G3" s="18"/>
      <c r="H3" s="18"/>
      <c r="I3" s="18"/>
      <c r="J3" s="18"/>
      <c r="K3" s="18"/>
      <c r="L3" s="18"/>
      <c r="M3" s="14" t="str">
        <f aca="false">IF(OR(I3="",J3=""),"",SUMPRODUCT((CODE(I3)&lt;=CODE('1 Scholarships'!$G$2:$G$60))*('1 Scholarships'!$A$2:$A$60&lt;&gt;"")*(('1 Scholarships'!$H$2:$H$60="")+ISNUMBER(SEARCH(","&amp;J3&amp;",",","&amp;SUBSTITUTE('1 Scholarships'!$H$2:$H$60," ","")&amp;","))&gt;0)*(('1 Scholarships'!$J$2:$J$60&lt;&gt;"Yes")+(L3="Yes")&gt;0)*((K3="")+ISNUMBER(SEARCH(","&amp;K3&amp;",",","&amp;SUBSTITUTE('1 Scholarships'!$P$2:$P$60," ","")&amp;","))&gt;0)))</f>
        <v/>
      </c>
      <c r="N3" s="20" t="str">
        <f aca="false">IF(OR(I3="",J3=""),"",SUMPRODUCT(MAX((CODE(I3)&lt;=CODE('1 Scholarships'!$G$2:$G$60))*('1 Scholarships'!$A$2:$A$60&lt;&gt;"")*(('1 Scholarships'!$H$2:$H$60="")+ISNUMBER(SEARCH(","&amp;J3&amp;",",","&amp;SUBSTITUTE('1 Scholarships'!$H$2:$H$60," ","")&amp;","))&gt;0)*(('1 Scholarships'!$J$2:$J$60&lt;&gt;"Yes")+(L3="Yes")&gt;0)*((K3="")+ISNUMBER(SEARCH(","&amp;K3&amp;",",","&amp;SUBSTITUTE('1 Scholarships'!$P$2:$P$60," ","")&amp;","))&gt;0)*'1 Scholarships'!$F$2:$F$60)))</f>
        <v/>
      </c>
      <c r="O3" s="18"/>
      <c r="P3" s="18"/>
      <c r="Q3" s="18"/>
      <c r="R3" s="19"/>
      <c r="S3" s="19"/>
      <c r="T3" s="18"/>
      <c r="U3" s="18"/>
      <c r="V3" s="18"/>
    </row>
    <row r="4" customFormat="false" ht="15" hidden="false" customHeight="false" outlineLevel="0" collapsed="false">
      <c r="A4" s="18"/>
      <c r="B4" s="19"/>
      <c r="C4" s="18"/>
      <c r="D4" s="18"/>
      <c r="E4" s="18"/>
      <c r="F4" s="18"/>
      <c r="G4" s="18"/>
      <c r="H4" s="18"/>
      <c r="I4" s="18"/>
      <c r="J4" s="18"/>
      <c r="K4" s="18"/>
      <c r="L4" s="18"/>
      <c r="M4" s="14" t="str">
        <f aca="false">IF(OR(I4="",J4=""),"",SUMPRODUCT((CODE(I4)&lt;=CODE('1 Scholarships'!$G$2:$G$60))*('1 Scholarships'!$A$2:$A$60&lt;&gt;"")*(('1 Scholarships'!$H$2:$H$60="")+ISNUMBER(SEARCH(","&amp;J4&amp;",",","&amp;SUBSTITUTE('1 Scholarships'!$H$2:$H$60," ","")&amp;","))&gt;0)*(('1 Scholarships'!$J$2:$J$60&lt;&gt;"Yes")+(L4="Yes")&gt;0)*((K4="")+ISNUMBER(SEARCH(","&amp;K4&amp;",",","&amp;SUBSTITUTE('1 Scholarships'!$P$2:$P$60," ","")&amp;","))&gt;0)))</f>
        <v/>
      </c>
      <c r="N4" s="20" t="str">
        <f aca="false">IF(OR(I4="",J4=""),"",SUMPRODUCT(MAX((CODE(I4)&lt;=CODE('1 Scholarships'!$G$2:$G$60))*('1 Scholarships'!$A$2:$A$60&lt;&gt;"")*(('1 Scholarships'!$H$2:$H$60="")+ISNUMBER(SEARCH(","&amp;J4&amp;",",","&amp;SUBSTITUTE('1 Scholarships'!$H$2:$H$60," ","")&amp;","))&gt;0)*(('1 Scholarships'!$J$2:$J$60&lt;&gt;"Yes")+(L4="Yes")&gt;0)*((K4="")+ISNUMBER(SEARCH(","&amp;K4&amp;",",","&amp;SUBSTITUTE('1 Scholarships'!$P$2:$P$60," ","")&amp;","))&gt;0)*'1 Scholarships'!$F$2:$F$60)))</f>
        <v/>
      </c>
      <c r="O4" s="18"/>
      <c r="P4" s="18"/>
      <c r="Q4" s="18"/>
      <c r="R4" s="19"/>
      <c r="S4" s="19"/>
      <c r="T4" s="18"/>
      <c r="U4" s="18"/>
      <c r="V4" s="18"/>
    </row>
    <row r="5" customFormat="false" ht="15" hidden="false" customHeight="false" outlineLevel="0" collapsed="false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4" t="str">
        <f aca="false">IF(OR(I5="",J5=""),"",SUMPRODUCT((CODE(I5)&lt;=CODE('1 Scholarships'!$G$2:$G$60))*('1 Scholarships'!$A$2:$A$60&lt;&gt;"")*(('1 Scholarships'!$H$2:$H$60="")+ISNUMBER(SEARCH(","&amp;J5&amp;",",","&amp;SUBSTITUTE('1 Scholarships'!$H$2:$H$60," ","")&amp;","))&gt;0)*(('1 Scholarships'!$J$2:$J$60&lt;&gt;"Yes")+(L5="Yes")&gt;0)*((K5="")+ISNUMBER(SEARCH(","&amp;K5&amp;",",","&amp;SUBSTITUTE('1 Scholarships'!$P$2:$P$60," ","")&amp;","))&gt;0)))</f>
        <v/>
      </c>
      <c r="N5" s="20" t="str">
        <f aca="false">IF(OR(I5="",J5=""),"",SUMPRODUCT(MAX((CODE(I5)&lt;=CODE('1 Scholarships'!$G$2:$G$60))*('1 Scholarships'!$A$2:$A$60&lt;&gt;"")*(('1 Scholarships'!$H$2:$H$60="")+ISNUMBER(SEARCH(","&amp;J5&amp;",",","&amp;SUBSTITUTE('1 Scholarships'!$H$2:$H$60," ","")&amp;","))&gt;0)*(('1 Scholarships'!$J$2:$J$60&lt;&gt;"Yes")+(L5="Yes")&gt;0)*((K5="")+ISNUMBER(SEARCH(","&amp;K5&amp;",",","&amp;SUBSTITUTE('1 Scholarships'!$P$2:$P$60," ","")&amp;","))&gt;0)*'1 Scholarships'!$F$2:$F$60)))</f>
        <v/>
      </c>
      <c r="O5" s="18"/>
      <c r="P5" s="18"/>
      <c r="Q5" s="18"/>
      <c r="R5" s="19"/>
      <c r="S5" s="19"/>
      <c r="T5" s="18"/>
      <c r="U5" s="18"/>
      <c r="V5" s="18"/>
    </row>
    <row r="6" customFormat="false" ht="15" hidden="false" customHeight="false" outlineLevel="0" collapsed="false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4" t="str">
        <f aca="false">IF(OR(I6="",J6=""),"",SUMPRODUCT((CODE(I6)&lt;=CODE('1 Scholarships'!$G$2:$G$60))*('1 Scholarships'!$A$2:$A$60&lt;&gt;"")*(('1 Scholarships'!$H$2:$H$60="")+ISNUMBER(SEARCH(","&amp;J6&amp;",",","&amp;SUBSTITUTE('1 Scholarships'!$H$2:$H$60," ","")&amp;","))&gt;0)*(('1 Scholarships'!$J$2:$J$60&lt;&gt;"Yes")+(L6="Yes")&gt;0)*((K6="")+ISNUMBER(SEARCH(","&amp;K6&amp;",",","&amp;SUBSTITUTE('1 Scholarships'!$P$2:$P$60," ","")&amp;","))&gt;0)))</f>
        <v/>
      </c>
      <c r="N6" s="20" t="str">
        <f aca="false">IF(OR(I6="",J6=""),"",SUMPRODUCT(MAX((CODE(I6)&lt;=CODE('1 Scholarships'!$G$2:$G$60))*('1 Scholarships'!$A$2:$A$60&lt;&gt;"")*(('1 Scholarships'!$H$2:$H$60="")+ISNUMBER(SEARCH(","&amp;J6&amp;",",","&amp;SUBSTITUTE('1 Scholarships'!$H$2:$H$60," ","")&amp;","))&gt;0)*(('1 Scholarships'!$J$2:$J$60&lt;&gt;"Yes")+(L6="Yes")&gt;0)*((K6="")+ISNUMBER(SEARCH(","&amp;K6&amp;",",","&amp;SUBSTITUTE('1 Scholarships'!$P$2:$P$60," ","")&amp;","))&gt;0)*'1 Scholarships'!$F$2:$F$60)))</f>
        <v/>
      </c>
      <c r="O6" s="18"/>
      <c r="P6" s="18"/>
      <c r="Q6" s="18"/>
      <c r="R6" s="19"/>
      <c r="S6" s="19"/>
      <c r="T6" s="18"/>
      <c r="U6" s="18"/>
      <c r="V6" s="18"/>
    </row>
    <row r="7" customFormat="false" ht="15" hidden="false" customHeight="false" outlineLevel="0" collapsed="false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4" t="str">
        <f aca="false">IF(OR(I7="",J7=""),"",SUMPRODUCT((CODE(I7)&lt;=CODE('1 Scholarships'!$G$2:$G$60))*('1 Scholarships'!$A$2:$A$60&lt;&gt;"")*(('1 Scholarships'!$H$2:$H$60="")+ISNUMBER(SEARCH(","&amp;J7&amp;",",","&amp;SUBSTITUTE('1 Scholarships'!$H$2:$H$60," ","")&amp;","))&gt;0)*(('1 Scholarships'!$J$2:$J$60&lt;&gt;"Yes")+(L7="Yes")&gt;0)*((K7="")+ISNUMBER(SEARCH(","&amp;K7&amp;",",","&amp;SUBSTITUTE('1 Scholarships'!$P$2:$P$60," ","")&amp;","))&gt;0)))</f>
        <v/>
      </c>
      <c r="N7" s="20" t="str">
        <f aca="false">IF(OR(I7="",J7=""),"",SUMPRODUCT(MAX((CODE(I7)&lt;=CODE('1 Scholarships'!$G$2:$G$60))*('1 Scholarships'!$A$2:$A$60&lt;&gt;"")*(('1 Scholarships'!$H$2:$H$60="")+ISNUMBER(SEARCH(","&amp;J7&amp;",",","&amp;SUBSTITUTE('1 Scholarships'!$H$2:$H$60," ","")&amp;","))&gt;0)*(('1 Scholarships'!$J$2:$J$60&lt;&gt;"Yes")+(L7="Yes")&gt;0)*((K7="")+ISNUMBER(SEARCH(","&amp;K7&amp;",",","&amp;SUBSTITUTE('1 Scholarships'!$P$2:$P$60," ","")&amp;","))&gt;0)*'1 Scholarships'!$F$2:$F$60)))</f>
        <v/>
      </c>
      <c r="O7" s="18"/>
      <c r="P7" s="18"/>
      <c r="Q7" s="18"/>
      <c r="R7" s="19"/>
      <c r="S7" s="19"/>
      <c r="T7" s="18"/>
      <c r="U7" s="18"/>
      <c r="V7" s="18"/>
    </row>
    <row r="8" customFormat="false" ht="15" hidden="false" customHeight="false" outlineLevel="0" collapsed="false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4" t="str">
        <f aca="false">IF(OR(I8="",J8=""),"",SUMPRODUCT((CODE(I8)&lt;=CODE('1 Scholarships'!$G$2:$G$60))*('1 Scholarships'!$A$2:$A$60&lt;&gt;"")*(('1 Scholarships'!$H$2:$H$60="")+ISNUMBER(SEARCH(","&amp;J8&amp;",",","&amp;SUBSTITUTE('1 Scholarships'!$H$2:$H$60," ","")&amp;","))&gt;0)*(('1 Scholarships'!$J$2:$J$60&lt;&gt;"Yes")+(L8="Yes")&gt;0)*((K8="")+ISNUMBER(SEARCH(","&amp;K8&amp;",",","&amp;SUBSTITUTE('1 Scholarships'!$P$2:$P$60," ","")&amp;","))&gt;0)))</f>
        <v/>
      </c>
      <c r="N8" s="20" t="str">
        <f aca="false">IF(OR(I8="",J8=""),"",SUMPRODUCT(MAX((CODE(I8)&lt;=CODE('1 Scholarships'!$G$2:$G$60))*('1 Scholarships'!$A$2:$A$60&lt;&gt;"")*(('1 Scholarships'!$H$2:$H$60="")+ISNUMBER(SEARCH(","&amp;J8&amp;",",","&amp;SUBSTITUTE('1 Scholarships'!$H$2:$H$60," ","")&amp;","))&gt;0)*(('1 Scholarships'!$J$2:$J$60&lt;&gt;"Yes")+(L8="Yes")&gt;0)*((K8="")+ISNUMBER(SEARCH(","&amp;K8&amp;",",","&amp;SUBSTITUTE('1 Scholarships'!$P$2:$P$60," ","")&amp;","))&gt;0)*'1 Scholarships'!$F$2:$F$60)))</f>
        <v/>
      </c>
      <c r="O8" s="18"/>
      <c r="P8" s="18"/>
      <c r="Q8" s="18"/>
      <c r="R8" s="19"/>
      <c r="S8" s="19"/>
      <c r="T8" s="18"/>
      <c r="U8" s="18"/>
      <c r="V8" s="18"/>
    </row>
    <row r="9" customFormat="false" ht="15" hidden="false" customHeight="false" outlineLevel="0" collapsed="false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4" t="str">
        <f aca="false">IF(OR(I9="",J9=""),"",SUMPRODUCT((CODE(I9)&lt;=CODE('1 Scholarships'!$G$2:$G$60))*('1 Scholarships'!$A$2:$A$60&lt;&gt;"")*(('1 Scholarships'!$H$2:$H$60="")+ISNUMBER(SEARCH(","&amp;J9&amp;",",","&amp;SUBSTITUTE('1 Scholarships'!$H$2:$H$60," ","")&amp;","))&gt;0)*(('1 Scholarships'!$J$2:$J$60&lt;&gt;"Yes")+(L9="Yes")&gt;0)*((K9="")+ISNUMBER(SEARCH(","&amp;K9&amp;",",","&amp;SUBSTITUTE('1 Scholarships'!$P$2:$P$60," ","")&amp;","))&gt;0)))</f>
        <v/>
      </c>
      <c r="N9" s="20" t="str">
        <f aca="false">IF(OR(I9="",J9=""),"",SUMPRODUCT(MAX((CODE(I9)&lt;=CODE('1 Scholarships'!$G$2:$G$60))*('1 Scholarships'!$A$2:$A$60&lt;&gt;"")*(('1 Scholarships'!$H$2:$H$60="")+ISNUMBER(SEARCH(","&amp;J9&amp;",",","&amp;SUBSTITUTE('1 Scholarships'!$H$2:$H$60," ","")&amp;","))&gt;0)*(('1 Scholarships'!$J$2:$J$60&lt;&gt;"Yes")+(L9="Yes")&gt;0)*((K9="")+ISNUMBER(SEARCH(","&amp;K9&amp;",",","&amp;SUBSTITUTE('1 Scholarships'!$P$2:$P$60," ","")&amp;","))&gt;0)*'1 Scholarships'!$F$2:$F$60)))</f>
        <v/>
      </c>
      <c r="O9" s="18"/>
      <c r="P9" s="18"/>
      <c r="Q9" s="18"/>
      <c r="R9" s="19"/>
      <c r="S9" s="19"/>
      <c r="T9" s="18"/>
      <c r="U9" s="18"/>
      <c r="V9" s="18"/>
    </row>
    <row r="10" customFormat="false" ht="15" hidden="false" customHeight="false" outlineLevel="0" collapsed="false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4" t="str">
        <f aca="false">IF(OR(I10="",J10=""),"",SUMPRODUCT((CODE(I10)&lt;=CODE('1 Scholarships'!$G$2:$G$60))*('1 Scholarships'!$A$2:$A$60&lt;&gt;"")*(('1 Scholarships'!$H$2:$H$60="")+ISNUMBER(SEARCH(","&amp;J10&amp;",",","&amp;SUBSTITUTE('1 Scholarships'!$H$2:$H$60," ","")&amp;","))&gt;0)*(('1 Scholarships'!$J$2:$J$60&lt;&gt;"Yes")+(L10="Yes")&gt;0)*((K10="")+ISNUMBER(SEARCH(","&amp;K10&amp;",",","&amp;SUBSTITUTE('1 Scholarships'!$P$2:$P$60," ","")&amp;","))&gt;0)))</f>
        <v/>
      </c>
      <c r="N10" s="20" t="str">
        <f aca="false">IF(OR(I10="",J10=""),"",SUMPRODUCT(MAX((CODE(I10)&lt;=CODE('1 Scholarships'!$G$2:$G$60))*('1 Scholarships'!$A$2:$A$60&lt;&gt;"")*(('1 Scholarships'!$H$2:$H$60="")+ISNUMBER(SEARCH(","&amp;J10&amp;",",","&amp;SUBSTITUTE('1 Scholarships'!$H$2:$H$60," ","")&amp;","))&gt;0)*(('1 Scholarships'!$J$2:$J$60&lt;&gt;"Yes")+(L10="Yes")&gt;0)*((K10="")+ISNUMBER(SEARCH(","&amp;K10&amp;",",","&amp;SUBSTITUTE('1 Scholarships'!$P$2:$P$60," ","")&amp;","))&gt;0)*'1 Scholarships'!$F$2:$F$60)))</f>
        <v/>
      </c>
      <c r="O10" s="18"/>
      <c r="P10" s="18"/>
      <c r="Q10" s="18"/>
      <c r="R10" s="19"/>
      <c r="S10" s="19"/>
      <c r="T10" s="18"/>
      <c r="U10" s="18"/>
      <c r="V10" s="18"/>
    </row>
    <row r="11" customFormat="false" ht="15" hidden="false" customHeight="false" outlineLevel="0" collapsed="false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4" t="str">
        <f aca="false">IF(OR(I11="",J11=""),"",SUMPRODUCT((CODE(I11)&lt;=CODE('1 Scholarships'!$G$2:$G$60))*('1 Scholarships'!$A$2:$A$60&lt;&gt;"")*(('1 Scholarships'!$H$2:$H$60="")+ISNUMBER(SEARCH(","&amp;J11&amp;",",","&amp;SUBSTITUTE('1 Scholarships'!$H$2:$H$60," ","")&amp;","))&gt;0)*(('1 Scholarships'!$J$2:$J$60&lt;&gt;"Yes")+(L11="Yes")&gt;0)*((K11="")+ISNUMBER(SEARCH(","&amp;K11&amp;",",","&amp;SUBSTITUTE('1 Scholarships'!$P$2:$P$60," ","")&amp;","))&gt;0)))</f>
        <v/>
      </c>
      <c r="N11" s="20" t="str">
        <f aca="false">IF(OR(I11="",J11=""),"",SUMPRODUCT(MAX((CODE(I11)&lt;=CODE('1 Scholarships'!$G$2:$G$60))*('1 Scholarships'!$A$2:$A$60&lt;&gt;"")*(('1 Scholarships'!$H$2:$H$60="")+ISNUMBER(SEARCH(","&amp;J11&amp;",",","&amp;SUBSTITUTE('1 Scholarships'!$H$2:$H$60," ","")&amp;","))&gt;0)*(('1 Scholarships'!$J$2:$J$60&lt;&gt;"Yes")+(L11="Yes")&gt;0)*((K11="")+ISNUMBER(SEARCH(","&amp;K11&amp;",",","&amp;SUBSTITUTE('1 Scholarships'!$P$2:$P$60," ","")&amp;","))&gt;0)*'1 Scholarships'!$F$2:$F$60)))</f>
        <v/>
      </c>
      <c r="O11" s="18"/>
      <c r="P11" s="18"/>
      <c r="Q11" s="18"/>
      <c r="R11" s="19"/>
      <c r="S11" s="19"/>
      <c r="T11" s="18"/>
      <c r="U11" s="18"/>
      <c r="V11" s="18"/>
    </row>
    <row r="12" customFormat="false" ht="15" hidden="false" customHeight="false" outlineLevel="0" collapsed="false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4" t="str">
        <f aca="false">IF(OR(I12="",J12=""),"",SUMPRODUCT((CODE(I12)&lt;=CODE('1 Scholarships'!$G$2:$G$60))*('1 Scholarships'!$A$2:$A$60&lt;&gt;"")*(('1 Scholarships'!$H$2:$H$60="")+ISNUMBER(SEARCH(","&amp;J12&amp;",",","&amp;SUBSTITUTE('1 Scholarships'!$H$2:$H$60," ","")&amp;","))&gt;0)*(('1 Scholarships'!$J$2:$J$60&lt;&gt;"Yes")+(L12="Yes")&gt;0)*((K12="")+ISNUMBER(SEARCH(","&amp;K12&amp;",",","&amp;SUBSTITUTE('1 Scholarships'!$P$2:$P$60," ","")&amp;","))&gt;0)))</f>
        <v/>
      </c>
      <c r="N12" s="20" t="str">
        <f aca="false">IF(OR(I12="",J12=""),"",SUMPRODUCT(MAX((CODE(I12)&lt;=CODE('1 Scholarships'!$G$2:$G$60))*('1 Scholarships'!$A$2:$A$60&lt;&gt;"")*(('1 Scholarships'!$H$2:$H$60="")+ISNUMBER(SEARCH(","&amp;J12&amp;",",","&amp;SUBSTITUTE('1 Scholarships'!$H$2:$H$60," ","")&amp;","))&gt;0)*(('1 Scholarships'!$J$2:$J$60&lt;&gt;"Yes")+(L12="Yes")&gt;0)*((K12="")+ISNUMBER(SEARCH(","&amp;K12&amp;",",","&amp;SUBSTITUTE('1 Scholarships'!$P$2:$P$60," ","")&amp;","))&gt;0)*'1 Scholarships'!$F$2:$F$60)))</f>
        <v/>
      </c>
      <c r="O12" s="18"/>
      <c r="P12" s="18"/>
      <c r="Q12" s="18"/>
      <c r="R12" s="19"/>
      <c r="S12" s="19"/>
      <c r="T12" s="18"/>
      <c r="U12" s="18"/>
      <c r="V12" s="18"/>
    </row>
    <row r="13" customFormat="false" ht="15" hidden="false" customHeight="false" outlineLevel="0" collapsed="false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4" t="str">
        <f aca="false">IF(OR(I13="",J13=""),"",SUMPRODUCT((CODE(I13)&lt;=CODE('1 Scholarships'!$G$2:$G$60))*('1 Scholarships'!$A$2:$A$60&lt;&gt;"")*(('1 Scholarships'!$H$2:$H$60="")+ISNUMBER(SEARCH(","&amp;J13&amp;",",","&amp;SUBSTITUTE('1 Scholarships'!$H$2:$H$60," ","")&amp;","))&gt;0)*(('1 Scholarships'!$J$2:$J$60&lt;&gt;"Yes")+(L13="Yes")&gt;0)*((K13="")+ISNUMBER(SEARCH(","&amp;K13&amp;",",","&amp;SUBSTITUTE('1 Scholarships'!$P$2:$P$60," ","")&amp;","))&gt;0)))</f>
        <v/>
      </c>
      <c r="N13" s="20" t="str">
        <f aca="false">IF(OR(I13="",J13=""),"",SUMPRODUCT(MAX((CODE(I13)&lt;=CODE('1 Scholarships'!$G$2:$G$60))*('1 Scholarships'!$A$2:$A$60&lt;&gt;"")*(('1 Scholarships'!$H$2:$H$60="")+ISNUMBER(SEARCH(","&amp;J13&amp;",",","&amp;SUBSTITUTE('1 Scholarships'!$H$2:$H$60," ","")&amp;","))&gt;0)*(('1 Scholarships'!$J$2:$J$60&lt;&gt;"Yes")+(L13="Yes")&gt;0)*((K13="")+ISNUMBER(SEARCH(","&amp;K13&amp;",",","&amp;SUBSTITUTE('1 Scholarships'!$P$2:$P$60," ","")&amp;","))&gt;0)*'1 Scholarships'!$F$2:$F$60)))</f>
        <v/>
      </c>
      <c r="O13" s="18"/>
      <c r="P13" s="18"/>
      <c r="Q13" s="18"/>
      <c r="R13" s="19"/>
      <c r="S13" s="19"/>
      <c r="T13" s="18"/>
      <c r="U13" s="18"/>
      <c r="V13" s="18"/>
    </row>
    <row r="14" customFormat="false" ht="15" hidden="false" customHeight="false" outlineLevel="0" collapsed="false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4" t="str">
        <f aca="false">IF(OR(I14="",J14=""),"",SUMPRODUCT((CODE(I14)&lt;=CODE('1 Scholarships'!$G$2:$G$60))*('1 Scholarships'!$A$2:$A$60&lt;&gt;"")*(('1 Scholarships'!$H$2:$H$60="")+ISNUMBER(SEARCH(","&amp;J14&amp;",",","&amp;SUBSTITUTE('1 Scholarships'!$H$2:$H$60," ","")&amp;","))&gt;0)*(('1 Scholarships'!$J$2:$J$60&lt;&gt;"Yes")+(L14="Yes")&gt;0)*((K14="")+ISNUMBER(SEARCH(","&amp;K14&amp;",",","&amp;SUBSTITUTE('1 Scholarships'!$P$2:$P$60," ","")&amp;","))&gt;0)))</f>
        <v/>
      </c>
      <c r="N14" s="20" t="str">
        <f aca="false">IF(OR(I14="",J14=""),"",SUMPRODUCT(MAX((CODE(I14)&lt;=CODE('1 Scholarships'!$G$2:$G$60))*('1 Scholarships'!$A$2:$A$60&lt;&gt;"")*(('1 Scholarships'!$H$2:$H$60="")+ISNUMBER(SEARCH(","&amp;J14&amp;",",","&amp;SUBSTITUTE('1 Scholarships'!$H$2:$H$60," ","")&amp;","))&gt;0)*(('1 Scholarships'!$J$2:$J$60&lt;&gt;"Yes")+(L14="Yes")&gt;0)*((K14="")+ISNUMBER(SEARCH(","&amp;K14&amp;",",","&amp;SUBSTITUTE('1 Scholarships'!$P$2:$P$60," ","")&amp;","))&gt;0)*'1 Scholarships'!$F$2:$F$60)))</f>
        <v/>
      </c>
      <c r="O14" s="18"/>
      <c r="P14" s="18"/>
      <c r="Q14" s="18"/>
      <c r="R14" s="19"/>
      <c r="S14" s="19"/>
      <c r="T14" s="18"/>
      <c r="U14" s="18"/>
      <c r="V14" s="18"/>
    </row>
    <row r="15" customFormat="false" ht="15" hidden="false" customHeight="false" outlineLevel="0" collapsed="false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4" t="str">
        <f aca="false">IF(OR(I15="",J15=""),"",SUMPRODUCT((CODE(I15)&lt;=CODE('1 Scholarships'!$G$2:$G$60))*('1 Scholarships'!$A$2:$A$60&lt;&gt;"")*(('1 Scholarships'!$H$2:$H$60="")+ISNUMBER(SEARCH(","&amp;J15&amp;",",","&amp;SUBSTITUTE('1 Scholarships'!$H$2:$H$60," ","")&amp;","))&gt;0)*(('1 Scholarships'!$J$2:$J$60&lt;&gt;"Yes")+(L15="Yes")&gt;0)*((K15="")+ISNUMBER(SEARCH(","&amp;K15&amp;",",","&amp;SUBSTITUTE('1 Scholarships'!$P$2:$P$60," ","")&amp;","))&gt;0)))</f>
        <v/>
      </c>
      <c r="N15" s="20" t="str">
        <f aca="false">IF(OR(I15="",J15=""),"",SUMPRODUCT(MAX((CODE(I15)&lt;=CODE('1 Scholarships'!$G$2:$G$60))*('1 Scholarships'!$A$2:$A$60&lt;&gt;"")*(('1 Scholarships'!$H$2:$H$60="")+ISNUMBER(SEARCH(","&amp;J15&amp;",",","&amp;SUBSTITUTE('1 Scholarships'!$H$2:$H$60," ","")&amp;","))&gt;0)*(('1 Scholarships'!$J$2:$J$60&lt;&gt;"Yes")+(L15="Yes")&gt;0)*((K15="")+ISNUMBER(SEARCH(","&amp;K15&amp;",",","&amp;SUBSTITUTE('1 Scholarships'!$P$2:$P$60," ","")&amp;","))&gt;0)*'1 Scholarships'!$F$2:$F$60)))</f>
        <v/>
      </c>
      <c r="O15" s="18"/>
      <c r="P15" s="18"/>
      <c r="Q15" s="18"/>
      <c r="R15" s="19"/>
      <c r="S15" s="19"/>
      <c r="T15" s="18"/>
      <c r="U15" s="18"/>
      <c r="V15" s="18"/>
    </row>
    <row r="16" customFormat="false" ht="15" hidden="false" customHeight="false" outlineLevel="0" collapsed="false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4" t="str">
        <f aca="false">IF(OR(I16="",J16=""),"",SUMPRODUCT((CODE(I16)&lt;=CODE('1 Scholarships'!$G$2:$G$60))*('1 Scholarships'!$A$2:$A$60&lt;&gt;"")*(('1 Scholarships'!$H$2:$H$60="")+ISNUMBER(SEARCH(","&amp;J16&amp;",",","&amp;SUBSTITUTE('1 Scholarships'!$H$2:$H$60," ","")&amp;","))&gt;0)*(('1 Scholarships'!$J$2:$J$60&lt;&gt;"Yes")+(L16="Yes")&gt;0)*((K16="")+ISNUMBER(SEARCH(","&amp;K16&amp;",",","&amp;SUBSTITUTE('1 Scholarships'!$P$2:$P$60," ","")&amp;","))&gt;0)))</f>
        <v/>
      </c>
      <c r="N16" s="20" t="str">
        <f aca="false">IF(OR(I16="",J16=""),"",SUMPRODUCT(MAX((CODE(I16)&lt;=CODE('1 Scholarships'!$G$2:$G$60))*('1 Scholarships'!$A$2:$A$60&lt;&gt;"")*(('1 Scholarships'!$H$2:$H$60="")+ISNUMBER(SEARCH(","&amp;J16&amp;",",","&amp;SUBSTITUTE('1 Scholarships'!$H$2:$H$60," ","")&amp;","))&gt;0)*(('1 Scholarships'!$J$2:$J$60&lt;&gt;"Yes")+(L16="Yes")&gt;0)*((K16="")+ISNUMBER(SEARCH(","&amp;K16&amp;",",","&amp;SUBSTITUTE('1 Scholarships'!$P$2:$P$60," ","")&amp;","))&gt;0)*'1 Scholarships'!$F$2:$F$60)))</f>
        <v/>
      </c>
      <c r="O16" s="18"/>
      <c r="P16" s="18"/>
      <c r="Q16" s="18"/>
      <c r="R16" s="19"/>
      <c r="S16" s="19"/>
      <c r="T16" s="18"/>
      <c r="U16" s="18"/>
      <c r="V16" s="18"/>
    </row>
    <row r="17" customFormat="false" ht="15" hidden="false" customHeight="false" outlineLevel="0" collapsed="false">
      <c r="A17" s="18"/>
      <c r="B17" s="19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4" t="str">
        <f aca="false">IF(OR(I17="",J17=""),"",SUMPRODUCT((CODE(I17)&lt;=CODE('1 Scholarships'!$G$2:$G$60))*('1 Scholarships'!$A$2:$A$60&lt;&gt;"")*(('1 Scholarships'!$H$2:$H$60="")+ISNUMBER(SEARCH(","&amp;J17&amp;",",","&amp;SUBSTITUTE('1 Scholarships'!$H$2:$H$60," ","")&amp;","))&gt;0)*(('1 Scholarships'!$J$2:$J$60&lt;&gt;"Yes")+(L17="Yes")&gt;0)*((K17="")+ISNUMBER(SEARCH(","&amp;K17&amp;",",","&amp;SUBSTITUTE('1 Scholarships'!$P$2:$P$60," ","")&amp;","))&gt;0)))</f>
        <v/>
      </c>
      <c r="N17" s="20" t="str">
        <f aca="false">IF(OR(I17="",J17=""),"",SUMPRODUCT(MAX((CODE(I17)&lt;=CODE('1 Scholarships'!$G$2:$G$60))*('1 Scholarships'!$A$2:$A$60&lt;&gt;"")*(('1 Scholarships'!$H$2:$H$60="")+ISNUMBER(SEARCH(","&amp;J17&amp;",",","&amp;SUBSTITUTE('1 Scholarships'!$H$2:$H$60," ","")&amp;","))&gt;0)*(('1 Scholarships'!$J$2:$J$60&lt;&gt;"Yes")+(L17="Yes")&gt;0)*((K17="")+ISNUMBER(SEARCH(","&amp;K17&amp;",",","&amp;SUBSTITUTE('1 Scholarships'!$P$2:$P$60," ","")&amp;","))&gt;0)*'1 Scholarships'!$F$2:$F$60)))</f>
        <v/>
      </c>
      <c r="O17" s="18"/>
      <c r="P17" s="18"/>
      <c r="Q17" s="18"/>
      <c r="R17" s="19"/>
      <c r="S17" s="19"/>
      <c r="T17" s="18"/>
      <c r="U17" s="18"/>
      <c r="V17" s="18"/>
    </row>
    <row r="18" customFormat="false" ht="15" hidden="false" customHeight="false" outlineLevel="0" collapsed="false">
      <c r="A18" s="18"/>
      <c r="B18" s="19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4" t="str">
        <f aca="false">IF(OR(I18="",J18=""),"",SUMPRODUCT((CODE(I18)&lt;=CODE('1 Scholarships'!$G$2:$G$60))*('1 Scholarships'!$A$2:$A$60&lt;&gt;"")*(('1 Scholarships'!$H$2:$H$60="")+ISNUMBER(SEARCH(","&amp;J18&amp;",",","&amp;SUBSTITUTE('1 Scholarships'!$H$2:$H$60," ","")&amp;","))&gt;0)*(('1 Scholarships'!$J$2:$J$60&lt;&gt;"Yes")+(L18="Yes")&gt;0)*((K18="")+ISNUMBER(SEARCH(","&amp;K18&amp;",",","&amp;SUBSTITUTE('1 Scholarships'!$P$2:$P$60," ","")&amp;","))&gt;0)))</f>
        <v/>
      </c>
      <c r="N18" s="20" t="str">
        <f aca="false">IF(OR(I18="",J18=""),"",SUMPRODUCT(MAX((CODE(I18)&lt;=CODE('1 Scholarships'!$G$2:$G$60))*('1 Scholarships'!$A$2:$A$60&lt;&gt;"")*(('1 Scholarships'!$H$2:$H$60="")+ISNUMBER(SEARCH(","&amp;J18&amp;",",","&amp;SUBSTITUTE('1 Scholarships'!$H$2:$H$60," ","")&amp;","))&gt;0)*(('1 Scholarships'!$J$2:$J$60&lt;&gt;"Yes")+(L18="Yes")&gt;0)*((K18="")+ISNUMBER(SEARCH(","&amp;K18&amp;",",","&amp;SUBSTITUTE('1 Scholarships'!$P$2:$P$60," ","")&amp;","))&gt;0)*'1 Scholarships'!$F$2:$F$60)))</f>
        <v/>
      </c>
      <c r="O18" s="18"/>
      <c r="P18" s="18"/>
      <c r="Q18" s="18"/>
      <c r="R18" s="19"/>
      <c r="S18" s="19"/>
      <c r="T18" s="18"/>
      <c r="U18" s="18"/>
      <c r="V18" s="18"/>
    </row>
    <row r="19" customFormat="false" ht="15" hidden="false" customHeight="false" outlineLevel="0" collapsed="false">
      <c r="A19" s="18"/>
      <c r="B19" s="19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4" t="str">
        <f aca="false">IF(OR(I19="",J19=""),"",SUMPRODUCT((CODE(I19)&lt;=CODE('1 Scholarships'!$G$2:$G$60))*('1 Scholarships'!$A$2:$A$60&lt;&gt;"")*(('1 Scholarships'!$H$2:$H$60="")+ISNUMBER(SEARCH(","&amp;J19&amp;",",","&amp;SUBSTITUTE('1 Scholarships'!$H$2:$H$60," ","")&amp;","))&gt;0)*(('1 Scholarships'!$J$2:$J$60&lt;&gt;"Yes")+(L19="Yes")&gt;0)*((K19="")+ISNUMBER(SEARCH(","&amp;K19&amp;",",","&amp;SUBSTITUTE('1 Scholarships'!$P$2:$P$60," ","")&amp;","))&gt;0)))</f>
        <v/>
      </c>
      <c r="N19" s="20" t="str">
        <f aca="false">IF(OR(I19="",J19=""),"",SUMPRODUCT(MAX((CODE(I19)&lt;=CODE('1 Scholarships'!$G$2:$G$60))*('1 Scholarships'!$A$2:$A$60&lt;&gt;"")*(('1 Scholarships'!$H$2:$H$60="")+ISNUMBER(SEARCH(","&amp;J19&amp;",",","&amp;SUBSTITUTE('1 Scholarships'!$H$2:$H$60," ","")&amp;","))&gt;0)*(('1 Scholarships'!$J$2:$J$60&lt;&gt;"Yes")+(L19="Yes")&gt;0)*((K19="")+ISNUMBER(SEARCH(","&amp;K19&amp;",",","&amp;SUBSTITUTE('1 Scholarships'!$P$2:$P$60," ","")&amp;","))&gt;0)*'1 Scholarships'!$F$2:$F$60)))</f>
        <v/>
      </c>
      <c r="O19" s="18"/>
      <c r="P19" s="18"/>
      <c r="Q19" s="18"/>
      <c r="R19" s="19"/>
      <c r="S19" s="19"/>
      <c r="T19" s="18"/>
      <c r="U19" s="18"/>
      <c r="V19" s="18"/>
    </row>
    <row r="20" customFormat="false" ht="15" hidden="false" customHeight="false" outlineLevel="0" collapsed="false">
      <c r="A20" s="18"/>
      <c r="B20" s="19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4" t="str">
        <f aca="false">IF(OR(I20="",J20=""),"",SUMPRODUCT((CODE(I20)&lt;=CODE('1 Scholarships'!$G$2:$G$60))*('1 Scholarships'!$A$2:$A$60&lt;&gt;"")*(('1 Scholarships'!$H$2:$H$60="")+ISNUMBER(SEARCH(","&amp;J20&amp;",",","&amp;SUBSTITUTE('1 Scholarships'!$H$2:$H$60," ","")&amp;","))&gt;0)*(('1 Scholarships'!$J$2:$J$60&lt;&gt;"Yes")+(L20="Yes")&gt;0)*((K20="")+ISNUMBER(SEARCH(","&amp;K20&amp;",",","&amp;SUBSTITUTE('1 Scholarships'!$P$2:$P$60," ","")&amp;","))&gt;0)))</f>
        <v/>
      </c>
      <c r="N20" s="20" t="str">
        <f aca="false">IF(OR(I20="",J20=""),"",SUMPRODUCT(MAX((CODE(I20)&lt;=CODE('1 Scholarships'!$G$2:$G$60))*('1 Scholarships'!$A$2:$A$60&lt;&gt;"")*(('1 Scholarships'!$H$2:$H$60="")+ISNUMBER(SEARCH(","&amp;J20&amp;",",","&amp;SUBSTITUTE('1 Scholarships'!$H$2:$H$60," ","")&amp;","))&gt;0)*(('1 Scholarships'!$J$2:$J$60&lt;&gt;"Yes")+(L20="Yes")&gt;0)*((K20="")+ISNUMBER(SEARCH(","&amp;K20&amp;",",","&amp;SUBSTITUTE('1 Scholarships'!$P$2:$P$60," ","")&amp;","))&gt;0)*'1 Scholarships'!$F$2:$F$60)))</f>
        <v/>
      </c>
      <c r="O20" s="18"/>
      <c r="P20" s="18"/>
      <c r="Q20" s="18"/>
      <c r="R20" s="19"/>
      <c r="S20" s="19"/>
      <c r="T20" s="18"/>
      <c r="U20" s="18"/>
      <c r="V20" s="18"/>
    </row>
    <row r="21" customFormat="false" ht="15" hidden="false" customHeight="false" outlineLevel="0" collapsed="false">
      <c r="A21" s="18"/>
      <c r="B21" s="19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4" t="str">
        <f aca="false">IF(OR(I21="",J21=""),"",SUMPRODUCT((CODE(I21)&lt;=CODE('1 Scholarships'!$G$2:$G$60))*('1 Scholarships'!$A$2:$A$60&lt;&gt;"")*(('1 Scholarships'!$H$2:$H$60="")+ISNUMBER(SEARCH(","&amp;J21&amp;",",","&amp;SUBSTITUTE('1 Scholarships'!$H$2:$H$60," ","")&amp;","))&gt;0)*(('1 Scholarships'!$J$2:$J$60&lt;&gt;"Yes")+(L21="Yes")&gt;0)*((K21="")+ISNUMBER(SEARCH(","&amp;K21&amp;",",","&amp;SUBSTITUTE('1 Scholarships'!$P$2:$P$60," ","")&amp;","))&gt;0)))</f>
        <v/>
      </c>
      <c r="N21" s="20" t="str">
        <f aca="false">IF(OR(I21="",J21=""),"",SUMPRODUCT(MAX((CODE(I21)&lt;=CODE('1 Scholarships'!$G$2:$G$60))*('1 Scholarships'!$A$2:$A$60&lt;&gt;"")*(('1 Scholarships'!$H$2:$H$60="")+ISNUMBER(SEARCH(","&amp;J21&amp;",",","&amp;SUBSTITUTE('1 Scholarships'!$H$2:$H$60," ","")&amp;","))&gt;0)*(('1 Scholarships'!$J$2:$J$60&lt;&gt;"Yes")+(L21="Yes")&gt;0)*((K21="")+ISNUMBER(SEARCH(","&amp;K21&amp;",",","&amp;SUBSTITUTE('1 Scholarships'!$P$2:$P$60," ","")&amp;","))&gt;0)*'1 Scholarships'!$F$2:$F$60)))</f>
        <v/>
      </c>
      <c r="O21" s="18"/>
      <c r="P21" s="18"/>
      <c r="Q21" s="18"/>
      <c r="R21" s="19"/>
      <c r="S21" s="19"/>
      <c r="T21" s="18"/>
      <c r="U21" s="18"/>
      <c r="V21" s="18"/>
    </row>
    <row r="22" customFormat="false" ht="15" hidden="false" customHeight="false" outlineLevel="0" collapsed="false">
      <c r="A22" s="18"/>
      <c r="B22" s="19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4" t="str">
        <f aca="false">IF(OR(I22="",J22=""),"",SUMPRODUCT((CODE(I22)&lt;=CODE('1 Scholarships'!$G$2:$G$60))*('1 Scholarships'!$A$2:$A$60&lt;&gt;"")*(('1 Scholarships'!$H$2:$H$60="")+ISNUMBER(SEARCH(","&amp;J22&amp;",",","&amp;SUBSTITUTE('1 Scholarships'!$H$2:$H$60," ","")&amp;","))&gt;0)*(('1 Scholarships'!$J$2:$J$60&lt;&gt;"Yes")+(L22="Yes")&gt;0)*((K22="")+ISNUMBER(SEARCH(","&amp;K22&amp;",",","&amp;SUBSTITUTE('1 Scholarships'!$P$2:$P$60," ","")&amp;","))&gt;0)))</f>
        <v/>
      </c>
      <c r="N22" s="20" t="str">
        <f aca="false">IF(OR(I22="",J22=""),"",SUMPRODUCT(MAX((CODE(I22)&lt;=CODE('1 Scholarships'!$G$2:$G$60))*('1 Scholarships'!$A$2:$A$60&lt;&gt;"")*(('1 Scholarships'!$H$2:$H$60="")+ISNUMBER(SEARCH(","&amp;J22&amp;",",","&amp;SUBSTITUTE('1 Scholarships'!$H$2:$H$60," ","")&amp;","))&gt;0)*(('1 Scholarships'!$J$2:$J$60&lt;&gt;"Yes")+(L22="Yes")&gt;0)*((K22="")+ISNUMBER(SEARCH(","&amp;K22&amp;",",","&amp;SUBSTITUTE('1 Scholarships'!$P$2:$P$60," ","")&amp;","))&gt;0)*'1 Scholarships'!$F$2:$F$60)))</f>
        <v/>
      </c>
      <c r="O22" s="18"/>
      <c r="P22" s="18"/>
      <c r="Q22" s="18"/>
      <c r="R22" s="19"/>
      <c r="S22" s="19"/>
      <c r="T22" s="18"/>
      <c r="U22" s="18"/>
      <c r="V22" s="18"/>
    </row>
    <row r="23" customFormat="false" ht="15" hidden="false" customHeight="false" outlineLevel="0" collapsed="false">
      <c r="A23" s="18"/>
      <c r="B23" s="1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4" t="str">
        <f aca="false">IF(OR(I23="",J23=""),"",SUMPRODUCT((CODE(I23)&lt;=CODE('1 Scholarships'!$G$2:$G$60))*('1 Scholarships'!$A$2:$A$60&lt;&gt;"")*(('1 Scholarships'!$H$2:$H$60="")+ISNUMBER(SEARCH(","&amp;J23&amp;",",","&amp;SUBSTITUTE('1 Scholarships'!$H$2:$H$60," ","")&amp;","))&gt;0)*(('1 Scholarships'!$J$2:$J$60&lt;&gt;"Yes")+(L23="Yes")&gt;0)*((K23="")+ISNUMBER(SEARCH(","&amp;K23&amp;",",","&amp;SUBSTITUTE('1 Scholarships'!$P$2:$P$60," ","")&amp;","))&gt;0)))</f>
        <v/>
      </c>
      <c r="N23" s="20" t="str">
        <f aca="false">IF(OR(I23="",J23=""),"",SUMPRODUCT(MAX((CODE(I23)&lt;=CODE('1 Scholarships'!$G$2:$G$60))*('1 Scholarships'!$A$2:$A$60&lt;&gt;"")*(('1 Scholarships'!$H$2:$H$60="")+ISNUMBER(SEARCH(","&amp;J23&amp;",",","&amp;SUBSTITUTE('1 Scholarships'!$H$2:$H$60," ","")&amp;","))&gt;0)*(('1 Scholarships'!$J$2:$J$60&lt;&gt;"Yes")+(L23="Yes")&gt;0)*((K23="")+ISNUMBER(SEARCH(","&amp;K23&amp;",",","&amp;SUBSTITUTE('1 Scholarships'!$P$2:$P$60," ","")&amp;","))&gt;0)*'1 Scholarships'!$F$2:$F$60)))</f>
        <v/>
      </c>
      <c r="O23" s="18"/>
      <c r="P23" s="18"/>
      <c r="Q23" s="18"/>
      <c r="R23" s="19"/>
      <c r="S23" s="19"/>
      <c r="T23" s="18"/>
      <c r="U23" s="18"/>
      <c r="V23" s="18"/>
    </row>
    <row r="24" customFormat="false" ht="15" hidden="false" customHeight="false" outlineLevel="0" collapsed="false">
      <c r="A24" s="18"/>
      <c r="B24" s="19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4" t="str">
        <f aca="false">IF(OR(I24="",J24=""),"",SUMPRODUCT((CODE(I24)&lt;=CODE('1 Scholarships'!$G$2:$G$60))*('1 Scholarships'!$A$2:$A$60&lt;&gt;"")*(('1 Scholarships'!$H$2:$H$60="")+ISNUMBER(SEARCH(","&amp;J24&amp;",",","&amp;SUBSTITUTE('1 Scholarships'!$H$2:$H$60," ","")&amp;","))&gt;0)*(('1 Scholarships'!$J$2:$J$60&lt;&gt;"Yes")+(L24="Yes")&gt;0)*((K24="")+ISNUMBER(SEARCH(","&amp;K24&amp;",",","&amp;SUBSTITUTE('1 Scholarships'!$P$2:$P$60," ","")&amp;","))&gt;0)))</f>
        <v/>
      </c>
      <c r="N24" s="20" t="str">
        <f aca="false">IF(OR(I24="",J24=""),"",SUMPRODUCT(MAX((CODE(I24)&lt;=CODE('1 Scholarships'!$G$2:$G$60))*('1 Scholarships'!$A$2:$A$60&lt;&gt;"")*(('1 Scholarships'!$H$2:$H$60="")+ISNUMBER(SEARCH(","&amp;J24&amp;",",","&amp;SUBSTITUTE('1 Scholarships'!$H$2:$H$60," ","")&amp;","))&gt;0)*(('1 Scholarships'!$J$2:$J$60&lt;&gt;"Yes")+(L24="Yes")&gt;0)*((K24="")+ISNUMBER(SEARCH(","&amp;K24&amp;",",","&amp;SUBSTITUTE('1 Scholarships'!$P$2:$P$60," ","")&amp;","))&gt;0)*'1 Scholarships'!$F$2:$F$60)))</f>
        <v/>
      </c>
      <c r="O24" s="18"/>
      <c r="P24" s="18"/>
      <c r="Q24" s="18"/>
      <c r="R24" s="19"/>
      <c r="S24" s="19"/>
      <c r="T24" s="18"/>
      <c r="U24" s="18"/>
      <c r="V24" s="18"/>
    </row>
    <row r="25" customFormat="false" ht="15" hidden="false" customHeight="false" outlineLevel="0" collapsed="false">
      <c r="A25" s="18"/>
      <c r="B25" s="19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4" t="str">
        <f aca="false">IF(OR(I25="",J25=""),"",SUMPRODUCT((CODE(I25)&lt;=CODE('1 Scholarships'!$G$2:$G$60))*('1 Scholarships'!$A$2:$A$60&lt;&gt;"")*(('1 Scholarships'!$H$2:$H$60="")+ISNUMBER(SEARCH(","&amp;J25&amp;",",","&amp;SUBSTITUTE('1 Scholarships'!$H$2:$H$60," ","")&amp;","))&gt;0)*(('1 Scholarships'!$J$2:$J$60&lt;&gt;"Yes")+(L25="Yes")&gt;0)*((K25="")+ISNUMBER(SEARCH(","&amp;K25&amp;",",","&amp;SUBSTITUTE('1 Scholarships'!$P$2:$P$60," ","")&amp;","))&gt;0)))</f>
        <v/>
      </c>
      <c r="N25" s="20" t="str">
        <f aca="false">IF(OR(I25="",J25=""),"",SUMPRODUCT(MAX((CODE(I25)&lt;=CODE('1 Scholarships'!$G$2:$G$60))*('1 Scholarships'!$A$2:$A$60&lt;&gt;"")*(('1 Scholarships'!$H$2:$H$60="")+ISNUMBER(SEARCH(","&amp;J25&amp;",",","&amp;SUBSTITUTE('1 Scholarships'!$H$2:$H$60," ","")&amp;","))&gt;0)*(('1 Scholarships'!$J$2:$J$60&lt;&gt;"Yes")+(L25="Yes")&gt;0)*((K25="")+ISNUMBER(SEARCH(","&amp;K25&amp;",",","&amp;SUBSTITUTE('1 Scholarships'!$P$2:$P$60," ","")&amp;","))&gt;0)*'1 Scholarships'!$F$2:$F$60)))</f>
        <v/>
      </c>
      <c r="O25" s="18"/>
      <c r="P25" s="18"/>
      <c r="Q25" s="18"/>
      <c r="R25" s="19"/>
      <c r="S25" s="19"/>
      <c r="T25" s="18"/>
      <c r="U25" s="18"/>
      <c r="V25" s="18"/>
    </row>
    <row r="26" customFormat="false" ht="15" hidden="false" customHeight="false" outlineLevel="0" collapsed="false">
      <c r="A26" s="18"/>
      <c r="B26" s="19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4" t="str">
        <f aca="false">IF(OR(I26="",J26=""),"",SUMPRODUCT((CODE(I26)&lt;=CODE('1 Scholarships'!$G$2:$G$60))*('1 Scholarships'!$A$2:$A$60&lt;&gt;"")*(('1 Scholarships'!$H$2:$H$60="")+ISNUMBER(SEARCH(","&amp;J26&amp;",",","&amp;SUBSTITUTE('1 Scholarships'!$H$2:$H$60," ","")&amp;","))&gt;0)*(('1 Scholarships'!$J$2:$J$60&lt;&gt;"Yes")+(L26="Yes")&gt;0)*((K26="")+ISNUMBER(SEARCH(","&amp;K26&amp;",",","&amp;SUBSTITUTE('1 Scholarships'!$P$2:$P$60," ","")&amp;","))&gt;0)))</f>
        <v/>
      </c>
      <c r="N26" s="20" t="str">
        <f aca="false">IF(OR(I26="",J26=""),"",SUMPRODUCT(MAX((CODE(I26)&lt;=CODE('1 Scholarships'!$G$2:$G$60))*('1 Scholarships'!$A$2:$A$60&lt;&gt;"")*(('1 Scholarships'!$H$2:$H$60="")+ISNUMBER(SEARCH(","&amp;J26&amp;",",","&amp;SUBSTITUTE('1 Scholarships'!$H$2:$H$60," ","")&amp;","))&gt;0)*(('1 Scholarships'!$J$2:$J$60&lt;&gt;"Yes")+(L26="Yes")&gt;0)*((K26="")+ISNUMBER(SEARCH(","&amp;K26&amp;",",","&amp;SUBSTITUTE('1 Scholarships'!$P$2:$P$60," ","")&amp;","))&gt;0)*'1 Scholarships'!$F$2:$F$60)))</f>
        <v/>
      </c>
      <c r="O26" s="18"/>
      <c r="P26" s="18"/>
      <c r="Q26" s="18"/>
      <c r="R26" s="19"/>
      <c r="S26" s="19"/>
      <c r="T26" s="18"/>
      <c r="U26" s="18"/>
      <c r="V26" s="18"/>
    </row>
    <row r="27" customFormat="false" ht="15" hidden="false" customHeight="false" outlineLevel="0" collapsed="false">
      <c r="A27" s="18"/>
      <c r="B27" s="19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4" t="str">
        <f aca="false">IF(OR(I27="",J27=""),"",SUMPRODUCT((CODE(I27)&lt;=CODE('1 Scholarships'!$G$2:$G$60))*('1 Scholarships'!$A$2:$A$60&lt;&gt;"")*(('1 Scholarships'!$H$2:$H$60="")+ISNUMBER(SEARCH(","&amp;J27&amp;",",","&amp;SUBSTITUTE('1 Scholarships'!$H$2:$H$60," ","")&amp;","))&gt;0)*(('1 Scholarships'!$J$2:$J$60&lt;&gt;"Yes")+(L27="Yes")&gt;0)*((K27="")+ISNUMBER(SEARCH(","&amp;K27&amp;",",","&amp;SUBSTITUTE('1 Scholarships'!$P$2:$P$60," ","")&amp;","))&gt;0)))</f>
        <v/>
      </c>
      <c r="N27" s="20" t="str">
        <f aca="false">IF(OR(I27="",J27=""),"",SUMPRODUCT(MAX((CODE(I27)&lt;=CODE('1 Scholarships'!$G$2:$G$60))*('1 Scholarships'!$A$2:$A$60&lt;&gt;"")*(('1 Scholarships'!$H$2:$H$60="")+ISNUMBER(SEARCH(","&amp;J27&amp;",",","&amp;SUBSTITUTE('1 Scholarships'!$H$2:$H$60," ","")&amp;","))&gt;0)*(('1 Scholarships'!$J$2:$J$60&lt;&gt;"Yes")+(L27="Yes")&gt;0)*((K27="")+ISNUMBER(SEARCH(","&amp;K27&amp;",",","&amp;SUBSTITUTE('1 Scholarships'!$P$2:$P$60," ","")&amp;","))&gt;0)*'1 Scholarships'!$F$2:$F$60)))</f>
        <v/>
      </c>
      <c r="O27" s="18"/>
      <c r="P27" s="18"/>
      <c r="Q27" s="18"/>
      <c r="R27" s="19"/>
      <c r="S27" s="19"/>
      <c r="T27" s="18"/>
      <c r="U27" s="18"/>
      <c r="V27" s="18"/>
    </row>
    <row r="28" customFormat="false" ht="15" hidden="false" customHeight="false" outlineLevel="0" collapsed="false">
      <c r="A28" s="18"/>
      <c r="B28" s="19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4" t="str">
        <f aca="false">IF(OR(I28="",J28=""),"",SUMPRODUCT((CODE(I28)&lt;=CODE('1 Scholarships'!$G$2:$G$60))*('1 Scholarships'!$A$2:$A$60&lt;&gt;"")*(('1 Scholarships'!$H$2:$H$60="")+ISNUMBER(SEARCH(","&amp;J28&amp;",",","&amp;SUBSTITUTE('1 Scholarships'!$H$2:$H$60," ","")&amp;","))&gt;0)*(('1 Scholarships'!$J$2:$J$60&lt;&gt;"Yes")+(L28="Yes")&gt;0)*((K28="")+ISNUMBER(SEARCH(","&amp;K28&amp;",",","&amp;SUBSTITUTE('1 Scholarships'!$P$2:$P$60," ","")&amp;","))&gt;0)))</f>
        <v/>
      </c>
      <c r="N28" s="20" t="str">
        <f aca="false">IF(OR(I28="",J28=""),"",SUMPRODUCT(MAX((CODE(I28)&lt;=CODE('1 Scholarships'!$G$2:$G$60))*('1 Scholarships'!$A$2:$A$60&lt;&gt;"")*(('1 Scholarships'!$H$2:$H$60="")+ISNUMBER(SEARCH(","&amp;J28&amp;",",","&amp;SUBSTITUTE('1 Scholarships'!$H$2:$H$60," ","")&amp;","))&gt;0)*(('1 Scholarships'!$J$2:$J$60&lt;&gt;"Yes")+(L28="Yes")&gt;0)*((K28="")+ISNUMBER(SEARCH(","&amp;K28&amp;",",","&amp;SUBSTITUTE('1 Scholarships'!$P$2:$P$60," ","")&amp;","))&gt;0)*'1 Scholarships'!$F$2:$F$60)))</f>
        <v/>
      </c>
      <c r="O28" s="18"/>
      <c r="P28" s="18"/>
      <c r="Q28" s="18"/>
      <c r="R28" s="19"/>
      <c r="S28" s="19"/>
      <c r="T28" s="18"/>
      <c r="U28" s="18"/>
      <c r="V28" s="18"/>
    </row>
    <row r="29" customFormat="false" ht="15" hidden="false" customHeight="false" outlineLevel="0" collapsed="false">
      <c r="A29" s="18"/>
      <c r="B29" s="19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4" t="str">
        <f aca="false">IF(OR(I29="",J29=""),"",SUMPRODUCT((CODE(I29)&lt;=CODE('1 Scholarships'!$G$2:$G$60))*('1 Scholarships'!$A$2:$A$60&lt;&gt;"")*(('1 Scholarships'!$H$2:$H$60="")+ISNUMBER(SEARCH(","&amp;J29&amp;",",","&amp;SUBSTITUTE('1 Scholarships'!$H$2:$H$60," ","")&amp;","))&gt;0)*(('1 Scholarships'!$J$2:$J$60&lt;&gt;"Yes")+(L29="Yes")&gt;0)*((K29="")+ISNUMBER(SEARCH(","&amp;K29&amp;",",","&amp;SUBSTITUTE('1 Scholarships'!$P$2:$P$60," ","")&amp;","))&gt;0)))</f>
        <v/>
      </c>
      <c r="N29" s="20" t="str">
        <f aca="false">IF(OR(I29="",J29=""),"",SUMPRODUCT(MAX((CODE(I29)&lt;=CODE('1 Scholarships'!$G$2:$G$60))*('1 Scholarships'!$A$2:$A$60&lt;&gt;"")*(('1 Scholarships'!$H$2:$H$60="")+ISNUMBER(SEARCH(","&amp;J29&amp;",",","&amp;SUBSTITUTE('1 Scholarships'!$H$2:$H$60," ","")&amp;","))&gt;0)*(('1 Scholarships'!$J$2:$J$60&lt;&gt;"Yes")+(L29="Yes")&gt;0)*((K29="")+ISNUMBER(SEARCH(","&amp;K29&amp;",",","&amp;SUBSTITUTE('1 Scholarships'!$P$2:$P$60," ","")&amp;","))&gt;0)*'1 Scholarships'!$F$2:$F$60)))</f>
        <v/>
      </c>
      <c r="O29" s="18"/>
      <c r="P29" s="18"/>
      <c r="Q29" s="18"/>
      <c r="R29" s="19"/>
      <c r="S29" s="19"/>
      <c r="T29" s="18"/>
      <c r="U29" s="18"/>
      <c r="V29" s="18"/>
    </row>
    <row r="30" customFormat="false" ht="15" hidden="false" customHeight="false" outlineLevel="0" collapsed="false">
      <c r="A30" s="18"/>
      <c r="B30" s="19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4" t="str">
        <f aca="false">IF(OR(I30="",J30=""),"",SUMPRODUCT((CODE(I30)&lt;=CODE('1 Scholarships'!$G$2:$G$60))*('1 Scholarships'!$A$2:$A$60&lt;&gt;"")*(('1 Scholarships'!$H$2:$H$60="")+ISNUMBER(SEARCH(","&amp;J30&amp;",",","&amp;SUBSTITUTE('1 Scholarships'!$H$2:$H$60," ","")&amp;","))&gt;0)*(('1 Scholarships'!$J$2:$J$60&lt;&gt;"Yes")+(L30="Yes")&gt;0)*((K30="")+ISNUMBER(SEARCH(","&amp;K30&amp;",",","&amp;SUBSTITUTE('1 Scholarships'!$P$2:$P$60," ","")&amp;","))&gt;0)))</f>
        <v/>
      </c>
      <c r="N30" s="20" t="str">
        <f aca="false">IF(OR(I30="",J30=""),"",SUMPRODUCT(MAX((CODE(I30)&lt;=CODE('1 Scholarships'!$G$2:$G$60))*('1 Scholarships'!$A$2:$A$60&lt;&gt;"")*(('1 Scholarships'!$H$2:$H$60="")+ISNUMBER(SEARCH(","&amp;J30&amp;",",","&amp;SUBSTITUTE('1 Scholarships'!$H$2:$H$60," ","")&amp;","))&gt;0)*(('1 Scholarships'!$J$2:$J$60&lt;&gt;"Yes")+(L30="Yes")&gt;0)*((K30="")+ISNUMBER(SEARCH(","&amp;K30&amp;",",","&amp;SUBSTITUTE('1 Scholarships'!$P$2:$P$60," ","")&amp;","))&gt;0)*'1 Scholarships'!$F$2:$F$60)))</f>
        <v/>
      </c>
      <c r="O30" s="18"/>
      <c r="P30" s="18"/>
      <c r="Q30" s="18"/>
      <c r="R30" s="19"/>
      <c r="S30" s="19"/>
      <c r="T30" s="18"/>
      <c r="U30" s="18"/>
      <c r="V30" s="18"/>
    </row>
    <row r="31" customFormat="false" ht="15" hidden="false" customHeight="false" outlineLevel="0" collapsed="false">
      <c r="A31" s="18"/>
      <c r="B31" s="19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4" t="str">
        <f aca="false">IF(OR(I31="",J31=""),"",SUMPRODUCT((CODE(I31)&lt;=CODE('1 Scholarships'!$G$2:$G$60))*('1 Scholarships'!$A$2:$A$60&lt;&gt;"")*(('1 Scholarships'!$H$2:$H$60="")+ISNUMBER(SEARCH(","&amp;J31&amp;",",","&amp;SUBSTITUTE('1 Scholarships'!$H$2:$H$60," ","")&amp;","))&gt;0)*(('1 Scholarships'!$J$2:$J$60&lt;&gt;"Yes")+(L31="Yes")&gt;0)*((K31="")+ISNUMBER(SEARCH(","&amp;K31&amp;",",","&amp;SUBSTITUTE('1 Scholarships'!$P$2:$P$60," ","")&amp;","))&gt;0)))</f>
        <v/>
      </c>
      <c r="N31" s="20" t="str">
        <f aca="false">IF(OR(I31="",J31=""),"",SUMPRODUCT(MAX((CODE(I31)&lt;=CODE('1 Scholarships'!$G$2:$G$60))*('1 Scholarships'!$A$2:$A$60&lt;&gt;"")*(('1 Scholarships'!$H$2:$H$60="")+ISNUMBER(SEARCH(","&amp;J31&amp;",",","&amp;SUBSTITUTE('1 Scholarships'!$H$2:$H$60," ","")&amp;","))&gt;0)*(('1 Scholarships'!$J$2:$J$60&lt;&gt;"Yes")+(L31="Yes")&gt;0)*((K31="")+ISNUMBER(SEARCH(","&amp;K31&amp;",",","&amp;SUBSTITUTE('1 Scholarships'!$P$2:$P$60," ","")&amp;","))&gt;0)*'1 Scholarships'!$F$2:$F$60)))</f>
        <v/>
      </c>
      <c r="O31" s="18"/>
      <c r="P31" s="18"/>
      <c r="Q31" s="18"/>
      <c r="R31" s="19"/>
      <c r="S31" s="19"/>
      <c r="T31" s="18"/>
      <c r="U31" s="18"/>
      <c r="V31" s="18"/>
    </row>
    <row r="32" customFormat="false" ht="15" hidden="false" customHeight="false" outlineLevel="0" collapsed="false">
      <c r="A32" s="18"/>
      <c r="B32" s="19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4" t="str">
        <f aca="false">IF(OR(I32="",J32=""),"",SUMPRODUCT((CODE(I32)&lt;=CODE('1 Scholarships'!$G$2:$G$60))*('1 Scholarships'!$A$2:$A$60&lt;&gt;"")*(('1 Scholarships'!$H$2:$H$60="")+ISNUMBER(SEARCH(","&amp;J32&amp;",",","&amp;SUBSTITUTE('1 Scholarships'!$H$2:$H$60," ","")&amp;","))&gt;0)*(('1 Scholarships'!$J$2:$J$60&lt;&gt;"Yes")+(L32="Yes")&gt;0)*((K32="")+ISNUMBER(SEARCH(","&amp;K32&amp;",",","&amp;SUBSTITUTE('1 Scholarships'!$P$2:$P$60," ","")&amp;","))&gt;0)))</f>
        <v/>
      </c>
      <c r="N32" s="20" t="str">
        <f aca="false">IF(OR(I32="",J32=""),"",SUMPRODUCT(MAX((CODE(I32)&lt;=CODE('1 Scholarships'!$G$2:$G$60))*('1 Scholarships'!$A$2:$A$60&lt;&gt;"")*(('1 Scholarships'!$H$2:$H$60="")+ISNUMBER(SEARCH(","&amp;J32&amp;",",","&amp;SUBSTITUTE('1 Scholarships'!$H$2:$H$60," ","")&amp;","))&gt;0)*(('1 Scholarships'!$J$2:$J$60&lt;&gt;"Yes")+(L32="Yes")&gt;0)*((K32="")+ISNUMBER(SEARCH(","&amp;K32&amp;",",","&amp;SUBSTITUTE('1 Scholarships'!$P$2:$P$60," ","")&amp;","))&gt;0)*'1 Scholarships'!$F$2:$F$60)))</f>
        <v/>
      </c>
      <c r="O32" s="18"/>
      <c r="P32" s="18"/>
      <c r="Q32" s="18"/>
      <c r="R32" s="19"/>
      <c r="S32" s="19"/>
      <c r="T32" s="18"/>
      <c r="U32" s="18"/>
      <c r="V32" s="18"/>
    </row>
    <row r="33" customFormat="false" ht="15" hidden="false" customHeight="false" outlineLevel="0" collapsed="false">
      <c r="A33" s="18"/>
      <c r="B33" s="19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4" t="str">
        <f aca="false">IF(OR(I33="",J33=""),"",SUMPRODUCT((CODE(I33)&lt;=CODE('1 Scholarships'!$G$2:$G$60))*('1 Scholarships'!$A$2:$A$60&lt;&gt;"")*(('1 Scholarships'!$H$2:$H$60="")+ISNUMBER(SEARCH(","&amp;J33&amp;",",","&amp;SUBSTITUTE('1 Scholarships'!$H$2:$H$60," ","")&amp;","))&gt;0)*(('1 Scholarships'!$J$2:$J$60&lt;&gt;"Yes")+(L33="Yes")&gt;0)*((K33="")+ISNUMBER(SEARCH(","&amp;K33&amp;",",","&amp;SUBSTITUTE('1 Scholarships'!$P$2:$P$60," ","")&amp;","))&gt;0)))</f>
        <v/>
      </c>
      <c r="N33" s="20" t="str">
        <f aca="false">IF(OR(I33="",J33=""),"",SUMPRODUCT(MAX((CODE(I33)&lt;=CODE('1 Scholarships'!$G$2:$G$60))*('1 Scholarships'!$A$2:$A$60&lt;&gt;"")*(('1 Scholarships'!$H$2:$H$60="")+ISNUMBER(SEARCH(","&amp;J33&amp;",",","&amp;SUBSTITUTE('1 Scholarships'!$H$2:$H$60," ","")&amp;","))&gt;0)*(('1 Scholarships'!$J$2:$J$60&lt;&gt;"Yes")+(L33="Yes")&gt;0)*((K33="")+ISNUMBER(SEARCH(","&amp;K33&amp;",",","&amp;SUBSTITUTE('1 Scholarships'!$P$2:$P$60," ","")&amp;","))&gt;0)*'1 Scholarships'!$F$2:$F$60)))</f>
        <v/>
      </c>
      <c r="O33" s="18"/>
      <c r="P33" s="18"/>
      <c r="Q33" s="18"/>
      <c r="R33" s="19"/>
      <c r="S33" s="19"/>
      <c r="T33" s="18"/>
      <c r="U33" s="18"/>
      <c r="V33" s="18"/>
    </row>
    <row r="34" customFormat="false" ht="15" hidden="false" customHeight="false" outlineLevel="0" collapsed="false">
      <c r="A34" s="18"/>
      <c r="B34" s="19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4" t="str">
        <f aca="false">IF(OR(I34="",J34=""),"",SUMPRODUCT((CODE(I34)&lt;=CODE('1 Scholarships'!$G$2:$G$60))*('1 Scholarships'!$A$2:$A$60&lt;&gt;"")*(('1 Scholarships'!$H$2:$H$60="")+ISNUMBER(SEARCH(","&amp;J34&amp;",",","&amp;SUBSTITUTE('1 Scholarships'!$H$2:$H$60," ","")&amp;","))&gt;0)*(('1 Scholarships'!$J$2:$J$60&lt;&gt;"Yes")+(L34="Yes")&gt;0)*((K34="")+ISNUMBER(SEARCH(","&amp;K34&amp;",",","&amp;SUBSTITUTE('1 Scholarships'!$P$2:$P$60," ","")&amp;","))&gt;0)))</f>
        <v/>
      </c>
      <c r="N34" s="20" t="str">
        <f aca="false">IF(OR(I34="",J34=""),"",SUMPRODUCT(MAX((CODE(I34)&lt;=CODE('1 Scholarships'!$G$2:$G$60))*('1 Scholarships'!$A$2:$A$60&lt;&gt;"")*(('1 Scholarships'!$H$2:$H$60="")+ISNUMBER(SEARCH(","&amp;J34&amp;",",","&amp;SUBSTITUTE('1 Scholarships'!$H$2:$H$60," ","")&amp;","))&gt;0)*(('1 Scholarships'!$J$2:$J$60&lt;&gt;"Yes")+(L34="Yes")&gt;0)*((K34="")+ISNUMBER(SEARCH(","&amp;K34&amp;",",","&amp;SUBSTITUTE('1 Scholarships'!$P$2:$P$60," ","")&amp;","))&gt;0)*'1 Scholarships'!$F$2:$F$60)))</f>
        <v/>
      </c>
      <c r="O34" s="18"/>
      <c r="P34" s="18"/>
      <c r="Q34" s="18"/>
      <c r="R34" s="19"/>
      <c r="S34" s="19"/>
      <c r="T34" s="18"/>
      <c r="U34" s="18"/>
      <c r="V34" s="18"/>
    </row>
    <row r="35" customFormat="false" ht="15" hidden="false" customHeight="false" outlineLevel="0" collapsed="false">
      <c r="A35" s="18"/>
      <c r="B35" s="19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4" t="str">
        <f aca="false">IF(OR(I35="",J35=""),"",SUMPRODUCT((CODE(I35)&lt;=CODE('1 Scholarships'!$G$2:$G$60))*('1 Scholarships'!$A$2:$A$60&lt;&gt;"")*(('1 Scholarships'!$H$2:$H$60="")+ISNUMBER(SEARCH(","&amp;J35&amp;",",","&amp;SUBSTITUTE('1 Scholarships'!$H$2:$H$60," ","")&amp;","))&gt;0)*(('1 Scholarships'!$J$2:$J$60&lt;&gt;"Yes")+(L35="Yes")&gt;0)*((K35="")+ISNUMBER(SEARCH(","&amp;K35&amp;",",","&amp;SUBSTITUTE('1 Scholarships'!$P$2:$P$60," ","")&amp;","))&gt;0)))</f>
        <v/>
      </c>
      <c r="N35" s="20" t="str">
        <f aca="false">IF(OR(I35="",J35=""),"",SUMPRODUCT(MAX((CODE(I35)&lt;=CODE('1 Scholarships'!$G$2:$G$60))*('1 Scholarships'!$A$2:$A$60&lt;&gt;"")*(('1 Scholarships'!$H$2:$H$60="")+ISNUMBER(SEARCH(","&amp;J35&amp;",",","&amp;SUBSTITUTE('1 Scholarships'!$H$2:$H$60," ","")&amp;","))&gt;0)*(('1 Scholarships'!$J$2:$J$60&lt;&gt;"Yes")+(L35="Yes")&gt;0)*((K35="")+ISNUMBER(SEARCH(","&amp;K35&amp;",",","&amp;SUBSTITUTE('1 Scholarships'!$P$2:$P$60," ","")&amp;","))&gt;0)*'1 Scholarships'!$F$2:$F$60)))</f>
        <v/>
      </c>
      <c r="O35" s="18"/>
      <c r="P35" s="18"/>
      <c r="Q35" s="18"/>
      <c r="R35" s="19"/>
      <c r="S35" s="19"/>
      <c r="T35" s="18"/>
      <c r="U35" s="18"/>
      <c r="V35" s="18"/>
    </row>
    <row r="36" customFormat="false" ht="15" hidden="false" customHeight="false" outlineLevel="0" collapsed="false">
      <c r="A36" s="18"/>
      <c r="B36" s="19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4" t="str">
        <f aca="false">IF(OR(I36="",J36=""),"",SUMPRODUCT((CODE(I36)&lt;=CODE('1 Scholarships'!$G$2:$G$60))*('1 Scholarships'!$A$2:$A$60&lt;&gt;"")*(('1 Scholarships'!$H$2:$H$60="")+ISNUMBER(SEARCH(","&amp;J36&amp;",",","&amp;SUBSTITUTE('1 Scholarships'!$H$2:$H$60," ","")&amp;","))&gt;0)*(('1 Scholarships'!$J$2:$J$60&lt;&gt;"Yes")+(L36="Yes")&gt;0)*((K36="")+ISNUMBER(SEARCH(","&amp;K36&amp;",",","&amp;SUBSTITUTE('1 Scholarships'!$P$2:$P$60," ","")&amp;","))&gt;0)))</f>
        <v/>
      </c>
      <c r="N36" s="20" t="str">
        <f aca="false">IF(OR(I36="",J36=""),"",SUMPRODUCT(MAX((CODE(I36)&lt;=CODE('1 Scholarships'!$G$2:$G$60))*('1 Scholarships'!$A$2:$A$60&lt;&gt;"")*(('1 Scholarships'!$H$2:$H$60="")+ISNUMBER(SEARCH(","&amp;J36&amp;",",","&amp;SUBSTITUTE('1 Scholarships'!$H$2:$H$60," ","")&amp;","))&gt;0)*(('1 Scholarships'!$J$2:$J$60&lt;&gt;"Yes")+(L36="Yes")&gt;0)*((K36="")+ISNUMBER(SEARCH(","&amp;K36&amp;",",","&amp;SUBSTITUTE('1 Scholarships'!$P$2:$P$60," ","")&amp;","))&gt;0)*'1 Scholarships'!$F$2:$F$60)))</f>
        <v/>
      </c>
      <c r="O36" s="18"/>
      <c r="P36" s="18"/>
      <c r="Q36" s="18"/>
      <c r="R36" s="19"/>
      <c r="S36" s="19"/>
      <c r="T36" s="18"/>
      <c r="U36" s="18"/>
      <c r="V36" s="18"/>
    </row>
    <row r="37" customFormat="false" ht="15" hidden="false" customHeight="false" outlineLevel="0" collapsed="false">
      <c r="A37" s="18"/>
      <c r="B37" s="19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4" t="str">
        <f aca="false">IF(OR(I37="",J37=""),"",SUMPRODUCT((CODE(I37)&lt;=CODE('1 Scholarships'!$G$2:$G$60))*('1 Scholarships'!$A$2:$A$60&lt;&gt;"")*(('1 Scholarships'!$H$2:$H$60="")+ISNUMBER(SEARCH(","&amp;J37&amp;",",","&amp;SUBSTITUTE('1 Scholarships'!$H$2:$H$60," ","")&amp;","))&gt;0)*(('1 Scholarships'!$J$2:$J$60&lt;&gt;"Yes")+(L37="Yes")&gt;0)*((K37="")+ISNUMBER(SEARCH(","&amp;K37&amp;",",","&amp;SUBSTITUTE('1 Scholarships'!$P$2:$P$60," ","")&amp;","))&gt;0)))</f>
        <v/>
      </c>
      <c r="N37" s="20" t="str">
        <f aca="false">IF(OR(I37="",J37=""),"",SUMPRODUCT(MAX((CODE(I37)&lt;=CODE('1 Scholarships'!$G$2:$G$60))*('1 Scholarships'!$A$2:$A$60&lt;&gt;"")*(('1 Scholarships'!$H$2:$H$60="")+ISNUMBER(SEARCH(","&amp;J37&amp;",",","&amp;SUBSTITUTE('1 Scholarships'!$H$2:$H$60," ","")&amp;","))&gt;0)*(('1 Scholarships'!$J$2:$J$60&lt;&gt;"Yes")+(L37="Yes")&gt;0)*((K37="")+ISNUMBER(SEARCH(","&amp;K37&amp;",",","&amp;SUBSTITUTE('1 Scholarships'!$P$2:$P$60," ","")&amp;","))&gt;0)*'1 Scholarships'!$F$2:$F$60)))</f>
        <v/>
      </c>
      <c r="O37" s="18"/>
      <c r="P37" s="18"/>
      <c r="Q37" s="18"/>
      <c r="R37" s="19"/>
      <c r="S37" s="19"/>
      <c r="T37" s="18"/>
      <c r="U37" s="18"/>
      <c r="V37" s="18"/>
    </row>
    <row r="38" customFormat="false" ht="15" hidden="false" customHeight="false" outlineLevel="0" collapsed="false">
      <c r="A38" s="18"/>
      <c r="B38" s="19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4" t="str">
        <f aca="false">IF(OR(I38="",J38=""),"",SUMPRODUCT((CODE(I38)&lt;=CODE('1 Scholarships'!$G$2:$G$60))*('1 Scholarships'!$A$2:$A$60&lt;&gt;"")*(('1 Scholarships'!$H$2:$H$60="")+ISNUMBER(SEARCH(","&amp;J38&amp;",",","&amp;SUBSTITUTE('1 Scholarships'!$H$2:$H$60," ","")&amp;","))&gt;0)*(('1 Scholarships'!$J$2:$J$60&lt;&gt;"Yes")+(L38="Yes")&gt;0)*((K38="")+ISNUMBER(SEARCH(","&amp;K38&amp;",",","&amp;SUBSTITUTE('1 Scholarships'!$P$2:$P$60," ","")&amp;","))&gt;0)))</f>
        <v/>
      </c>
      <c r="N38" s="20" t="str">
        <f aca="false">IF(OR(I38="",J38=""),"",SUMPRODUCT(MAX((CODE(I38)&lt;=CODE('1 Scholarships'!$G$2:$G$60))*('1 Scholarships'!$A$2:$A$60&lt;&gt;"")*(('1 Scholarships'!$H$2:$H$60="")+ISNUMBER(SEARCH(","&amp;J38&amp;",",","&amp;SUBSTITUTE('1 Scholarships'!$H$2:$H$60," ","")&amp;","))&gt;0)*(('1 Scholarships'!$J$2:$J$60&lt;&gt;"Yes")+(L38="Yes")&gt;0)*((K38="")+ISNUMBER(SEARCH(","&amp;K38&amp;",",","&amp;SUBSTITUTE('1 Scholarships'!$P$2:$P$60," ","")&amp;","))&gt;0)*'1 Scholarships'!$F$2:$F$60)))</f>
        <v/>
      </c>
      <c r="O38" s="18"/>
      <c r="P38" s="18"/>
      <c r="Q38" s="18"/>
      <c r="R38" s="19"/>
      <c r="S38" s="19"/>
      <c r="T38" s="18"/>
      <c r="U38" s="18"/>
      <c r="V38" s="18"/>
    </row>
    <row r="39" customFormat="false" ht="15" hidden="false" customHeight="false" outlineLevel="0" collapsed="false">
      <c r="A39" s="18"/>
      <c r="B39" s="19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4" t="str">
        <f aca="false">IF(OR(I39="",J39=""),"",SUMPRODUCT((CODE(I39)&lt;=CODE('1 Scholarships'!$G$2:$G$60))*('1 Scholarships'!$A$2:$A$60&lt;&gt;"")*(('1 Scholarships'!$H$2:$H$60="")+ISNUMBER(SEARCH(","&amp;J39&amp;",",","&amp;SUBSTITUTE('1 Scholarships'!$H$2:$H$60," ","")&amp;","))&gt;0)*(('1 Scholarships'!$J$2:$J$60&lt;&gt;"Yes")+(L39="Yes")&gt;0)*((K39="")+ISNUMBER(SEARCH(","&amp;K39&amp;",",","&amp;SUBSTITUTE('1 Scholarships'!$P$2:$P$60," ","")&amp;","))&gt;0)))</f>
        <v/>
      </c>
      <c r="N39" s="20" t="str">
        <f aca="false">IF(OR(I39="",J39=""),"",SUMPRODUCT(MAX((CODE(I39)&lt;=CODE('1 Scholarships'!$G$2:$G$60))*('1 Scholarships'!$A$2:$A$60&lt;&gt;"")*(('1 Scholarships'!$H$2:$H$60="")+ISNUMBER(SEARCH(","&amp;J39&amp;",",","&amp;SUBSTITUTE('1 Scholarships'!$H$2:$H$60," ","")&amp;","))&gt;0)*(('1 Scholarships'!$J$2:$J$60&lt;&gt;"Yes")+(L39="Yes")&gt;0)*((K39="")+ISNUMBER(SEARCH(","&amp;K39&amp;",",","&amp;SUBSTITUTE('1 Scholarships'!$P$2:$P$60," ","")&amp;","))&gt;0)*'1 Scholarships'!$F$2:$F$60)))</f>
        <v/>
      </c>
      <c r="O39" s="18"/>
      <c r="P39" s="18"/>
      <c r="Q39" s="18"/>
      <c r="R39" s="19"/>
      <c r="S39" s="19"/>
      <c r="T39" s="18"/>
      <c r="U39" s="18"/>
      <c r="V39" s="18"/>
    </row>
    <row r="40" customFormat="false" ht="15" hidden="false" customHeight="false" outlineLevel="0" collapsed="false">
      <c r="A40" s="18"/>
      <c r="B40" s="19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4" t="str">
        <f aca="false">IF(OR(I40="",J40=""),"",SUMPRODUCT((CODE(I40)&lt;=CODE('1 Scholarships'!$G$2:$G$60))*('1 Scholarships'!$A$2:$A$60&lt;&gt;"")*(('1 Scholarships'!$H$2:$H$60="")+ISNUMBER(SEARCH(","&amp;J40&amp;",",","&amp;SUBSTITUTE('1 Scholarships'!$H$2:$H$60," ","")&amp;","))&gt;0)*(('1 Scholarships'!$J$2:$J$60&lt;&gt;"Yes")+(L40="Yes")&gt;0)*((K40="")+ISNUMBER(SEARCH(","&amp;K40&amp;",",","&amp;SUBSTITUTE('1 Scholarships'!$P$2:$P$60," ","")&amp;","))&gt;0)))</f>
        <v/>
      </c>
      <c r="N40" s="20" t="str">
        <f aca="false">IF(OR(I40="",J40=""),"",SUMPRODUCT(MAX((CODE(I40)&lt;=CODE('1 Scholarships'!$G$2:$G$60))*('1 Scholarships'!$A$2:$A$60&lt;&gt;"")*(('1 Scholarships'!$H$2:$H$60="")+ISNUMBER(SEARCH(","&amp;J40&amp;",",","&amp;SUBSTITUTE('1 Scholarships'!$H$2:$H$60," ","")&amp;","))&gt;0)*(('1 Scholarships'!$J$2:$J$60&lt;&gt;"Yes")+(L40="Yes")&gt;0)*((K40="")+ISNUMBER(SEARCH(","&amp;K40&amp;",",","&amp;SUBSTITUTE('1 Scholarships'!$P$2:$P$60," ","")&amp;","))&gt;0)*'1 Scholarships'!$F$2:$F$60)))</f>
        <v/>
      </c>
      <c r="O40" s="18"/>
      <c r="P40" s="18"/>
      <c r="Q40" s="18"/>
      <c r="R40" s="19"/>
      <c r="S40" s="19"/>
      <c r="T40" s="18"/>
      <c r="U40" s="18"/>
      <c r="V40" s="18"/>
    </row>
    <row r="41" customFormat="false" ht="15" hidden="false" customHeight="false" outlineLevel="0" collapsed="false">
      <c r="A41" s="18"/>
      <c r="B41" s="19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4" t="str">
        <f aca="false">IF(OR(I41="",J41=""),"",SUMPRODUCT((CODE(I41)&lt;=CODE('1 Scholarships'!$G$2:$G$60))*('1 Scholarships'!$A$2:$A$60&lt;&gt;"")*(('1 Scholarships'!$H$2:$H$60="")+ISNUMBER(SEARCH(","&amp;J41&amp;",",","&amp;SUBSTITUTE('1 Scholarships'!$H$2:$H$60," ","")&amp;","))&gt;0)*(('1 Scholarships'!$J$2:$J$60&lt;&gt;"Yes")+(L41="Yes")&gt;0)*((K41="")+ISNUMBER(SEARCH(","&amp;K41&amp;",",","&amp;SUBSTITUTE('1 Scholarships'!$P$2:$P$60," ","")&amp;","))&gt;0)))</f>
        <v/>
      </c>
      <c r="N41" s="20" t="str">
        <f aca="false">IF(OR(I41="",J41=""),"",SUMPRODUCT(MAX((CODE(I41)&lt;=CODE('1 Scholarships'!$G$2:$G$60))*('1 Scholarships'!$A$2:$A$60&lt;&gt;"")*(('1 Scholarships'!$H$2:$H$60="")+ISNUMBER(SEARCH(","&amp;J41&amp;",",","&amp;SUBSTITUTE('1 Scholarships'!$H$2:$H$60," ","")&amp;","))&gt;0)*(('1 Scholarships'!$J$2:$J$60&lt;&gt;"Yes")+(L41="Yes")&gt;0)*((K41="")+ISNUMBER(SEARCH(","&amp;K41&amp;",",","&amp;SUBSTITUTE('1 Scholarships'!$P$2:$P$60," ","")&amp;","))&gt;0)*'1 Scholarships'!$F$2:$F$60)))</f>
        <v/>
      </c>
      <c r="O41" s="18"/>
      <c r="P41" s="18"/>
      <c r="Q41" s="18"/>
      <c r="R41" s="19"/>
      <c r="S41" s="19"/>
      <c r="T41" s="18"/>
      <c r="U41" s="18"/>
      <c r="V41" s="18"/>
    </row>
    <row r="42" customFormat="false" ht="15" hidden="false" customHeight="false" outlineLevel="0" collapsed="false">
      <c r="A42" s="18"/>
      <c r="B42" s="19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4" t="str">
        <f aca="false">IF(OR(I42="",J42=""),"",SUMPRODUCT((CODE(I42)&lt;=CODE('1 Scholarships'!$G$2:$G$60))*('1 Scholarships'!$A$2:$A$60&lt;&gt;"")*(('1 Scholarships'!$H$2:$H$60="")+ISNUMBER(SEARCH(","&amp;J42&amp;",",","&amp;SUBSTITUTE('1 Scholarships'!$H$2:$H$60," ","")&amp;","))&gt;0)*(('1 Scholarships'!$J$2:$J$60&lt;&gt;"Yes")+(L42="Yes")&gt;0)*((K42="")+ISNUMBER(SEARCH(","&amp;K42&amp;",",","&amp;SUBSTITUTE('1 Scholarships'!$P$2:$P$60," ","")&amp;","))&gt;0)))</f>
        <v/>
      </c>
      <c r="N42" s="20" t="str">
        <f aca="false">IF(OR(I42="",J42=""),"",SUMPRODUCT(MAX((CODE(I42)&lt;=CODE('1 Scholarships'!$G$2:$G$60))*('1 Scholarships'!$A$2:$A$60&lt;&gt;"")*(('1 Scholarships'!$H$2:$H$60="")+ISNUMBER(SEARCH(","&amp;J42&amp;",",","&amp;SUBSTITUTE('1 Scholarships'!$H$2:$H$60," ","")&amp;","))&gt;0)*(('1 Scholarships'!$J$2:$J$60&lt;&gt;"Yes")+(L42="Yes")&gt;0)*((K42="")+ISNUMBER(SEARCH(","&amp;K42&amp;",",","&amp;SUBSTITUTE('1 Scholarships'!$P$2:$P$60," ","")&amp;","))&gt;0)*'1 Scholarships'!$F$2:$F$60)))</f>
        <v/>
      </c>
      <c r="O42" s="18"/>
      <c r="P42" s="18"/>
      <c r="Q42" s="18"/>
      <c r="R42" s="19"/>
      <c r="S42" s="19"/>
      <c r="T42" s="18"/>
      <c r="U42" s="18"/>
      <c r="V42" s="18"/>
    </row>
    <row r="43" customFormat="false" ht="15" hidden="false" customHeight="false" outlineLevel="0" collapsed="false">
      <c r="A43" s="18"/>
      <c r="B43" s="19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4" t="str">
        <f aca="false">IF(OR(I43="",J43=""),"",SUMPRODUCT((CODE(I43)&lt;=CODE('1 Scholarships'!$G$2:$G$60))*('1 Scholarships'!$A$2:$A$60&lt;&gt;"")*(('1 Scholarships'!$H$2:$H$60="")+ISNUMBER(SEARCH(","&amp;J43&amp;",",","&amp;SUBSTITUTE('1 Scholarships'!$H$2:$H$60," ","")&amp;","))&gt;0)*(('1 Scholarships'!$J$2:$J$60&lt;&gt;"Yes")+(L43="Yes")&gt;0)*((K43="")+ISNUMBER(SEARCH(","&amp;K43&amp;",",","&amp;SUBSTITUTE('1 Scholarships'!$P$2:$P$60," ","")&amp;","))&gt;0)))</f>
        <v/>
      </c>
      <c r="N43" s="20" t="str">
        <f aca="false">IF(OR(I43="",J43=""),"",SUMPRODUCT(MAX((CODE(I43)&lt;=CODE('1 Scholarships'!$G$2:$G$60))*('1 Scholarships'!$A$2:$A$60&lt;&gt;"")*(('1 Scholarships'!$H$2:$H$60="")+ISNUMBER(SEARCH(","&amp;J43&amp;",",","&amp;SUBSTITUTE('1 Scholarships'!$H$2:$H$60," ","")&amp;","))&gt;0)*(('1 Scholarships'!$J$2:$J$60&lt;&gt;"Yes")+(L43="Yes")&gt;0)*((K43="")+ISNUMBER(SEARCH(","&amp;K43&amp;",",","&amp;SUBSTITUTE('1 Scholarships'!$P$2:$P$60," ","")&amp;","))&gt;0)*'1 Scholarships'!$F$2:$F$60)))</f>
        <v/>
      </c>
      <c r="O43" s="18"/>
      <c r="P43" s="18"/>
      <c r="Q43" s="18"/>
      <c r="R43" s="19"/>
      <c r="S43" s="19"/>
      <c r="T43" s="18"/>
      <c r="U43" s="18"/>
      <c r="V43" s="18"/>
    </row>
    <row r="44" customFormat="false" ht="15" hidden="false" customHeight="false" outlineLevel="0" collapsed="false">
      <c r="A44" s="18"/>
      <c r="B44" s="19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4" t="str">
        <f aca="false">IF(OR(I44="",J44=""),"",SUMPRODUCT((CODE(I44)&lt;=CODE('1 Scholarships'!$G$2:$G$60))*('1 Scholarships'!$A$2:$A$60&lt;&gt;"")*(('1 Scholarships'!$H$2:$H$60="")+ISNUMBER(SEARCH(","&amp;J44&amp;",",","&amp;SUBSTITUTE('1 Scholarships'!$H$2:$H$60," ","")&amp;","))&gt;0)*(('1 Scholarships'!$J$2:$J$60&lt;&gt;"Yes")+(L44="Yes")&gt;0)*((K44="")+ISNUMBER(SEARCH(","&amp;K44&amp;",",","&amp;SUBSTITUTE('1 Scholarships'!$P$2:$P$60," ","")&amp;","))&gt;0)))</f>
        <v/>
      </c>
      <c r="N44" s="20" t="str">
        <f aca="false">IF(OR(I44="",J44=""),"",SUMPRODUCT(MAX((CODE(I44)&lt;=CODE('1 Scholarships'!$G$2:$G$60))*('1 Scholarships'!$A$2:$A$60&lt;&gt;"")*(('1 Scholarships'!$H$2:$H$60="")+ISNUMBER(SEARCH(","&amp;J44&amp;",",","&amp;SUBSTITUTE('1 Scholarships'!$H$2:$H$60," ","")&amp;","))&gt;0)*(('1 Scholarships'!$J$2:$J$60&lt;&gt;"Yes")+(L44="Yes")&gt;0)*((K44="")+ISNUMBER(SEARCH(","&amp;K44&amp;",",","&amp;SUBSTITUTE('1 Scholarships'!$P$2:$P$60," ","")&amp;","))&gt;0)*'1 Scholarships'!$F$2:$F$60)))</f>
        <v/>
      </c>
      <c r="O44" s="18"/>
      <c r="P44" s="18"/>
      <c r="Q44" s="18"/>
      <c r="R44" s="19"/>
      <c r="S44" s="19"/>
      <c r="T44" s="18"/>
      <c r="U44" s="18"/>
      <c r="V44" s="18"/>
    </row>
    <row r="45" customFormat="false" ht="15" hidden="false" customHeight="false" outlineLevel="0" collapsed="false">
      <c r="A45" s="18"/>
      <c r="B45" s="19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4" t="str">
        <f aca="false">IF(OR(I45="",J45=""),"",SUMPRODUCT((CODE(I45)&lt;=CODE('1 Scholarships'!$G$2:$G$60))*('1 Scholarships'!$A$2:$A$60&lt;&gt;"")*(('1 Scholarships'!$H$2:$H$60="")+ISNUMBER(SEARCH(","&amp;J45&amp;",",","&amp;SUBSTITUTE('1 Scholarships'!$H$2:$H$60," ","")&amp;","))&gt;0)*(('1 Scholarships'!$J$2:$J$60&lt;&gt;"Yes")+(L45="Yes")&gt;0)*((K45="")+ISNUMBER(SEARCH(","&amp;K45&amp;",",","&amp;SUBSTITUTE('1 Scholarships'!$P$2:$P$60," ","")&amp;","))&gt;0)))</f>
        <v/>
      </c>
      <c r="N45" s="20" t="str">
        <f aca="false">IF(OR(I45="",J45=""),"",SUMPRODUCT(MAX((CODE(I45)&lt;=CODE('1 Scholarships'!$G$2:$G$60))*('1 Scholarships'!$A$2:$A$60&lt;&gt;"")*(('1 Scholarships'!$H$2:$H$60="")+ISNUMBER(SEARCH(","&amp;J45&amp;",",","&amp;SUBSTITUTE('1 Scholarships'!$H$2:$H$60," ","")&amp;","))&gt;0)*(('1 Scholarships'!$J$2:$J$60&lt;&gt;"Yes")+(L45="Yes")&gt;0)*((K45="")+ISNUMBER(SEARCH(","&amp;K45&amp;",",","&amp;SUBSTITUTE('1 Scholarships'!$P$2:$P$60," ","")&amp;","))&gt;0)*'1 Scholarships'!$F$2:$F$60)))</f>
        <v/>
      </c>
      <c r="O45" s="18"/>
      <c r="P45" s="18"/>
      <c r="Q45" s="18"/>
      <c r="R45" s="19"/>
      <c r="S45" s="19"/>
      <c r="T45" s="18"/>
      <c r="U45" s="18"/>
      <c r="V45" s="18"/>
    </row>
    <row r="46" customFormat="false" ht="15" hidden="false" customHeight="false" outlineLevel="0" collapsed="false">
      <c r="A46" s="18"/>
      <c r="B46" s="19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4" t="str">
        <f aca="false">IF(OR(I46="",J46=""),"",SUMPRODUCT((CODE(I46)&lt;=CODE('1 Scholarships'!$G$2:$G$60))*('1 Scholarships'!$A$2:$A$60&lt;&gt;"")*(('1 Scholarships'!$H$2:$H$60="")+ISNUMBER(SEARCH(","&amp;J46&amp;",",","&amp;SUBSTITUTE('1 Scholarships'!$H$2:$H$60," ","")&amp;","))&gt;0)*(('1 Scholarships'!$J$2:$J$60&lt;&gt;"Yes")+(L46="Yes")&gt;0)*((K46="")+ISNUMBER(SEARCH(","&amp;K46&amp;",",","&amp;SUBSTITUTE('1 Scholarships'!$P$2:$P$60," ","")&amp;","))&gt;0)))</f>
        <v/>
      </c>
      <c r="N46" s="20" t="str">
        <f aca="false">IF(OR(I46="",J46=""),"",SUMPRODUCT(MAX((CODE(I46)&lt;=CODE('1 Scholarships'!$G$2:$G$60))*('1 Scholarships'!$A$2:$A$60&lt;&gt;"")*(('1 Scholarships'!$H$2:$H$60="")+ISNUMBER(SEARCH(","&amp;J46&amp;",",","&amp;SUBSTITUTE('1 Scholarships'!$H$2:$H$60," ","")&amp;","))&gt;0)*(('1 Scholarships'!$J$2:$J$60&lt;&gt;"Yes")+(L46="Yes")&gt;0)*((K46="")+ISNUMBER(SEARCH(","&amp;K46&amp;",",","&amp;SUBSTITUTE('1 Scholarships'!$P$2:$P$60," ","")&amp;","))&gt;0)*'1 Scholarships'!$F$2:$F$60)))</f>
        <v/>
      </c>
      <c r="O46" s="18"/>
      <c r="P46" s="18"/>
      <c r="Q46" s="18"/>
      <c r="R46" s="19"/>
      <c r="S46" s="19"/>
      <c r="T46" s="18"/>
      <c r="U46" s="18"/>
      <c r="V46" s="18"/>
    </row>
    <row r="47" customFormat="false" ht="15" hidden="false" customHeight="false" outlineLevel="0" collapsed="false">
      <c r="A47" s="18"/>
      <c r="B47" s="19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4" t="str">
        <f aca="false">IF(OR(I47="",J47=""),"",SUMPRODUCT((CODE(I47)&lt;=CODE('1 Scholarships'!$G$2:$G$60))*('1 Scholarships'!$A$2:$A$60&lt;&gt;"")*(('1 Scholarships'!$H$2:$H$60="")+ISNUMBER(SEARCH(","&amp;J47&amp;",",","&amp;SUBSTITUTE('1 Scholarships'!$H$2:$H$60," ","")&amp;","))&gt;0)*(('1 Scholarships'!$J$2:$J$60&lt;&gt;"Yes")+(L47="Yes")&gt;0)*((K47="")+ISNUMBER(SEARCH(","&amp;K47&amp;",",","&amp;SUBSTITUTE('1 Scholarships'!$P$2:$P$60," ","")&amp;","))&gt;0)))</f>
        <v/>
      </c>
      <c r="N47" s="20" t="str">
        <f aca="false">IF(OR(I47="",J47=""),"",SUMPRODUCT(MAX((CODE(I47)&lt;=CODE('1 Scholarships'!$G$2:$G$60))*('1 Scholarships'!$A$2:$A$60&lt;&gt;"")*(('1 Scholarships'!$H$2:$H$60="")+ISNUMBER(SEARCH(","&amp;J47&amp;",",","&amp;SUBSTITUTE('1 Scholarships'!$H$2:$H$60," ","")&amp;","))&gt;0)*(('1 Scholarships'!$J$2:$J$60&lt;&gt;"Yes")+(L47="Yes")&gt;0)*((K47="")+ISNUMBER(SEARCH(","&amp;K47&amp;",",","&amp;SUBSTITUTE('1 Scholarships'!$P$2:$P$60," ","")&amp;","))&gt;0)*'1 Scholarships'!$F$2:$F$60)))</f>
        <v/>
      </c>
      <c r="O47" s="18"/>
      <c r="P47" s="18"/>
      <c r="Q47" s="18"/>
      <c r="R47" s="19"/>
      <c r="S47" s="19"/>
      <c r="T47" s="18"/>
      <c r="U47" s="18"/>
      <c r="V47" s="18"/>
    </row>
    <row r="48" customFormat="false" ht="15" hidden="false" customHeight="false" outlineLevel="0" collapsed="false">
      <c r="A48" s="18"/>
      <c r="B48" s="19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4" t="str">
        <f aca="false">IF(OR(I48="",J48=""),"",SUMPRODUCT((CODE(I48)&lt;=CODE('1 Scholarships'!$G$2:$G$60))*('1 Scholarships'!$A$2:$A$60&lt;&gt;"")*(('1 Scholarships'!$H$2:$H$60="")+ISNUMBER(SEARCH(","&amp;J48&amp;",",","&amp;SUBSTITUTE('1 Scholarships'!$H$2:$H$60," ","")&amp;","))&gt;0)*(('1 Scholarships'!$J$2:$J$60&lt;&gt;"Yes")+(L48="Yes")&gt;0)*((K48="")+ISNUMBER(SEARCH(","&amp;K48&amp;",",","&amp;SUBSTITUTE('1 Scholarships'!$P$2:$P$60," ","")&amp;","))&gt;0)))</f>
        <v/>
      </c>
      <c r="N48" s="20" t="str">
        <f aca="false">IF(OR(I48="",J48=""),"",SUMPRODUCT(MAX((CODE(I48)&lt;=CODE('1 Scholarships'!$G$2:$G$60))*('1 Scholarships'!$A$2:$A$60&lt;&gt;"")*(('1 Scholarships'!$H$2:$H$60="")+ISNUMBER(SEARCH(","&amp;J48&amp;",",","&amp;SUBSTITUTE('1 Scholarships'!$H$2:$H$60," ","")&amp;","))&gt;0)*(('1 Scholarships'!$J$2:$J$60&lt;&gt;"Yes")+(L48="Yes")&gt;0)*((K48="")+ISNUMBER(SEARCH(","&amp;K48&amp;",",","&amp;SUBSTITUTE('1 Scholarships'!$P$2:$P$60," ","")&amp;","))&gt;0)*'1 Scholarships'!$F$2:$F$60)))</f>
        <v/>
      </c>
      <c r="O48" s="18"/>
      <c r="P48" s="18"/>
      <c r="Q48" s="18"/>
      <c r="R48" s="19"/>
      <c r="S48" s="19"/>
      <c r="T48" s="18"/>
      <c r="U48" s="18"/>
      <c r="V48" s="18"/>
    </row>
    <row r="49" customFormat="false" ht="15" hidden="false" customHeight="false" outlineLevel="0" collapsed="false">
      <c r="A49" s="18"/>
      <c r="B49" s="19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4" t="str">
        <f aca="false">IF(OR(I49="",J49=""),"",SUMPRODUCT((CODE(I49)&lt;=CODE('1 Scholarships'!$G$2:$G$60))*('1 Scholarships'!$A$2:$A$60&lt;&gt;"")*(('1 Scholarships'!$H$2:$H$60="")+ISNUMBER(SEARCH(","&amp;J49&amp;",",","&amp;SUBSTITUTE('1 Scholarships'!$H$2:$H$60," ","")&amp;","))&gt;0)*(('1 Scholarships'!$J$2:$J$60&lt;&gt;"Yes")+(L49="Yes")&gt;0)*((K49="")+ISNUMBER(SEARCH(","&amp;K49&amp;",",","&amp;SUBSTITUTE('1 Scholarships'!$P$2:$P$60," ","")&amp;","))&gt;0)))</f>
        <v/>
      </c>
      <c r="N49" s="20" t="str">
        <f aca="false">IF(OR(I49="",J49=""),"",SUMPRODUCT(MAX((CODE(I49)&lt;=CODE('1 Scholarships'!$G$2:$G$60))*('1 Scholarships'!$A$2:$A$60&lt;&gt;"")*(('1 Scholarships'!$H$2:$H$60="")+ISNUMBER(SEARCH(","&amp;J49&amp;",",","&amp;SUBSTITUTE('1 Scholarships'!$H$2:$H$60," ","")&amp;","))&gt;0)*(('1 Scholarships'!$J$2:$J$60&lt;&gt;"Yes")+(L49="Yes")&gt;0)*((K49="")+ISNUMBER(SEARCH(","&amp;K49&amp;",",","&amp;SUBSTITUTE('1 Scholarships'!$P$2:$P$60," ","")&amp;","))&gt;0)*'1 Scholarships'!$F$2:$F$60)))</f>
        <v/>
      </c>
      <c r="O49" s="18"/>
      <c r="P49" s="18"/>
      <c r="Q49" s="18"/>
      <c r="R49" s="19"/>
      <c r="S49" s="19"/>
      <c r="T49" s="18"/>
      <c r="U49" s="18"/>
      <c r="V49" s="18"/>
    </row>
    <row r="50" customFormat="false" ht="15" hidden="false" customHeight="false" outlineLevel="0" collapsed="false">
      <c r="A50" s="18"/>
      <c r="B50" s="19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4" t="str">
        <f aca="false">IF(OR(I50="",J50=""),"",SUMPRODUCT((CODE(I50)&lt;=CODE('1 Scholarships'!$G$2:$G$60))*('1 Scholarships'!$A$2:$A$60&lt;&gt;"")*(('1 Scholarships'!$H$2:$H$60="")+ISNUMBER(SEARCH(","&amp;J50&amp;",",","&amp;SUBSTITUTE('1 Scholarships'!$H$2:$H$60," ","")&amp;","))&gt;0)*(('1 Scholarships'!$J$2:$J$60&lt;&gt;"Yes")+(L50="Yes")&gt;0)*((K50="")+ISNUMBER(SEARCH(","&amp;K50&amp;",",","&amp;SUBSTITUTE('1 Scholarships'!$P$2:$P$60," ","")&amp;","))&gt;0)))</f>
        <v/>
      </c>
      <c r="N50" s="20" t="str">
        <f aca="false">IF(OR(I50="",J50=""),"",SUMPRODUCT(MAX((CODE(I50)&lt;=CODE('1 Scholarships'!$G$2:$G$60))*('1 Scholarships'!$A$2:$A$60&lt;&gt;"")*(('1 Scholarships'!$H$2:$H$60="")+ISNUMBER(SEARCH(","&amp;J50&amp;",",","&amp;SUBSTITUTE('1 Scholarships'!$H$2:$H$60," ","")&amp;","))&gt;0)*(('1 Scholarships'!$J$2:$J$60&lt;&gt;"Yes")+(L50="Yes")&gt;0)*((K50="")+ISNUMBER(SEARCH(","&amp;K50&amp;",",","&amp;SUBSTITUTE('1 Scholarships'!$P$2:$P$60," ","")&amp;","))&gt;0)*'1 Scholarships'!$F$2:$F$60)))</f>
        <v/>
      </c>
      <c r="O50" s="18"/>
      <c r="P50" s="18"/>
      <c r="Q50" s="18"/>
      <c r="R50" s="19"/>
      <c r="S50" s="19"/>
      <c r="T50" s="18"/>
      <c r="U50" s="18"/>
      <c r="V50" s="18"/>
    </row>
    <row r="51" customFormat="false" ht="15" hidden="false" customHeight="false" outlineLevel="0" collapsed="false">
      <c r="A51" s="18"/>
      <c r="B51" s="19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4" t="str">
        <f aca="false">IF(OR(I51="",J51=""),"",SUMPRODUCT((CODE(I51)&lt;=CODE('1 Scholarships'!$G$2:$G$60))*('1 Scholarships'!$A$2:$A$60&lt;&gt;"")*(('1 Scholarships'!$H$2:$H$60="")+ISNUMBER(SEARCH(","&amp;J51&amp;",",","&amp;SUBSTITUTE('1 Scholarships'!$H$2:$H$60," ","")&amp;","))&gt;0)*(('1 Scholarships'!$J$2:$J$60&lt;&gt;"Yes")+(L51="Yes")&gt;0)*((K51="")+ISNUMBER(SEARCH(","&amp;K51&amp;",",","&amp;SUBSTITUTE('1 Scholarships'!$P$2:$P$60," ","")&amp;","))&gt;0)))</f>
        <v/>
      </c>
      <c r="N51" s="20" t="str">
        <f aca="false">IF(OR(I51="",J51=""),"",SUMPRODUCT(MAX((CODE(I51)&lt;=CODE('1 Scholarships'!$G$2:$G$60))*('1 Scholarships'!$A$2:$A$60&lt;&gt;"")*(('1 Scholarships'!$H$2:$H$60="")+ISNUMBER(SEARCH(","&amp;J51&amp;",",","&amp;SUBSTITUTE('1 Scholarships'!$H$2:$H$60," ","")&amp;","))&gt;0)*(('1 Scholarships'!$J$2:$J$60&lt;&gt;"Yes")+(L51="Yes")&gt;0)*((K51="")+ISNUMBER(SEARCH(","&amp;K51&amp;",",","&amp;SUBSTITUTE('1 Scholarships'!$P$2:$P$60," ","")&amp;","))&gt;0)*'1 Scholarships'!$F$2:$F$60)))</f>
        <v/>
      </c>
      <c r="O51" s="18"/>
      <c r="P51" s="18"/>
      <c r="Q51" s="18"/>
      <c r="R51" s="19"/>
      <c r="S51" s="19"/>
      <c r="T51" s="18"/>
      <c r="U51" s="18"/>
      <c r="V51" s="18"/>
    </row>
    <row r="52" customFormat="false" ht="15" hidden="false" customHeight="false" outlineLevel="0" collapsed="false">
      <c r="A52" s="18"/>
      <c r="B52" s="19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4" t="str">
        <f aca="false">IF(OR(I52="",J52=""),"",SUMPRODUCT((CODE(I52)&lt;=CODE('1 Scholarships'!$G$2:$G$60))*('1 Scholarships'!$A$2:$A$60&lt;&gt;"")*(('1 Scholarships'!$H$2:$H$60="")+ISNUMBER(SEARCH(","&amp;J52&amp;",",","&amp;SUBSTITUTE('1 Scholarships'!$H$2:$H$60," ","")&amp;","))&gt;0)*(('1 Scholarships'!$J$2:$J$60&lt;&gt;"Yes")+(L52="Yes")&gt;0)*((K52="")+ISNUMBER(SEARCH(","&amp;K52&amp;",",","&amp;SUBSTITUTE('1 Scholarships'!$P$2:$P$60," ","")&amp;","))&gt;0)))</f>
        <v/>
      </c>
      <c r="N52" s="20" t="str">
        <f aca="false">IF(OR(I52="",J52=""),"",SUMPRODUCT(MAX((CODE(I52)&lt;=CODE('1 Scholarships'!$G$2:$G$60))*('1 Scholarships'!$A$2:$A$60&lt;&gt;"")*(('1 Scholarships'!$H$2:$H$60="")+ISNUMBER(SEARCH(","&amp;J52&amp;",",","&amp;SUBSTITUTE('1 Scholarships'!$H$2:$H$60," ","")&amp;","))&gt;0)*(('1 Scholarships'!$J$2:$J$60&lt;&gt;"Yes")+(L52="Yes")&gt;0)*((K52="")+ISNUMBER(SEARCH(","&amp;K52&amp;",",","&amp;SUBSTITUTE('1 Scholarships'!$P$2:$P$60," ","")&amp;","))&gt;0)*'1 Scholarships'!$F$2:$F$60)))</f>
        <v/>
      </c>
      <c r="O52" s="18"/>
      <c r="P52" s="18"/>
      <c r="Q52" s="18"/>
      <c r="R52" s="19"/>
      <c r="S52" s="19"/>
      <c r="T52" s="18"/>
      <c r="U52" s="18"/>
      <c r="V52" s="18"/>
    </row>
    <row r="53" customFormat="false" ht="15" hidden="false" customHeight="false" outlineLevel="0" collapsed="false">
      <c r="A53" s="18"/>
      <c r="B53" s="19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4" t="str">
        <f aca="false">IF(OR(I53="",J53=""),"",SUMPRODUCT((CODE(I53)&lt;=CODE('1 Scholarships'!$G$2:$G$60))*('1 Scholarships'!$A$2:$A$60&lt;&gt;"")*(('1 Scholarships'!$H$2:$H$60="")+ISNUMBER(SEARCH(","&amp;J53&amp;",",","&amp;SUBSTITUTE('1 Scholarships'!$H$2:$H$60," ","")&amp;","))&gt;0)*(('1 Scholarships'!$J$2:$J$60&lt;&gt;"Yes")+(L53="Yes")&gt;0)*((K53="")+ISNUMBER(SEARCH(","&amp;K53&amp;",",","&amp;SUBSTITUTE('1 Scholarships'!$P$2:$P$60," ","")&amp;","))&gt;0)))</f>
        <v/>
      </c>
      <c r="N53" s="20" t="str">
        <f aca="false">IF(OR(I53="",J53=""),"",SUMPRODUCT(MAX((CODE(I53)&lt;=CODE('1 Scholarships'!$G$2:$G$60))*('1 Scholarships'!$A$2:$A$60&lt;&gt;"")*(('1 Scholarships'!$H$2:$H$60="")+ISNUMBER(SEARCH(","&amp;J53&amp;",",","&amp;SUBSTITUTE('1 Scholarships'!$H$2:$H$60," ","")&amp;","))&gt;0)*(('1 Scholarships'!$J$2:$J$60&lt;&gt;"Yes")+(L53="Yes")&gt;0)*((K53="")+ISNUMBER(SEARCH(","&amp;K53&amp;",",","&amp;SUBSTITUTE('1 Scholarships'!$P$2:$P$60," ","")&amp;","))&gt;0)*'1 Scholarships'!$F$2:$F$60)))</f>
        <v/>
      </c>
      <c r="O53" s="18"/>
      <c r="P53" s="18"/>
      <c r="Q53" s="18"/>
      <c r="R53" s="19"/>
      <c r="S53" s="19"/>
      <c r="T53" s="18"/>
      <c r="U53" s="18"/>
      <c r="V53" s="18"/>
    </row>
    <row r="54" customFormat="false" ht="15" hidden="false" customHeight="false" outlineLevel="0" collapsed="false">
      <c r="A54" s="18"/>
      <c r="B54" s="19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4" t="str">
        <f aca="false">IF(OR(I54="",J54=""),"",SUMPRODUCT((CODE(I54)&lt;=CODE('1 Scholarships'!$G$2:$G$60))*('1 Scholarships'!$A$2:$A$60&lt;&gt;"")*(('1 Scholarships'!$H$2:$H$60="")+ISNUMBER(SEARCH(","&amp;J54&amp;",",","&amp;SUBSTITUTE('1 Scholarships'!$H$2:$H$60," ","")&amp;","))&gt;0)*(('1 Scholarships'!$J$2:$J$60&lt;&gt;"Yes")+(L54="Yes")&gt;0)*((K54="")+ISNUMBER(SEARCH(","&amp;K54&amp;",",","&amp;SUBSTITUTE('1 Scholarships'!$P$2:$P$60," ","")&amp;","))&gt;0)))</f>
        <v/>
      </c>
      <c r="N54" s="20" t="str">
        <f aca="false">IF(OR(I54="",J54=""),"",SUMPRODUCT(MAX((CODE(I54)&lt;=CODE('1 Scholarships'!$G$2:$G$60))*('1 Scholarships'!$A$2:$A$60&lt;&gt;"")*(('1 Scholarships'!$H$2:$H$60="")+ISNUMBER(SEARCH(","&amp;J54&amp;",",","&amp;SUBSTITUTE('1 Scholarships'!$H$2:$H$60," ","")&amp;","))&gt;0)*(('1 Scholarships'!$J$2:$J$60&lt;&gt;"Yes")+(L54="Yes")&gt;0)*((K54="")+ISNUMBER(SEARCH(","&amp;K54&amp;",",","&amp;SUBSTITUTE('1 Scholarships'!$P$2:$P$60," ","")&amp;","))&gt;0)*'1 Scholarships'!$F$2:$F$60)))</f>
        <v/>
      </c>
      <c r="O54" s="18"/>
      <c r="P54" s="18"/>
      <c r="Q54" s="18"/>
      <c r="R54" s="19"/>
      <c r="S54" s="19"/>
      <c r="T54" s="18"/>
      <c r="U54" s="18"/>
      <c r="V54" s="18"/>
    </row>
    <row r="55" customFormat="false" ht="15" hidden="false" customHeight="false" outlineLevel="0" collapsed="false">
      <c r="A55" s="18"/>
      <c r="B55" s="19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4" t="str">
        <f aca="false">IF(OR(I55="",J55=""),"",SUMPRODUCT((CODE(I55)&lt;=CODE('1 Scholarships'!$G$2:$G$60))*('1 Scholarships'!$A$2:$A$60&lt;&gt;"")*(('1 Scholarships'!$H$2:$H$60="")+ISNUMBER(SEARCH(","&amp;J55&amp;",",","&amp;SUBSTITUTE('1 Scholarships'!$H$2:$H$60," ","")&amp;","))&gt;0)*(('1 Scholarships'!$J$2:$J$60&lt;&gt;"Yes")+(L55="Yes")&gt;0)*((K55="")+ISNUMBER(SEARCH(","&amp;K55&amp;",",","&amp;SUBSTITUTE('1 Scholarships'!$P$2:$P$60," ","")&amp;","))&gt;0)))</f>
        <v/>
      </c>
      <c r="N55" s="20" t="str">
        <f aca="false">IF(OR(I55="",J55=""),"",SUMPRODUCT(MAX((CODE(I55)&lt;=CODE('1 Scholarships'!$G$2:$G$60))*('1 Scholarships'!$A$2:$A$60&lt;&gt;"")*(('1 Scholarships'!$H$2:$H$60="")+ISNUMBER(SEARCH(","&amp;J55&amp;",",","&amp;SUBSTITUTE('1 Scholarships'!$H$2:$H$60," ","")&amp;","))&gt;0)*(('1 Scholarships'!$J$2:$J$60&lt;&gt;"Yes")+(L55="Yes")&gt;0)*((K55="")+ISNUMBER(SEARCH(","&amp;K55&amp;",",","&amp;SUBSTITUTE('1 Scholarships'!$P$2:$P$60," ","")&amp;","))&gt;0)*'1 Scholarships'!$F$2:$F$60)))</f>
        <v/>
      </c>
      <c r="O55" s="18"/>
      <c r="P55" s="18"/>
      <c r="Q55" s="18"/>
      <c r="R55" s="19"/>
      <c r="S55" s="19"/>
      <c r="T55" s="18"/>
      <c r="U55" s="18"/>
      <c r="V55" s="18"/>
    </row>
    <row r="56" customFormat="false" ht="15" hidden="false" customHeight="false" outlineLevel="0" collapsed="false">
      <c r="A56" s="18"/>
      <c r="B56" s="19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4" t="str">
        <f aca="false">IF(OR(I56="",J56=""),"",SUMPRODUCT((CODE(I56)&lt;=CODE('1 Scholarships'!$G$2:$G$60))*('1 Scholarships'!$A$2:$A$60&lt;&gt;"")*(('1 Scholarships'!$H$2:$H$60="")+ISNUMBER(SEARCH(","&amp;J56&amp;",",","&amp;SUBSTITUTE('1 Scholarships'!$H$2:$H$60," ","")&amp;","))&gt;0)*(('1 Scholarships'!$J$2:$J$60&lt;&gt;"Yes")+(L56="Yes")&gt;0)*((K56="")+ISNUMBER(SEARCH(","&amp;K56&amp;",",","&amp;SUBSTITUTE('1 Scholarships'!$P$2:$P$60," ","")&amp;","))&gt;0)))</f>
        <v/>
      </c>
      <c r="N56" s="20" t="str">
        <f aca="false">IF(OR(I56="",J56=""),"",SUMPRODUCT(MAX((CODE(I56)&lt;=CODE('1 Scholarships'!$G$2:$G$60))*('1 Scholarships'!$A$2:$A$60&lt;&gt;"")*(('1 Scholarships'!$H$2:$H$60="")+ISNUMBER(SEARCH(","&amp;J56&amp;",",","&amp;SUBSTITUTE('1 Scholarships'!$H$2:$H$60," ","")&amp;","))&gt;0)*(('1 Scholarships'!$J$2:$J$60&lt;&gt;"Yes")+(L56="Yes")&gt;0)*((K56="")+ISNUMBER(SEARCH(","&amp;K56&amp;",",","&amp;SUBSTITUTE('1 Scholarships'!$P$2:$P$60," ","")&amp;","))&gt;0)*'1 Scholarships'!$F$2:$F$60)))</f>
        <v/>
      </c>
      <c r="O56" s="18"/>
      <c r="P56" s="18"/>
      <c r="Q56" s="18"/>
      <c r="R56" s="19"/>
      <c r="S56" s="19"/>
      <c r="T56" s="18"/>
      <c r="U56" s="18"/>
      <c r="V56" s="18"/>
    </row>
    <row r="57" customFormat="false" ht="15" hidden="false" customHeight="false" outlineLevel="0" collapsed="false">
      <c r="A57" s="18"/>
      <c r="B57" s="19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4" t="str">
        <f aca="false">IF(OR(I57="",J57=""),"",SUMPRODUCT((CODE(I57)&lt;=CODE('1 Scholarships'!$G$2:$G$60))*('1 Scholarships'!$A$2:$A$60&lt;&gt;"")*(('1 Scholarships'!$H$2:$H$60="")+ISNUMBER(SEARCH(","&amp;J57&amp;",",","&amp;SUBSTITUTE('1 Scholarships'!$H$2:$H$60," ","")&amp;","))&gt;0)*(('1 Scholarships'!$J$2:$J$60&lt;&gt;"Yes")+(L57="Yes")&gt;0)*((K57="")+ISNUMBER(SEARCH(","&amp;K57&amp;",",","&amp;SUBSTITUTE('1 Scholarships'!$P$2:$P$60," ","")&amp;","))&gt;0)))</f>
        <v/>
      </c>
      <c r="N57" s="20" t="str">
        <f aca="false">IF(OR(I57="",J57=""),"",SUMPRODUCT(MAX((CODE(I57)&lt;=CODE('1 Scholarships'!$G$2:$G$60))*('1 Scholarships'!$A$2:$A$60&lt;&gt;"")*(('1 Scholarships'!$H$2:$H$60="")+ISNUMBER(SEARCH(","&amp;J57&amp;",",","&amp;SUBSTITUTE('1 Scholarships'!$H$2:$H$60," ","")&amp;","))&gt;0)*(('1 Scholarships'!$J$2:$J$60&lt;&gt;"Yes")+(L57="Yes")&gt;0)*((K57="")+ISNUMBER(SEARCH(","&amp;K57&amp;",",","&amp;SUBSTITUTE('1 Scholarships'!$P$2:$P$60," ","")&amp;","))&gt;0)*'1 Scholarships'!$F$2:$F$60)))</f>
        <v/>
      </c>
      <c r="O57" s="18"/>
      <c r="P57" s="18"/>
      <c r="Q57" s="18"/>
      <c r="R57" s="19"/>
      <c r="S57" s="19"/>
      <c r="T57" s="18"/>
      <c r="U57" s="18"/>
      <c r="V57" s="18"/>
    </row>
    <row r="58" customFormat="false" ht="15" hidden="false" customHeight="false" outlineLevel="0" collapsed="false">
      <c r="A58" s="18"/>
      <c r="B58" s="19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4" t="str">
        <f aca="false">IF(OR(I58="",J58=""),"",SUMPRODUCT((CODE(I58)&lt;=CODE('1 Scholarships'!$G$2:$G$60))*('1 Scholarships'!$A$2:$A$60&lt;&gt;"")*(('1 Scholarships'!$H$2:$H$60="")+ISNUMBER(SEARCH(","&amp;J58&amp;",",","&amp;SUBSTITUTE('1 Scholarships'!$H$2:$H$60," ","")&amp;","))&gt;0)*(('1 Scholarships'!$J$2:$J$60&lt;&gt;"Yes")+(L58="Yes")&gt;0)*((K58="")+ISNUMBER(SEARCH(","&amp;K58&amp;",",","&amp;SUBSTITUTE('1 Scholarships'!$P$2:$P$60," ","")&amp;","))&gt;0)))</f>
        <v/>
      </c>
      <c r="N58" s="20" t="str">
        <f aca="false">IF(OR(I58="",J58=""),"",SUMPRODUCT(MAX((CODE(I58)&lt;=CODE('1 Scholarships'!$G$2:$G$60))*('1 Scholarships'!$A$2:$A$60&lt;&gt;"")*(('1 Scholarships'!$H$2:$H$60="")+ISNUMBER(SEARCH(","&amp;J58&amp;",",","&amp;SUBSTITUTE('1 Scholarships'!$H$2:$H$60," ","")&amp;","))&gt;0)*(('1 Scholarships'!$J$2:$J$60&lt;&gt;"Yes")+(L58="Yes")&gt;0)*((K58="")+ISNUMBER(SEARCH(","&amp;K58&amp;",",","&amp;SUBSTITUTE('1 Scholarships'!$P$2:$P$60," ","")&amp;","))&gt;0)*'1 Scholarships'!$F$2:$F$60)))</f>
        <v/>
      </c>
      <c r="O58" s="18"/>
      <c r="P58" s="18"/>
      <c r="Q58" s="18"/>
      <c r="R58" s="19"/>
      <c r="S58" s="19"/>
      <c r="T58" s="18"/>
      <c r="U58" s="18"/>
      <c r="V58" s="18"/>
    </row>
    <row r="59" customFormat="false" ht="15" hidden="false" customHeight="false" outlineLevel="0" collapsed="false">
      <c r="A59" s="18"/>
      <c r="B59" s="19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4" t="str">
        <f aca="false">IF(OR(I59="",J59=""),"",SUMPRODUCT((CODE(I59)&lt;=CODE('1 Scholarships'!$G$2:$G$60))*('1 Scholarships'!$A$2:$A$60&lt;&gt;"")*(('1 Scholarships'!$H$2:$H$60="")+ISNUMBER(SEARCH(","&amp;J59&amp;",",","&amp;SUBSTITUTE('1 Scholarships'!$H$2:$H$60," ","")&amp;","))&gt;0)*(('1 Scholarships'!$J$2:$J$60&lt;&gt;"Yes")+(L59="Yes")&gt;0)*((K59="")+ISNUMBER(SEARCH(","&amp;K59&amp;",",","&amp;SUBSTITUTE('1 Scholarships'!$P$2:$P$60," ","")&amp;","))&gt;0)))</f>
        <v/>
      </c>
      <c r="N59" s="20" t="str">
        <f aca="false">IF(OR(I59="",J59=""),"",SUMPRODUCT(MAX((CODE(I59)&lt;=CODE('1 Scholarships'!$G$2:$G$60))*('1 Scholarships'!$A$2:$A$60&lt;&gt;"")*(('1 Scholarships'!$H$2:$H$60="")+ISNUMBER(SEARCH(","&amp;J59&amp;",",","&amp;SUBSTITUTE('1 Scholarships'!$H$2:$H$60," ","")&amp;","))&gt;0)*(('1 Scholarships'!$J$2:$J$60&lt;&gt;"Yes")+(L59="Yes")&gt;0)*((K59="")+ISNUMBER(SEARCH(","&amp;K59&amp;",",","&amp;SUBSTITUTE('1 Scholarships'!$P$2:$P$60," ","")&amp;","))&gt;0)*'1 Scholarships'!$F$2:$F$60)))</f>
        <v/>
      </c>
      <c r="O59" s="18"/>
      <c r="P59" s="18"/>
      <c r="Q59" s="18"/>
      <c r="R59" s="19"/>
      <c r="S59" s="19"/>
      <c r="T59" s="18"/>
      <c r="U59" s="18"/>
      <c r="V59" s="18"/>
    </row>
    <row r="60" customFormat="false" ht="15" hidden="false" customHeight="false" outlineLevel="0" collapsed="false">
      <c r="A60" s="18"/>
      <c r="B60" s="19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4" t="str">
        <f aca="false">IF(OR(I60="",J60=""),"",SUMPRODUCT((CODE(I60)&lt;=CODE('1 Scholarships'!$G$2:$G$60))*('1 Scholarships'!$A$2:$A$60&lt;&gt;"")*(('1 Scholarships'!$H$2:$H$60="")+ISNUMBER(SEARCH(","&amp;J60&amp;",",","&amp;SUBSTITUTE('1 Scholarships'!$H$2:$H$60," ","")&amp;","))&gt;0)*(('1 Scholarships'!$J$2:$J$60&lt;&gt;"Yes")+(L60="Yes")&gt;0)*((K60="")+ISNUMBER(SEARCH(","&amp;K60&amp;",",","&amp;SUBSTITUTE('1 Scholarships'!$P$2:$P$60," ","")&amp;","))&gt;0)))</f>
        <v/>
      </c>
      <c r="N60" s="20" t="str">
        <f aca="false">IF(OR(I60="",J60=""),"",SUMPRODUCT(MAX((CODE(I60)&lt;=CODE('1 Scholarships'!$G$2:$G$60))*('1 Scholarships'!$A$2:$A$60&lt;&gt;"")*(('1 Scholarships'!$H$2:$H$60="")+ISNUMBER(SEARCH(","&amp;J60&amp;",",","&amp;SUBSTITUTE('1 Scholarships'!$H$2:$H$60," ","")&amp;","))&gt;0)*(('1 Scholarships'!$J$2:$J$60&lt;&gt;"Yes")+(L60="Yes")&gt;0)*((K60="")+ISNUMBER(SEARCH(","&amp;K60&amp;",",","&amp;SUBSTITUTE('1 Scholarships'!$P$2:$P$60," ","")&amp;","))&gt;0)*'1 Scholarships'!$F$2:$F$60)))</f>
        <v/>
      </c>
      <c r="O60" s="18"/>
      <c r="P60" s="18"/>
      <c r="Q60" s="18"/>
      <c r="R60" s="19"/>
      <c r="S60" s="19"/>
      <c r="T60" s="18"/>
      <c r="U60" s="18"/>
      <c r="V60" s="18"/>
    </row>
    <row r="61" customFormat="false" ht="15" hidden="false" customHeight="false" outlineLevel="0" collapsed="false">
      <c r="A61" s="18"/>
      <c r="B61" s="19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4" t="str">
        <f aca="false">IF(OR(I61="",J61=""),"",SUMPRODUCT((CODE(I61)&lt;=CODE('1 Scholarships'!$G$2:$G$60))*('1 Scholarships'!$A$2:$A$60&lt;&gt;"")*(('1 Scholarships'!$H$2:$H$60="")+ISNUMBER(SEARCH(","&amp;J61&amp;",",","&amp;SUBSTITUTE('1 Scholarships'!$H$2:$H$60," ","")&amp;","))&gt;0)*(('1 Scholarships'!$J$2:$J$60&lt;&gt;"Yes")+(L61="Yes")&gt;0)*((K61="")+ISNUMBER(SEARCH(","&amp;K61&amp;",",","&amp;SUBSTITUTE('1 Scholarships'!$P$2:$P$60," ","")&amp;","))&gt;0)))</f>
        <v/>
      </c>
      <c r="N61" s="20" t="str">
        <f aca="false">IF(OR(I61="",J61=""),"",SUMPRODUCT(MAX((CODE(I61)&lt;=CODE('1 Scholarships'!$G$2:$G$60))*('1 Scholarships'!$A$2:$A$60&lt;&gt;"")*(('1 Scholarships'!$H$2:$H$60="")+ISNUMBER(SEARCH(","&amp;J61&amp;",",","&amp;SUBSTITUTE('1 Scholarships'!$H$2:$H$60," ","")&amp;","))&gt;0)*(('1 Scholarships'!$J$2:$J$60&lt;&gt;"Yes")+(L61="Yes")&gt;0)*((K61="")+ISNUMBER(SEARCH(","&amp;K61&amp;",",","&amp;SUBSTITUTE('1 Scholarships'!$P$2:$P$60," ","")&amp;","))&gt;0)*'1 Scholarships'!$F$2:$F$60)))</f>
        <v/>
      </c>
      <c r="O61" s="18"/>
      <c r="P61" s="18"/>
      <c r="Q61" s="18"/>
      <c r="R61" s="19"/>
      <c r="S61" s="19"/>
      <c r="T61" s="18"/>
      <c r="U61" s="18"/>
      <c r="V61" s="18"/>
    </row>
    <row r="62" customFormat="false" ht="15" hidden="false" customHeight="false" outlineLevel="0" collapsed="false">
      <c r="A62" s="18"/>
      <c r="B62" s="19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4" t="str">
        <f aca="false">IF(OR(I62="",J62=""),"",SUMPRODUCT((CODE(I62)&lt;=CODE('1 Scholarships'!$G$2:$G$60))*('1 Scholarships'!$A$2:$A$60&lt;&gt;"")*(('1 Scholarships'!$H$2:$H$60="")+ISNUMBER(SEARCH(","&amp;J62&amp;",",","&amp;SUBSTITUTE('1 Scholarships'!$H$2:$H$60," ","")&amp;","))&gt;0)*(('1 Scholarships'!$J$2:$J$60&lt;&gt;"Yes")+(L62="Yes")&gt;0)*((K62="")+ISNUMBER(SEARCH(","&amp;K62&amp;",",","&amp;SUBSTITUTE('1 Scholarships'!$P$2:$P$60," ","")&amp;","))&gt;0)))</f>
        <v/>
      </c>
      <c r="N62" s="20" t="str">
        <f aca="false">IF(OR(I62="",J62=""),"",SUMPRODUCT(MAX((CODE(I62)&lt;=CODE('1 Scholarships'!$G$2:$G$60))*('1 Scholarships'!$A$2:$A$60&lt;&gt;"")*(('1 Scholarships'!$H$2:$H$60="")+ISNUMBER(SEARCH(","&amp;J62&amp;",",","&amp;SUBSTITUTE('1 Scholarships'!$H$2:$H$60," ","")&amp;","))&gt;0)*(('1 Scholarships'!$J$2:$J$60&lt;&gt;"Yes")+(L62="Yes")&gt;0)*((K62="")+ISNUMBER(SEARCH(","&amp;K62&amp;",",","&amp;SUBSTITUTE('1 Scholarships'!$P$2:$P$60," ","")&amp;","))&gt;0)*'1 Scholarships'!$F$2:$F$60)))</f>
        <v/>
      </c>
      <c r="O62" s="18"/>
      <c r="P62" s="18"/>
      <c r="Q62" s="18"/>
      <c r="R62" s="19"/>
      <c r="S62" s="19"/>
      <c r="T62" s="18"/>
      <c r="U62" s="18"/>
      <c r="V62" s="18"/>
    </row>
    <row r="63" customFormat="false" ht="15" hidden="false" customHeight="false" outlineLevel="0" collapsed="false">
      <c r="A63" s="18"/>
      <c r="B63" s="19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4" t="str">
        <f aca="false">IF(OR(I63="",J63=""),"",SUMPRODUCT((CODE(I63)&lt;=CODE('1 Scholarships'!$G$2:$G$60))*('1 Scholarships'!$A$2:$A$60&lt;&gt;"")*(('1 Scholarships'!$H$2:$H$60="")+ISNUMBER(SEARCH(","&amp;J63&amp;",",","&amp;SUBSTITUTE('1 Scholarships'!$H$2:$H$60," ","")&amp;","))&gt;0)*(('1 Scholarships'!$J$2:$J$60&lt;&gt;"Yes")+(L63="Yes")&gt;0)*((K63="")+ISNUMBER(SEARCH(","&amp;K63&amp;",",","&amp;SUBSTITUTE('1 Scholarships'!$P$2:$P$60," ","")&amp;","))&gt;0)))</f>
        <v/>
      </c>
      <c r="N63" s="20" t="str">
        <f aca="false">IF(OR(I63="",J63=""),"",SUMPRODUCT(MAX((CODE(I63)&lt;=CODE('1 Scholarships'!$G$2:$G$60))*('1 Scholarships'!$A$2:$A$60&lt;&gt;"")*(('1 Scholarships'!$H$2:$H$60="")+ISNUMBER(SEARCH(","&amp;J63&amp;",",","&amp;SUBSTITUTE('1 Scholarships'!$H$2:$H$60," ","")&amp;","))&gt;0)*(('1 Scholarships'!$J$2:$J$60&lt;&gt;"Yes")+(L63="Yes")&gt;0)*((K63="")+ISNUMBER(SEARCH(","&amp;K63&amp;",",","&amp;SUBSTITUTE('1 Scholarships'!$P$2:$P$60," ","")&amp;","))&gt;0)*'1 Scholarships'!$F$2:$F$60)))</f>
        <v/>
      </c>
      <c r="O63" s="18"/>
      <c r="P63" s="18"/>
      <c r="Q63" s="18"/>
      <c r="R63" s="19"/>
      <c r="S63" s="19"/>
      <c r="T63" s="18"/>
      <c r="U63" s="18"/>
      <c r="V63" s="18"/>
    </row>
    <row r="64" customFormat="false" ht="15" hidden="false" customHeight="false" outlineLevel="0" collapsed="false">
      <c r="A64" s="18"/>
      <c r="B64" s="19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4" t="str">
        <f aca="false">IF(OR(I64="",J64=""),"",SUMPRODUCT((CODE(I64)&lt;=CODE('1 Scholarships'!$G$2:$G$60))*('1 Scholarships'!$A$2:$A$60&lt;&gt;"")*(('1 Scholarships'!$H$2:$H$60="")+ISNUMBER(SEARCH(","&amp;J64&amp;",",","&amp;SUBSTITUTE('1 Scholarships'!$H$2:$H$60," ","")&amp;","))&gt;0)*(('1 Scholarships'!$J$2:$J$60&lt;&gt;"Yes")+(L64="Yes")&gt;0)*((K64="")+ISNUMBER(SEARCH(","&amp;K64&amp;",",","&amp;SUBSTITUTE('1 Scholarships'!$P$2:$P$60," ","")&amp;","))&gt;0)))</f>
        <v/>
      </c>
      <c r="N64" s="20" t="str">
        <f aca="false">IF(OR(I64="",J64=""),"",SUMPRODUCT(MAX((CODE(I64)&lt;=CODE('1 Scholarships'!$G$2:$G$60))*('1 Scholarships'!$A$2:$A$60&lt;&gt;"")*(('1 Scholarships'!$H$2:$H$60="")+ISNUMBER(SEARCH(","&amp;J64&amp;",",","&amp;SUBSTITUTE('1 Scholarships'!$H$2:$H$60," ","")&amp;","))&gt;0)*(('1 Scholarships'!$J$2:$J$60&lt;&gt;"Yes")+(L64="Yes")&gt;0)*((K64="")+ISNUMBER(SEARCH(","&amp;K64&amp;",",","&amp;SUBSTITUTE('1 Scholarships'!$P$2:$P$60," ","")&amp;","))&gt;0)*'1 Scholarships'!$F$2:$F$60)))</f>
        <v/>
      </c>
      <c r="O64" s="18"/>
      <c r="P64" s="18"/>
      <c r="Q64" s="18"/>
      <c r="R64" s="19"/>
      <c r="S64" s="19"/>
      <c r="T64" s="18"/>
      <c r="U64" s="18"/>
      <c r="V64" s="18"/>
    </row>
    <row r="65" customFormat="false" ht="15" hidden="false" customHeight="false" outlineLevel="0" collapsed="false">
      <c r="A65" s="18"/>
      <c r="B65" s="19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4" t="str">
        <f aca="false">IF(OR(I65="",J65=""),"",SUMPRODUCT((CODE(I65)&lt;=CODE('1 Scholarships'!$G$2:$G$60))*('1 Scholarships'!$A$2:$A$60&lt;&gt;"")*(('1 Scholarships'!$H$2:$H$60="")+ISNUMBER(SEARCH(","&amp;J65&amp;",",","&amp;SUBSTITUTE('1 Scholarships'!$H$2:$H$60," ","")&amp;","))&gt;0)*(('1 Scholarships'!$J$2:$J$60&lt;&gt;"Yes")+(L65="Yes")&gt;0)*((K65="")+ISNUMBER(SEARCH(","&amp;K65&amp;",",","&amp;SUBSTITUTE('1 Scholarships'!$P$2:$P$60," ","")&amp;","))&gt;0)))</f>
        <v/>
      </c>
      <c r="N65" s="20" t="str">
        <f aca="false">IF(OR(I65="",J65=""),"",SUMPRODUCT(MAX((CODE(I65)&lt;=CODE('1 Scholarships'!$G$2:$G$60))*('1 Scholarships'!$A$2:$A$60&lt;&gt;"")*(('1 Scholarships'!$H$2:$H$60="")+ISNUMBER(SEARCH(","&amp;J65&amp;",",","&amp;SUBSTITUTE('1 Scholarships'!$H$2:$H$60," ","")&amp;","))&gt;0)*(('1 Scholarships'!$J$2:$J$60&lt;&gt;"Yes")+(L65="Yes")&gt;0)*((K65="")+ISNUMBER(SEARCH(","&amp;K65&amp;",",","&amp;SUBSTITUTE('1 Scholarships'!$P$2:$P$60," ","")&amp;","))&gt;0)*'1 Scholarships'!$F$2:$F$60)))</f>
        <v/>
      </c>
      <c r="O65" s="18"/>
      <c r="P65" s="18"/>
      <c r="Q65" s="18"/>
      <c r="R65" s="19"/>
      <c r="S65" s="19"/>
      <c r="T65" s="18"/>
      <c r="U65" s="18"/>
      <c r="V65" s="18"/>
    </row>
    <row r="66" customFormat="false" ht="15" hidden="false" customHeight="false" outlineLevel="0" collapsed="false">
      <c r="A66" s="18"/>
      <c r="B66" s="19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4" t="str">
        <f aca="false">IF(OR(I66="",J66=""),"",SUMPRODUCT((CODE(I66)&lt;=CODE('1 Scholarships'!$G$2:$G$60))*('1 Scholarships'!$A$2:$A$60&lt;&gt;"")*(('1 Scholarships'!$H$2:$H$60="")+ISNUMBER(SEARCH(","&amp;J66&amp;",",","&amp;SUBSTITUTE('1 Scholarships'!$H$2:$H$60," ","")&amp;","))&gt;0)*(('1 Scholarships'!$J$2:$J$60&lt;&gt;"Yes")+(L66="Yes")&gt;0)*((K66="")+ISNUMBER(SEARCH(","&amp;K66&amp;",",","&amp;SUBSTITUTE('1 Scholarships'!$P$2:$P$60," ","")&amp;","))&gt;0)))</f>
        <v/>
      </c>
      <c r="N66" s="20" t="str">
        <f aca="false">IF(OR(I66="",J66=""),"",SUMPRODUCT(MAX((CODE(I66)&lt;=CODE('1 Scholarships'!$G$2:$G$60))*('1 Scholarships'!$A$2:$A$60&lt;&gt;"")*(('1 Scholarships'!$H$2:$H$60="")+ISNUMBER(SEARCH(","&amp;J66&amp;",",","&amp;SUBSTITUTE('1 Scholarships'!$H$2:$H$60," ","")&amp;","))&gt;0)*(('1 Scholarships'!$J$2:$J$60&lt;&gt;"Yes")+(L66="Yes")&gt;0)*((K66="")+ISNUMBER(SEARCH(","&amp;K66&amp;",",","&amp;SUBSTITUTE('1 Scholarships'!$P$2:$P$60," ","")&amp;","))&gt;0)*'1 Scholarships'!$F$2:$F$60)))</f>
        <v/>
      </c>
      <c r="O66" s="18"/>
      <c r="P66" s="18"/>
      <c r="Q66" s="18"/>
      <c r="R66" s="19"/>
      <c r="S66" s="19"/>
      <c r="T66" s="18"/>
      <c r="U66" s="18"/>
      <c r="V66" s="18"/>
    </row>
    <row r="67" customFormat="false" ht="15" hidden="false" customHeight="false" outlineLevel="0" collapsed="false">
      <c r="A67" s="18"/>
      <c r="B67" s="19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4" t="str">
        <f aca="false">IF(OR(I67="",J67=""),"",SUMPRODUCT((CODE(I67)&lt;=CODE('1 Scholarships'!$G$2:$G$60))*('1 Scholarships'!$A$2:$A$60&lt;&gt;"")*(('1 Scholarships'!$H$2:$H$60="")+ISNUMBER(SEARCH(","&amp;J67&amp;",",","&amp;SUBSTITUTE('1 Scholarships'!$H$2:$H$60," ","")&amp;","))&gt;0)*(('1 Scholarships'!$J$2:$J$60&lt;&gt;"Yes")+(L67="Yes")&gt;0)*((K67="")+ISNUMBER(SEARCH(","&amp;K67&amp;",",","&amp;SUBSTITUTE('1 Scholarships'!$P$2:$P$60," ","")&amp;","))&gt;0)))</f>
        <v/>
      </c>
      <c r="N67" s="20" t="str">
        <f aca="false">IF(OR(I67="",J67=""),"",SUMPRODUCT(MAX((CODE(I67)&lt;=CODE('1 Scholarships'!$G$2:$G$60))*('1 Scholarships'!$A$2:$A$60&lt;&gt;"")*(('1 Scholarships'!$H$2:$H$60="")+ISNUMBER(SEARCH(","&amp;J67&amp;",",","&amp;SUBSTITUTE('1 Scholarships'!$H$2:$H$60," ","")&amp;","))&gt;0)*(('1 Scholarships'!$J$2:$J$60&lt;&gt;"Yes")+(L67="Yes")&gt;0)*((K67="")+ISNUMBER(SEARCH(","&amp;K67&amp;",",","&amp;SUBSTITUTE('1 Scholarships'!$P$2:$P$60," ","")&amp;","))&gt;0)*'1 Scholarships'!$F$2:$F$60)))</f>
        <v/>
      </c>
      <c r="O67" s="18"/>
      <c r="P67" s="18"/>
      <c r="Q67" s="18"/>
      <c r="R67" s="19"/>
      <c r="S67" s="19"/>
      <c r="T67" s="18"/>
      <c r="U67" s="18"/>
      <c r="V67" s="18"/>
    </row>
    <row r="68" customFormat="false" ht="15" hidden="false" customHeight="false" outlineLevel="0" collapsed="false">
      <c r="A68" s="18"/>
      <c r="B68" s="19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4" t="str">
        <f aca="false">IF(OR(I68="",J68=""),"",SUMPRODUCT((CODE(I68)&lt;=CODE('1 Scholarships'!$G$2:$G$60))*('1 Scholarships'!$A$2:$A$60&lt;&gt;"")*(('1 Scholarships'!$H$2:$H$60="")+ISNUMBER(SEARCH(","&amp;J68&amp;",",","&amp;SUBSTITUTE('1 Scholarships'!$H$2:$H$60," ","")&amp;","))&gt;0)*(('1 Scholarships'!$J$2:$J$60&lt;&gt;"Yes")+(L68="Yes")&gt;0)*((K68="")+ISNUMBER(SEARCH(","&amp;K68&amp;",",","&amp;SUBSTITUTE('1 Scholarships'!$P$2:$P$60," ","")&amp;","))&gt;0)))</f>
        <v/>
      </c>
      <c r="N68" s="20" t="str">
        <f aca="false">IF(OR(I68="",J68=""),"",SUMPRODUCT(MAX((CODE(I68)&lt;=CODE('1 Scholarships'!$G$2:$G$60))*('1 Scholarships'!$A$2:$A$60&lt;&gt;"")*(('1 Scholarships'!$H$2:$H$60="")+ISNUMBER(SEARCH(","&amp;J68&amp;",",","&amp;SUBSTITUTE('1 Scholarships'!$H$2:$H$60," ","")&amp;","))&gt;0)*(('1 Scholarships'!$J$2:$J$60&lt;&gt;"Yes")+(L68="Yes")&gt;0)*((K68="")+ISNUMBER(SEARCH(","&amp;K68&amp;",",","&amp;SUBSTITUTE('1 Scholarships'!$P$2:$P$60," ","")&amp;","))&gt;0)*'1 Scholarships'!$F$2:$F$60)))</f>
        <v/>
      </c>
      <c r="O68" s="18"/>
      <c r="P68" s="18"/>
      <c r="Q68" s="18"/>
      <c r="R68" s="19"/>
      <c r="S68" s="19"/>
      <c r="T68" s="18"/>
      <c r="U68" s="18"/>
      <c r="V68" s="18"/>
    </row>
    <row r="69" customFormat="false" ht="15" hidden="false" customHeight="false" outlineLevel="0" collapsed="false">
      <c r="A69" s="18"/>
      <c r="B69" s="19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4" t="str">
        <f aca="false">IF(OR(I69="",J69=""),"",SUMPRODUCT((CODE(I69)&lt;=CODE('1 Scholarships'!$G$2:$G$60))*('1 Scholarships'!$A$2:$A$60&lt;&gt;"")*(('1 Scholarships'!$H$2:$H$60="")+ISNUMBER(SEARCH(","&amp;J69&amp;",",","&amp;SUBSTITUTE('1 Scholarships'!$H$2:$H$60," ","")&amp;","))&gt;0)*(('1 Scholarships'!$J$2:$J$60&lt;&gt;"Yes")+(L69="Yes")&gt;0)*((K69="")+ISNUMBER(SEARCH(","&amp;K69&amp;",",","&amp;SUBSTITUTE('1 Scholarships'!$P$2:$P$60," ","")&amp;","))&gt;0)))</f>
        <v/>
      </c>
      <c r="N69" s="20" t="str">
        <f aca="false">IF(OR(I69="",J69=""),"",SUMPRODUCT(MAX((CODE(I69)&lt;=CODE('1 Scholarships'!$G$2:$G$60))*('1 Scholarships'!$A$2:$A$60&lt;&gt;"")*(('1 Scholarships'!$H$2:$H$60="")+ISNUMBER(SEARCH(","&amp;J69&amp;",",","&amp;SUBSTITUTE('1 Scholarships'!$H$2:$H$60," ","")&amp;","))&gt;0)*(('1 Scholarships'!$J$2:$J$60&lt;&gt;"Yes")+(L69="Yes")&gt;0)*((K69="")+ISNUMBER(SEARCH(","&amp;K69&amp;",",","&amp;SUBSTITUTE('1 Scholarships'!$P$2:$P$60," ","")&amp;","))&gt;0)*'1 Scholarships'!$F$2:$F$60)))</f>
        <v/>
      </c>
      <c r="O69" s="18"/>
      <c r="P69" s="18"/>
      <c r="Q69" s="18"/>
      <c r="R69" s="19"/>
      <c r="S69" s="19"/>
      <c r="T69" s="18"/>
      <c r="U69" s="18"/>
      <c r="V69" s="18"/>
    </row>
    <row r="70" customFormat="false" ht="15" hidden="false" customHeight="false" outlineLevel="0" collapsed="false">
      <c r="A70" s="18"/>
      <c r="B70" s="19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4" t="str">
        <f aca="false">IF(OR(I70="",J70=""),"",SUMPRODUCT((CODE(I70)&lt;=CODE('1 Scholarships'!$G$2:$G$60))*('1 Scholarships'!$A$2:$A$60&lt;&gt;"")*(('1 Scholarships'!$H$2:$H$60="")+ISNUMBER(SEARCH(","&amp;J70&amp;",",","&amp;SUBSTITUTE('1 Scholarships'!$H$2:$H$60," ","")&amp;","))&gt;0)*(('1 Scholarships'!$J$2:$J$60&lt;&gt;"Yes")+(L70="Yes")&gt;0)*((K70="")+ISNUMBER(SEARCH(","&amp;K70&amp;",",","&amp;SUBSTITUTE('1 Scholarships'!$P$2:$P$60," ","")&amp;","))&gt;0)))</f>
        <v/>
      </c>
      <c r="N70" s="20" t="str">
        <f aca="false">IF(OR(I70="",J70=""),"",SUMPRODUCT(MAX((CODE(I70)&lt;=CODE('1 Scholarships'!$G$2:$G$60))*('1 Scholarships'!$A$2:$A$60&lt;&gt;"")*(('1 Scholarships'!$H$2:$H$60="")+ISNUMBER(SEARCH(","&amp;J70&amp;",",","&amp;SUBSTITUTE('1 Scholarships'!$H$2:$H$60," ","")&amp;","))&gt;0)*(('1 Scholarships'!$J$2:$J$60&lt;&gt;"Yes")+(L70="Yes")&gt;0)*((K70="")+ISNUMBER(SEARCH(","&amp;K70&amp;",",","&amp;SUBSTITUTE('1 Scholarships'!$P$2:$P$60," ","")&amp;","))&gt;0)*'1 Scholarships'!$F$2:$F$60)))</f>
        <v/>
      </c>
      <c r="O70" s="18"/>
      <c r="P70" s="18"/>
      <c r="Q70" s="18"/>
      <c r="R70" s="19"/>
      <c r="S70" s="19"/>
      <c r="T70" s="18"/>
      <c r="U70" s="18"/>
      <c r="V70" s="18"/>
    </row>
    <row r="71" customFormat="false" ht="15" hidden="false" customHeight="false" outlineLevel="0" collapsed="false">
      <c r="A71" s="18"/>
      <c r="B71" s="19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4" t="str">
        <f aca="false">IF(OR(I71="",J71=""),"",SUMPRODUCT((CODE(I71)&lt;=CODE('1 Scholarships'!$G$2:$G$60))*('1 Scholarships'!$A$2:$A$60&lt;&gt;"")*(('1 Scholarships'!$H$2:$H$60="")+ISNUMBER(SEARCH(","&amp;J71&amp;",",","&amp;SUBSTITUTE('1 Scholarships'!$H$2:$H$60," ","")&amp;","))&gt;0)*(('1 Scholarships'!$J$2:$J$60&lt;&gt;"Yes")+(L71="Yes")&gt;0)*((K71="")+ISNUMBER(SEARCH(","&amp;K71&amp;",",","&amp;SUBSTITUTE('1 Scholarships'!$P$2:$P$60," ","")&amp;","))&gt;0)))</f>
        <v/>
      </c>
      <c r="N71" s="20" t="str">
        <f aca="false">IF(OR(I71="",J71=""),"",SUMPRODUCT(MAX((CODE(I71)&lt;=CODE('1 Scholarships'!$G$2:$G$60))*('1 Scholarships'!$A$2:$A$60&lt;&gt;"")*(('1 Scholarships'!$H$2:$H$60="")+ISNUMBER(SEARCH(","&amp;J71&amp;",",","&amp;SUBSTITUTE('1 Scholarships'!$H$2:$H$60," ","")&amp;","))&gt;0)*(('1 Scholarships'!$J$2:$J$60&lt;&gt;"Yes")+(L71="Yes")&gt;0)*((K71="")+ISNUMBER(SEARCH(","&amp;K71&amp;",",","&amp;SUBSTITUTE('1 Scholarships'!$P$2:$P$60," ","")&amp;","))&gt;0)*'1 Scholarships'!$F$2:$F$60)))</f>
        <v/>
      </c>
      <c r="O71" s="18"/>
      <c r="P71" s="18"/>
      <c r="Q71" s="18"/>
      <c r="R71" s="19"/>
      <c r="S71" s="19"/>
      <c r="T71" s="18"/>
      <c r="U71" s="18"/>
      <c r="V71" s="18"/>
    </row>
    <row r="72" customFormat="false" ht="15" hidden="false" customHeight="false" outlineLevel="0" collapsed="false">
      <c r="A72" s="18"/>
      <c r="B72" s="19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4" t="str">
        <f aca="false">IF(OR(I72="",J72=""),"",SUMPRODUCT((CODE(I72)&lt;=CODE('1 Scholarships'!$G$2:$G$60))*('1 Scholarships'!$A$2:$A$60&lt;&gt;"")*(('1 Scholarships'!$H$2:$H$60="")+ISNUMBER(SEARCH(","&amp;J72&amp;",",","&amp;SUBSTITUTE('1 Scholarships'!$H$2:$H$60," ","")&amp;","))&gt;0)*(('1 Scholarships'!$J$2:$J$60&lt;&gt;"Yes")+(L72="Yes")&gt;0)*((K72="")+ISNUMBER(SEARCH(","&amp;K72&amp;",",","&amp;SUBSTITUTE('1 Scholarships'!$P$2:$P$60," ","")&amp;","))&gt;0)))</f>
        <v/>
      </c>
      <c r="N72" s="20" t="str">
        <f aca="false">IF(OR(I72="",J72=""),"",SUMPRODUCT(MAX((CODE(I72)&lt;=CODE('1 Scholarships'!$G$2:$G$60))*('1 Scholarships'!$A$2:$A$60&lt;&gt;"")*(('1 Scholarships'!$H$2:$H$60="")+ISNUMBER(SEARCH(","&amp;J72&amp;",",","&amp;SUBSTITUTE('1 Scholarships'!$H$2:$H$60," ","")&amp;","))&gt;0)*(('1 Scholarships'!$J$2:$J$60&lt;&gt;"Yes")+(L72="Yes")&gt;0)*((K72="")+ISNUMBER(SEARCH(","&amp;K72&amp;",",","&amp;SUBSTITUTE('1 Scholarships'!$P$2:$P$60," ","")&amp;","))&gt;0)*'1 Scholarships'!$F$2:$F$60)))</f>
        <v/>
      </c>
      <c r="O72" s="18"/>
      <c r="P72" s="18"/>
      <c r="Q72" s="18"/>
      <c r="R72" s="19"/>
      <c r="S72" s="19"/>
      <c r="T72" s="18"/>
      <c r="U72" s="18"/>
      <c r="V72" s="18"/>
    </row>
    <row r="73" customFormat="false" ht="15" hidden="false" customHeight="false" outlineLevel="0" collapsed="false">
      <c r="A73" s="18"/>
      <c r="B73" s="19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4" t="str">
        <f aca="false">IF(OR(I73="",J73=""),"",SUMPRODUCT((CODE(I73)&lt;=CODE('1 Scholarships'!$G$2:$G$60))*('1 Scholarships'!$A$2:$A$60&lt;&gt;"")*(('1 Scholarships'!$H$2:$H$60="")+ISNUMBER(SEARCH(","&amp;J73&amp;",",","&amp;SUBSTITUTE('1 Scholarships'!$H$2:$H$60," ","")&amp;","))&gt;0)*(('1 Scholarships'!$J$2:$J$60&lt;&gt;"Yes")+(L73="Yes")&gt;0)*((K73="")+ISNUMBER(SEARCH(","&amp;K73&amp;",",","&amp;SUBSTITUTE('1 Scholarships'!$P$2:$P$60," ","")&amp;","))&gt;0)))</f>
        <v/>
      </c>
      <c r="N73" s="20" t="str">
        <f aca="false">IF(OR(I73="",J73=""),"",SUMPRODUCT(MAX((CODE(I73)&lt;=CODE('1 Scholarships'!$G$2:$G$60))*('1 Scholarships'!$A$2:$A$60&lt;&gt;"")*(('1 Scholarships'!$H$2:$H$60="")+ISNUMBER(SEARCH(","&amp;J73&amp;",",","&amp;SUBSTITUTE('1 Scholarships'!$H$2:$H$60," ","")&amp;","))&gt;0)*(('1 Scholarships'!$J$2:$J$60&lt;&gt;"Yes")+(L73="Yes")&gt;0)*((K73="")+ISNUMBER(SEARCH(","&amp;K73&amp;",",","&amp;SUBSTITUTE('1 Scholarships'!$P$2:$P$60," ","")&amp;","))&gt;0)*'1 Scholarships'!$F$2:$F$60)))</f>
        <v/>
      </c>
      <c r="O73" s="18"/>
      <c r="P73" s="18"/>
      <c r="Q73" s="18"/>
      <c r="R73" s="19"/>
      <c r="S73" s="19"/>
      <c r="T73" s="18"/>
      <c r="U73" s="18"/>
      <c r="V73" s="18"/>
    </row>
    <row r="74" customFormat="false" ht="15" hidden="false" customHeight="false" outlineLevel="0" collapsed="false">
      <c r="A74" s="18"/>
      <c r="B74" s="19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4" t="str">
        <f aca="false">IF(OR(I74="",J74=""),"",SUMPRODUCT((CODE(I74)&lt;=CODE('1 Scholarships'!$G$2:$G$60))*('1 Scholarships'!$A$2:$A$60&lt;&gt;"")*(('1 Scholarships'!$H$2:$H$60="")+ISNUMBER(SEARCH(","&amp;J74&amp;",",","&amp;SUBSTITUTE('1 Scholarships'!$H$2:$H$60," ","")&amp;","))&gt;0)*(('1 Scholarships'!$J$2:$J$60&lt;&gt;"Yes")+(L74="Yes")&gt;0)*((K74="")+ISNUMBER(SEARCH(","&amp;K74&amp;",",","&amp;SUBSTITUTE('1 Scholarships'!$P$2:$P$60," ","")&amp;","))&gt;0)))</f>
        <v/>
      </c>
      <c r="N74" s="20" t="str">
        <f aca="false">IF(OR(I74="",J74=""),"",SUMPRODUCT(MAX((CODE(I74)&lt;=CODE('1 Scholarships'!$G$2:$G$60))*('1 Scholarships'!$A$2:$A$60&lt;&gt;"")*(('1 Scholarships'!$H$2:$H$60="")+ISNUMBER(SEARCH(","&amp;J74&amp;",",","&amp;SUBSTITUTE('1 Scholarships'!$H$2:$H$60," ","")&amp;","))&gt;0)*(('1 Scholarships'!$J$2:$J$60&lt;&gt;"Yes")+(L74="Yes")&gt;0)*((K74="")+ISNUMBER(SEARCH(","&amp;K74&amp;",",","&amp;SUBSTITUTE('1 Scholarships'!$P$2:$P$60," ","")&amp;","))&gt;0)*'1 Scholarships'!$F$2:$F$60)))</f>
        <v/>
      </c>
      <c r="O74" s="18"/>
      <c r="P74" s="18"/>
      <c r="Q74" s="18"/>
      <c r="R74" s="19"/>
      <c r="S74" s="19"/>
      <c r="T74" s="18"/>
      <c r="U74" s="18"/>
      <c r="V74" s="18"/>
    </row>
    <row r="75" customFormat="false" ht="15" hidden="false" customHeight="false" outlineLevel="0" collapsed="false">
      <c r="A75" s="18"/>
      <c r="B75" s="19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4" t="str">
        <f aca="false">IF(OR(I75="",J75=""),"",SUMPRODUCT((CODE(I75)&lt;=CODE('1 Scholarships'!$G$2:$G$60))*('1 Scholarships'!$A$2:$A$60&lt;&gt;"")*(('1 Scholarships'!$H$2:$H$60="")+ISNUMBER(SEARCH(","&amp;J75&amp;",",","&amp;SUBSTITUTE('1 Scholarships'!$H$2:$H$60," ","")&amp;","))&gt;0)*(('1 Scholarships'!$J$2:$J$60&lt;&gt;"Yes")+(L75="Yes")&gt;0)*((K75="")+ISNUMBER(SEARCH(","&amp;K75&amp;",",","&amp;SUBSTITUTE('1 Scholarships'!$P$2:$P$60," ","")&amp;","))&gt;0)))</f>
        <v/>
      </c>
      <c r="N75" s="20" t="str">
        <f aca="false">IF(OR(I75="",J75=""),"",SUMPRODUCT(MAX((CODE(I75)&lt;=CODE('1 Scholarships'!$G$2:$G$60))*('1 Scholarships'!$A$2:$A$60&lt;&gt;"")*(('1 Scholarships'!$H$2:$H$60="")+ISNUMBER(SEARCH(","&amp;J75&amp;",",","&amp;SUBSTITUTE('1 Scholarships'!$H$2:$H$60," ","")&amp;","))&gt;0)*(('1 Scholarships'!$J$2:$J$60&lt;&gt;"Yes")+(L75="Yes")&gt;0)*((K75="")+ISNUMBER(SEARCH(","&amp;K75&amp;",",","&amp;SUBSTITUTE('1 Scholarships'!$P$2:$P$60," ","")&amp;","))&gt;0)*'1 Scholarships'!$F$2:$F$60)))</f>
        <v/>
      </c>
      <c r="O75" s="18"/>
      <c r="P75" s="18"/>
      <c r="Q75" s="18"/>
      <c r="R75" s="19"/>
      <c r="S75" s="19"/>
      <c r="T75" s="18"/>
      <c r="U75" s="18"/>
      <c r="V75" s="18"/>
    </row>
    <row r="76" customFormat="false" ht="15" hidden="false" customHeight="false" outlineLevel="0" collapsed="false">
      <c r="A76" s="18"/>
      <c r="B76" s="19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4" t="str">
        <f aca="false">IF(OR(I76="",J76=""),"",SUMPRODUCT((CODE(I76)&lt;=CODE('1 Scholarships'!$G$2:$G$60))*('1 Scholarships'!$A$2:$A$60&lt;&gt;"")*(('1 Scholarships'!$H$2:$H$60="")+ISNUMBER(SEARCH(","&amp;J76&amp;",",","&amp;SUBSTITUTE('1 Scholarships'!$H$2:$H$60," ","")&amp;","))&gt;0)*(('1 Scholarships'!$J$2:$J$60&lt;&gt;"Yes")+(L76="Yes")&gt;0)*((K76="")+ISNUMBER(SEARCH(","&amp;K76&amp;",",","&amp;SUBSTITUTE('1 Scholarships'!$P$2:$P$60," ","")&amp;","))&gt;0)))</f>
        <v/>
      </c>
      <c r="N76" s="20" t="str">
        <f aca="false">IF(OR(I76="",J76=""),"",SUMPRODUCT(MAX((CODE(I76)&lt;=CODE('1 Scholarships'!$G$2:$G$60))*('1 Scholarships'!$A$2:$A$60&lt;&gt;"")*(('1 Scholarships'!$H$2:$H$60="")+ISNUMBER(SEARCH(","&amp;J76&amp;",",","&amp;SUBSTITUTE('1 Scholarships'!$H$2:$H$60," ","")&amp;","))&gt;0)*(('1 Scholarships'!$J$2:$J$60&lt;&gt;"Yes")+(L76="Yes")&gt;0)*((K76="")+ISNUMBER(SEARCH(","&amp;K76&amp;",",","&amp;SUBSTITUTE('1 Scholarships'!$P$2:$P$60," ","")&amp;","))&gt;0)*'1 Scholarships'!$F$2:$F$60)))</f>
        <v/>
      </c>
      <c r="O76" s="18"/>
      <c r="P76" s="18"/>
      <c r="Q76" s="18"/>
      <c r="R76" s="19"/>
      <c r="S76" s="19"/>
      <c r="T76" s="18"/>
      <c r="U76" s="18"/>
      <c r="V76" s="18"/>
    </row>
    <row r="77" customFormat="false" ht="15" hidden="false" customHeight="false" outlineLevel="0" collapsed="false">
      <c r="A77" s="18"/>
      <c r="B77" s="19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4" t="str">
        <f aca="false">IF(OR(I77="",J77=""),"",SUMPRODUCT((CODE(I77)&lt;=CODE('1 Scholarships'!$G$2:$G$60))*('1 Scholarships'!$A$2:$A$60&lt;&gt;"")*(('1 Scholarships'!$H$2:$H$60="")+ISNUMBER(SEARCH(","&amp;J77&amp;",",","&amp;SUBSTITUTE('1 Scholarships'!$H$2:$H$60," ","")&amp;","))&gt;0)*(('1 Scholarships'!$J$2:$J$60&lt;&gt;"Yes")+(L77="Yes")&gt;0)*((K77="")+ISNUMBER(SEARCH(","&amp;K77&amp;",",","&amp;SUBSTITUTE('1 Scholarships'!$P$2:$P$60," ","")&amp;","))&gt;0)))</f>
        <v/>
      </c>
      <c r="N77" s="20" t="str">
        <f aca="false">IF(OR(I77="",J77=""),"",SUMPRODUCT(MAX((CODE(I77)&lt;=CODE('1 Scholarships'!$G$2:$G$60))*('1 Scholarships'!$A$2:$A$60&lt;&gt;"")*(('1 Scholarships'!$H$2:$H$60="")+ISNUMBER(SEARCH(","&amp;J77&amp;",",","&amp;SUBSTITUTE('1 Scholarships'!$H$2:$H$60," ","")&amp;","))&gt;0)*(('1 Scholarships'!$J$2:$J$60&lt;&gt;"Yes")+(L77="Yes")&gt;0)*((K77="")+ISNUMBER(SEARCH(","&amp;K77&amp;",",","&amp;SUBSTITUTE('1 Scholarships'!$P$2:$P$60," ","")&amp;","))&gt;0)*'1 Scholarships'!$F$2:$F$60)))</f>
        <v/>
      </c>
      <c r="O77" s="18"/>
      <c r="P77" s="18"/>
      <c r="Q77" s="18"/>
      <c r="R77" s="19"/>
      <c r="S77" s="19"/>
      <c r="T77" s="18"/>
      <c r="U77" s="18"/>
      <c r="V77" s="18"/>
    </row>
    <row r="78" customFormat="false" ht="15" hidden="false" customHeight="false" outlineLevel="0" collapsed="false">
      <c r="A78" s="18"/>
      <c r="B78" s="19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4" t="str">
        <f aca="false">IF(OR(I78="",J78=""),"",SUMPRODUCT((CODE(I78)&lt;=CODE('1 Scholarships'!$G$2:$G$60))*('1 Scholarships'!$A$2:$A$60&lt;&gt;"")*(('1 Scholarships'!$H$2:$H$60="")+ISNUMBER(SEARCH(","&amp;J78&amp;",",","&amp;SUBSTITUTE('1 Scholarships'!$H$2:$H$60," ","")&amp;","))&gt;0)*(('1 Scholarships'!$J$2:$J$60&lt;&gt;"Yes")+(L78="Yes")&gt;0)*((K78="")+ISNUMBER(SEARCH(","&amp;K78&amp;",",","&amp;SUBSTITUTE('1 Scholarships'!$P$2:$P$60," ","")&amp;","))&gt;0)))</f>
        <v/>
      </c>
      <c r="N78" s="20" t="str">
        <f aca="false">IF(OR(I78="",J78=""),"",SUMPRODUCT(MAX((CODE(I78)&lt;=CODE('1 Scholarships'!$G$2:$G$60))*('1 Scholarships'!$A$2:$A$60&lt;&gt;"")*(('1 Scholarships'!$H$2:$H$60="")+ISNUMBER(SEARCH(","&amp;J78&amp;",",","&amp;SUBSTITUTE('1 Scholarships'!$H$2:$H$60," ","")&amp;","))&gt;0)*(('1 Scholarships'!$J$2:$J$60&lt;&gt;"Yes")+(L78="Yes")&gt;0)*((K78="")+ISNUMBER(SEARCH(","&amp;K78&amp;",",","&amp;SUBSTITUTE('1 Scholarships'!$P$2:$P$60," ","")&amp;","))&gt;0)*'1 Scholarships'!$F$2:$F$60)))</f>
        <v/>
      </c>
      <c r="O78" s="18"/>
      <c r="P78" s="18"/>
      <c r="Q78" s="18"/>
      <c r="R78" s="19"/>
      <c r="S78" s="19"/>
      <c r="T78" s="18"/>
      <c r="U78" s="18"/>
      <c r="V78" s="18"/>
    </row>
    <row r="79" customFormat="false" ht="15" hidden="false" customHeight="false" outlineLevel="0" collapsed="false">
      <c r="A79" s="18"/>
      <c r="B79" s="19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4" t="str">
        <f aca="false">IF(OR(I79="",J79=""),"",SUMPRODUCT((CODE(I79)&lt;=CODE('1 Scholarships'!$G$2:$G$60))*('1 Scholarships'!$A$2:$A$60&lt;&gt;"")*(('1 Scholarships'!$H$2:$H$60="")+ISNUMBER(SEARCH(","&amp;J79&amp;",",","&amp;SUBSTITUTE('1 Scholarships'!$H$2:$H$60," ","")&amp;","))&gt;0)*(('1 Scholarships'!$J$2:$J$60&lt;&gt;"Yes")+(L79="Yes")&gt;0)*((K79="")+ISNUMBER(SEARCH(","&amp;K79&amp;",",","&amp;SUBSTITUTE('1 Scholarships'!$P$2:$P$60," ","")&amp;","))&gt;0)))</f>
        <v/>
      </c>
      <c r="N79" s="20" t="str">
        <f aca="false">IF(OR(I79="",J79=""),"",SUMPRODUCT(MAX((CODE(I79)&lt;=CODE('1 Scholarships'!$G$2:$G$60))*('1 Scholarships'!$A$2:$A$60&lt;&gt;"")*(('1 Scholarships'!$H$2:$H$60="")+ISNUMBER(SEARCH(","&amp;J79&amp;",",","&amp;SUBSTITUTE('1 Scholarships'!$H$2:$H$60," ","")&amp;","))&gt;0)*(('1 Scholarships'!$J$2:$J$60&lt;&gt;"Yes")+(L79="Yes")&gt;0)*((K79="")+ISNUMBER(SEARCH(","&amp;K79&amp;",",","&amp;SUBSTITUTE('1 Scholarships'!$P$2:$P$60," ","")&amp;","))&gt;0)*'1 Scholarships'!$F$2:$F$60)))</f>
        <v/>
      </c>
      <c r="O79" s="18"/>
      <c r="P79" s="18"/>
      <c r="Q79" s="18"/>
      <c r="R79" s="19"/>
      <c r="S79" s="19"/>
      <c r="T79" s="18"/>
      <c r="U79" s="18"/>
      <c r="V79" s="18"/>
    </row>
    <row r="80" customFormat="false" ht="15" hidden="false" customHeight="false" outlineLevel="0" collapsed="false">
      <c r="A80" s="18"/>
      <c r="B80" s="19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4" t="str">
        <f aca="false">IF(OR(I80="",J80=""),"",SUMPRODUCT((CODE(I80)&lt;=CODE('1 Scholarships'!$G$2:$G$60))*('1 Scholarships'!$A$2:$A$60&lt;&gt;"")*(('1 Scholarships'!$H$2:$H$60="")+ISNUMBER(SEARCH(","&amp;J80&amp;",",","&amp;SUBSTITUTE('1 Scholarships'!$H$2:$H$60," ","")&amp;","))&gt;0)*(('1 Scholarships'!$J$2:$J$60&lt;&gt;"Yes")+(L80="Yes")&gt;0)*((K80="")+ISNUMBER(SEARCH(","&amp;K80&amp;",",","&amp;SUBSTITUTE('1 Scholarships'!$P$2:$P$60," ","")&amp;","))&gt;0)))</f>
        <v/>
      </c>
      <c r="N80" s="20" t="str">
        <f aca="false">IF(OR(I80="",J80=""),"",SUMPRODUCT(MAX((CODE(I80)&lt;=CODE('1 Scholarships'!$G$2:$G$60))*('1 Scholarships'!$A$2:$A$60&lt;&gt;"")*(('1 Scholarships'!$H$2:$H$60="")+ISNUMBER(SEARCH(","&amp;J80&amp;",",","&amp;SUBSTITUTE('1 Scholarships'!$H$2:$H$60," ","")&amp;","))&gt;0)*(('1 Scholarships'!$J$2:$J$60&lt;&gt;"Yes")+(L80="Yes")&gt;0)*((K80="")+ISNUMBER(SEARCH(","&amp;K80&amp;",",","&amp;SUBSTITUTE('1 Scholarships'!$P$2:$P$60," ","")&amp;","))&gt;0)*'1 Scholarships'!$F$2:$F$60)))</f>
        <v/>
      </c>
      <c r="O80" s="18"/>
      <c r="P80" s="18"/>
      <c r="Q80" s="18"/>
      <c r="R80" s="19"/>
      <c r="S80" s="19"/>
      <c r="T80" s="18"/>
      <c r="U80" s="18"/>
      <c r="V80" s="18"/>
    </row>
    <row r="81" customFormat="false" ht="15" hidden="false" customHeight="false" outlineLevel="0" collapsed="false">
      <c r="A81" s="18"/>
      <c r="B81" s="19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4" t="str">
        <f aca="false">IF(OR(I81="",J81=""),"",SUMPRODUCT((CODE(I81)&lt;=CODE('1 Scholarships'!$G$2:$G$60))*('1 Scholarships'!$A$2:$A$60&lt;&gt;"")*(('1 Scholarships'!$H$2:$H$60="")+ISNUMBER(SEARCH(","&amp;J81&amp;",",","&amp;SUBSTITUTE('1 Scholarships'!$H$2:$H$60," ","")&amp;","))&gt;0)*(('1 Scholarships'!$J$2:$J$60&lt;&gt;"Yes")+(L81="Yes")&gt;0)*((K81="")+ISNUMBER(SEARCH(","&amp;K81&amp;",",","&amp;SUBSTITUTE('1 Scholarships'!$P$2:$P$60," ","")&amp;","))&gt;0)))</f>
        <v/>
      </c>
      <c r="N81" s="20" t="str">
        <f aca="false">IF(OR(I81="",J81=""),"",SUMPRODUCT(MAX((CODE(I81)&lt;=CODE('1 Scholarships'!$G$2:$G$60))*('1 Scholarships'!$A$2:$A$60&lt;&gt;"")*(('1 Scholarships'!$H$2:$H$60="")+ISNUMBER(SEARCH(","&amp;J81&amp;",",","&amp;SUBSTITUTE('1 Scholarships'!$H$2:$H$60," ","")&amp;","))&gt;0)*(('1 Scholarships'!$J$2:$J$60&lt;&gt;"Yes")+(L81="Yes")&gt;0)*((K81="")+ISNUMBER(SEARCH(","&amp;K81&amp;",",","&amp;SUBSTITUTE('1 Scholarships'!$P$2:$P$60," ","")&amp;","))&gt;0)*'1 Scholarships'!$F$2:$F$60)))</f>
        <v/>
      </c>
      <c r="O81" s="18"/>
      <c r="P81" s="18"/>
      <c r="Q81" s="18"/>
      <c r="R81" s="19"/>
      <c r="S81" s="19"/>
      <c r="T81" s="18"/>
      <c r="U81" s="18"/>
      <c r="V81" s="18"/>
    </row>
    <row r="82" customFormat="false" ht="15" hidden="false" customHeight="false" outlineLevel="0" collapsed="false">
      <c r="A82" s="18"/>
      <c r="B82" s="19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4" t="str">
        <f aca="false">IF(OR(I82="",J82=""),"",SUMPRODUCT((CODE(I82)&lt;=CODE('1 Scholarships'!$G$2:$G$60))*('1 Scholarships'!$A$2:$A$60&lt;&gt;"")*(('1 Scholarships'!$H$2:$H$60="")+ISNUMBER(SEARCH(","&amp;J82&amp;",",","&amp;SUBSTITUTE('1 Scholarships'!$H$2:$H$60," ","")&amp;","))&gt;0)*(('1 Scholarships'!$J$2:$J$60&lt;&gt;"Yes")+(L82="Yes")&gt;0)*((K82="")+ISNUMBER(SEARCH(","&amp;K82&amp;",",","&amp;SUBSTITUTE('1 Scholarships'!$P$2:$P$60," ","")&amp;","))&gt;0)))</f>
        <v/>
      </c>
      <c r="N82" s="20" t="str">
        <f aca="false">IF(OR(I82="",J82=""),"",SUMPRODUCT(MAX((CODE(I82)&lt;=CODE('1 Scholarships'!$G$2:$G$60))*('1 Scholarships'!$A$2:$A$60&lt;&gt;"")*(('1 Scholarships'!$H$2:$H$60="")+ISNUMBER(SEARCH(","&amp;J82&amp;",",","&amp;SUBSTITUTE('1 Scholarships'!$H$2:$H$60," ","")&amp;","))&gt;0)*(('1 Scholarships'!$J$2:$J$60&lt;&gt;"Yes")+(L82="Yes")&gt;0)*((K82="")+ISNUMBER(SEARCH(","&amp;K82&amp;",",","&amp;SUBSTITUTE('1 Scholarships'!$P$2:$P$60," ","")&amp;","))&gt;0)*'1 Scholarships'!$F$2:$F$60)))</f>
        <v/>
      </c>
      <c r="O82" s="18"/>
      <c r="P82" s="18"/>
      <c r="Q82" s="18"/>
      <c r="R82" s="19"/>
      <c r="S82" s="19"/>
      <c r="T82" s="18"/>
      <c r="U82" s="18"/>
      <c r="V82" s="18"/>
    </row>
    <row r="83" customFormat="false" ht="15" hidden="false" customHeight="false" outlineLevel="0" collapsed="false">
      <c r="A83" s="18"/>
      <c r="B83" s="19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4" t="str">
        <f aca="false">IF(OR(I83="",J83=""),"",SUMPRODUCT((CODE(I83)&lt;=CODE('1 Scholarships'!$G$2:$G$60))*('1 Scholarships'!$A$2:$A$60&lt;&gt;"")*(('1 Scholarships'!$H$2:$H$60="")+ISNUMBER(SEARCH(","&amp;J83&amp;",",","&amp;SUBSTITUTE('1 Scholarships'!$H$2:$H$60," ","")&amp;","))&gt;0)*(('1 Scholarships'!$J$2:$J$60&lt;&gt;"Yes")+(L83="Yes")&gt;0)*((K83="")+ISNUMBER(SEARCH(","&amp;K83&amp;",",","&amp;SUBSTITUTE('1 Scholarships'!$P$2:$P$60," ","")&amp;","))&gt;0)))</f>
        <v/>
      </c>
      <c r="N83" s="20" t="str">
        <f aca="false">IF(OR(I83="",J83=""),"",SUMPRODUCT(MAX((CODE(I83)&lt;=CODE('1 Scholarships'!$G$2:$G$60))*('1 Scholarships'!$A$2:$A$60&lt;&gt;"")*(('1 Scholarships'!$H$2:$H$60="")+ISNUMBER(SEARCH(","&amp;J83&amp;",",","&amp;SUBSTITUTE('1 Scholarships'!$H$2:$H$60," ","")&amp;","))&gt;0)*(('1 Scholarships'!$J$2:$J$60&lt;&gt;"Yes")+(L83="Yes")&gt;0)*((K83="")+ISNUMBER(SEARCH(","&amp;K83&amp;",",","&amp;SUBSTITUTE('1 Scholarships'!$P$2:$P$60," ","")&amp;","))&gt;0)*'1 Scholarships'!$F$2:$F$60)))</f>
        <v/>
      </c>
      <c r="O83" s="18"/>
      <c r="P83" s="18"/>
      <c r="Q83" s="18"/>
      <c r="R83" s="19"/>
      <c r="S83" s="19"/>
      <c r="T83" s="18"/>
      <c r="U83" s="18"/>
      <c r="V83" s="18"/>
    </row>
    <row r="84" customFormat="false" ht="15" hidden="false" customHeight="false" outlineLevel="0" collapsed="false">
      <c r="A84" s="18"/>
      <c r="B84" s="19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4" t="str">
        <f aca="false">IF(OR(I84="",J84=""),"",SUMPRODUCT((CODE(I84)&lt;=CODE('1 Scholarships'!$G$2:$G$60))*('1 Scholarships'!$A$2:$A$60&lt;&gt;"")*(('1 Scholarships'!$H$2:$H$60="")+ISNUMBER(SEARCH(","&amp;J84&amp;",",","&amp;SUBSTITUTE('1 Scholarships'!$H$2:$H$60," ","")&amp;","))&gt;0)*(('1 Scholarships'!$J$2:$J$60&lt;&gt;"Yes")+(L84="Yes")&gt;0)*((K84="")+ISNUMBER(SEARCH(","&amp;K84&amp;",",","&amp;SUBSTITUTE('1 Scholarships'!$P$2:$P$60," ","")&amp;","))&gt;0)))</f>
        <v/>
      </c>
      <c r="N84" s="20" t="str">
        <f aca="false">IF(OR(I84="",J84=""),"",SUMPRODUCT(MAX((CODE(I84)&lt;=CODE('1 Scholarships'!$G$2:$G$60))*('1 Scholarships'!$A$2:$A$60&lt;&gt;"")*(('1 Scholarships'!$H$2:$H$60="")+ISNUMBER(SEARCH(","&amp;J84&amp;",",","&amp;SUBSTITUTE('1 Scholarships'!$H$2:$H$60," ","")&amp;","))&gt;0)*(('1 Scholarships'!$J$2:$J$60&lt;&gt;"Yes")+(L84="Yes")&gt;0)*((K84="")+ISNUMBER(SEARCH(","&amp;K84&amp;",",","&amp;SUBSTITUTE('1 Scholarships'!$P$2:$P$60," ","")&amp;","))&gt;0)*'1 Scholarships'!$F$2:$F$60)))</f>
        <v/>
      </c>
      <c r="O84" s="18"/>
      <c r="P84" s="18"/>
      <c r="Q84" s="18"/>
      <c r="R84" s="19"/>
      <c r="S84" s="19"/>
      <c r="T84" s="18"/>
      <c r="U84" s="18"/>
      <c r="V84" s="18"/>
    </row>
    <row r="85" customFormat="false" ht="15" hidden="false" customHeight="false" outlineLevel="0" collapsed="false">
      <c r="A85" s="18"/>
      <c r="B85" s="19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4" t="str">
        <f aca="false">IF(OR(I85="",J85=""),"",SUMPRODUCT((CODE(I85)&lt;=CODE('1 Scholarships'!$G$2:$G$60))*('1 Scholarships'!$A$2:$A$60&lt;&gt;"")*(('1 Scholarships'!$H$2:$H$60="")+ISNUMBER(SEARCH(","&amp;J85&amp;",",","&amp;SUBSTITUTE('1 Scholarships'!$H$2:$H$60," ","")&amp;","))&gt;0)*(('1 Scholarships'!$J$2:$J$60&lt;&gt;"Yes")+(L85="Yes")&gt;0)*((K85="")+ISNUMBER(SEARCH(","&amp;K85&amp;",",","&amp;SUBSTITUTE('1 Scholarships'!$P$2:$P$60," ","")&amp;","))&gt;0)))</f>
        <v/>
      </c>
      <c r="N85" s="20" t="str">
        <f aca="false">IF(OR(I85="",J85=""),"",SUMPRODUCT(MAX((CODE(I85)&lt;=CODE('1 Scholarships'!$G$2:$G$60))*('1 Scholarships'!$A$2:$A$60&lt;&gt;"")*(('1 Scholarships'!$H$2:$H$60="")+ISNUMBER(SEARCH(","&amp;J85&amp;",",","&amp;SUBSTITUTE('1 Scholarships'!$H$2:$H$60," ","")&amp;","))&gt;0)*(('1 Scholarships'!$J$2:$J$60&lt;&gt;"Yes")+(L85="Yes")&gt;0)*((K85="")+ISNUMBER(SEARCH(","&amp;K85&amp;",",","&amp;SUBSTITUTE('1 Scholarships'!$P$2:$P$60," ","")&amp;","))&gt;0)*'1 Scholarships'!$F$2:$F$60)))</f>
        <v/>
      </c>
      <c r="O85" s="18"/>
      <c r="P85" s="18"/>
      <c r="Q85" s="18"/>
      <c r="R85" s="19"/>
      <c r="S85" s="19"/>
      <c r="T85" s="18"/>
      <c r="U85" s="18"/>
      <c r="V85" s="18"/>
    </row>
    <row r="86" customFormat="false" ht="15" hidden="false" customHeight="false" outlineLevel="0" collapsed="false">
      <c r="A86" s="18"/>
      <c r="B86" s="19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4" t="str">
        <f aca="false">IF(OR(I86="",J86=""),"",SUMPRODUCT((CODE(I86)&lt;=CODE('1 Scholarships'!$G$2:$G$60))*('1 Scholarships'!$A$2:$A$60&lt;&gt;"")*(('1 Scholarships'!$H$2:$H$60="")+ISNUMBER(SEARCH(","&amp;J86&amp;",",","&amp;SUBSTITUTE('1 Scholarships'!$H$2:$H$60," ","")&amp;","))&gt;0)*(('1 Scholarships'!$J$2:$J$60&lt;&gt;"Yes")+(L86="Yes")&gt;0)*((K86="")+ISNUMBER(SEARCH(","&amp;K86&amp;",",","&amp;SUBSTITUTE('1 Scholarships'!$P$2:$P$60," ","")&amp;","))&gt;0)))</f>
        <v/>
      </c>
      <c r="N86" s="20" t="str">
        <f aca="false">IF(OR(I86="",J86=""),"",SUMPRODUCT(MAX((CODE(I86)&lt;=CODE('1 Scholarships'!$G$2:$G$60))*('1 Scholarships'!$A$2:$A$60&lt;&gt;"")*(('1 Scholarships'!$H$2:$H$60="")+ISNUMBER(SEARCH(","&amp;J86&amp;",",","&amp;SUBSTITUTE('1 Scholarships'!$H$2:$H$60," ","")&amp;","))&gt;0)*(('1 Scholarships'!$J$2:$J$60&lt;&gt;"Yes")+(L86="Yes")&gt;0)*((K86="")+ISNUMBER(SEARCH(","&amp;K86&amp;",",","&amp;SUBSTITUTE('1 Scholarships'!$P$2:$P$60," ","")&amp;","))&gt;0)*'1 Scholarships'!$F$2:$F$60)))</f>
        <v/>
      </c>
      <c r="O86" s="18"/>
      <c r="P86" s="18"/>
      <c r="Q86" s="18"/>
      <c r="R86" s="19"/>
      <c r="S86" s="19"/>
      <c r="T86" s="18"/>
      <c r="U86" s="18"/>
      <c r="V86" s="18"/>
    </row>
    <row r="87" customFormat="false" ht="15" hidden="false" customHeight="false" outlineLevel="0" collapsed="false">
      <c r="A87" s="18"/>
      <c r="B87" s="19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4" t="str">
        <f aca="false">IF(OR(I87="",J87=""),"",SUMPRODUCT((CODE(I87)&lt;=CODE('1 Scholarships'!$G$2:$G$60))*('1 Scholarships'!$A$2:$A$60&lt;&gt;"")*(('1 Scholarships'!$H$2:$H$60="")+ISNUMBER(SEARCH(","&amp;J87&amp;",",","&amp;SUBSTITUTE('1 Scholarships'!$H$2:$H$60," ","")&amp;","))&gt;0)*(('1 Scholarships'!$J$2:$J$60&lt;&gt;"Yes")+(L87="Yes")&gt;0)*((K87="")+ISNUMBER(SEARCH(","&amp;K87&amp;",",","&amp;SUBSTITUTE('1 Scholarships'!$P$2:$P$60," ","")&amp;","))&gt;0)))</f>
        <v/>
      </c>
      <c r="N87" s="20" t="str">
        <f aca="false">IF(OR(I87="",J87=""),"",SUMPRODUCT(MAX((CODE(I87)&lt;=CODE('1 Scholarships'!$G$2:$G$60))*('1 Scholarships'!$A$2:$A$60&lt;&gt;"")*(('1 Scholarships'!$H$2:$H$60="")+ISNUMBER(SEARCH(","&amp;J87&amp;",",","&amp;SUBSTITUTE('1 Scholarships'!$H$2:$H$60," ","")&amp;","))&gt;0)*(('1 Scholarships'!$J$2:$J$60&lt;&gt;"Yes")+(L87="Yes")&gt;0)*((K87="")+ISNUMBER(SEARCH(","&amp;K87&amp;",",","&amp;SUBSTITUTE('1 Scholarships'!$P$2:$P$60," ","")&amp;","))&gt;0)*'1 Scholarships'!$F$2:$F$60)))</f>
        <v/>
      </c>
      <c r="O87" s="18"/>
      <c r="P87" s="18"/>
      <c r="Q87" s="18"/>
      <c r="R87" s="19"/>
      <c r="S87" s="19"/>
      <c r="T87" s="18"/>
      <c r="U87" s="18"/>
      <c r="V87" s="18"/>
    </row>
    <row r="88" customFormat="false" ht="15" hidden="false" customHeight="false" outlineLevel="0" collapsed="false">
      <c r="A88" s="18"/>
      <c r="B88" s="19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4" t="str">
        <f aca="false">IF(OR(I88="",J88=""),"",SUMPRODUCT((CODE(I88)&lt;=CODE('1 Scholarships'!$G$2:$G$60))*('1 Scholarships'!$A$2:$A$60&lt;&gt;"")*(('1 Scholarships'!$H$2:$H$60="")+ISNUMBER(SEARCH(","&amp;J88&amp;",",","&amp;SUBSTITUTE('1 Scholarships'!$H$2:$H$60," ","")&amp;","))&gt;0)*(('1 Scholarships'!$J$2:$J$60&lt;&gt;"Yes")+(L88="Yes")&gt;0)*((K88="")+ISNUMBER(SEARCH(","&amp;K88&amp;",",","&amp;SUBSTITUTE('1 Scholarships'!$P$2:$P$60," ","")&amp;","))&gt;0)))</f>
        <v/>
      </c>
      <c r="N88" s="20" t="str">
        <f aca="false">IF(OR(I88="",J88=""),"",SUMPRODUCT(MAX((CODE(I88)&lt;=CODE('1 Scholarships'!$G$2:$G$60))*('1 Scholarships'!$A$2:$A$60&lt;&gt;"")*(('1 Scholarships'!$H$2:$H$60="")+ISNUMBER(SEARCH(","&amp;J88&amp;",",","&amp;SUBSTITUTE('1 Scholarships'!$H$2:$H$60," ","")&amp;","))&gt;0)*(('1 Scholarships'!$J$2:$J$60&lt;&gt;"Yes")+(L88="Yes")&gt;0)*((K88="")+ISNUMBER(SEARCH(","&amp;K88&amp;",",","&amp;SUBSTITUTE('1 Scholarships'!$P$2:$P$60," ","")&amp;","))&gt;0)*'1 Scholarships'!$F$2:$F$60)))</f>
        <v/>
      </c>
      <c r="O88" s="18"/>
      <c r="P88" s="18"/>
      <c r="Q88" s="18"/>
      <c r="R88" s="19"/>
      <c r="S88" s="19"/>
      <c r="T88" s="18"/>
      <c r="U88" s="18"/>
      <c r="V88" s="18"/>
    </row>
    <row r="89" customFormat="false" ht="15" hidden="false" customHeight="false" outlineLevel="0" collapsed="false">
      <c r="A89" s="18"/>
      <c r="B89" s="19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4" t="str">
        <f aca="false">IF(OR(I89="",J89=""),"",SUMPRODUCT((CODE(I89)&lt;=CODE('1 Scholarships'!$G$2:$G$60))*('1 Scholarships'!$A$2:$A$60&lt;&gt;"")*(('1 Scholarships'!$H$2:$H$60="")+ISNUMBER(SEARCH(","&amp;J89&amp;",",","&amp;SUBSTITUTE('1 Scholarships'!$H$2:$H$60," ","")&amp;","))&gt;0)*(('1 Scholarships'!$J$2:$J$60&lt;&gt;"Yes")+(L89="Yes")&gt;0)*((K89="")+ISNUMBER(SEARCH(","&amp;K89&amp;",",","&amp;SUBSTITUTE('1 Scholarships'!$P$2:$P$60," ","")&amp;","))&gt;0)))</f>
        <v/>
      </c>
      <c r="N89" s="20" t="str">
        <f aca="false">IF(OR(I89="",J89=""),"",SUMPRODUCT(MAX((CODE(I89)&lt;=CODE('1 Scholarships'!$G$2:$G$60))*('1 Scholarships'!$A$2:$A$60&lt;&gt;"")*(('1 Scholarships'!$H$2:$H$60="")+ISNUMBER(SEARCH(","&amp;J89&amp;",",","&amp;SUBSTITUTE('1 Scholarships'!$H$2:$H$60," ","")&amp;","))&gt;0)*(('1 Scholarships'!$J$2:$J$60&lt;&gt;"Yes")+(L89="Yes")&gt;0)*((K89="")+ISNUMBER(SEARCH(","&amp;K89&amp;",",","&amp;SUBSTITUTE('1 Scholarships'!$P$2:$P$60," ","")&amp;","))&gt;0)*'1 Scholarships'!$F$2:$F$60)))</f>
        <v/>
      </c>
      <c r="O89" s="18"/>
      <c r="P89" s="18"/>
      <c r="Q89" s="18"/>
      <c r="R89" s="19"/>
      <c r="S89" s="19"/>
      <c r="T89" s="18"/>
      <c r="U89" s="18"/>
      <c r="V89" s="18"/>
    </row>
    <row r="90" customFormat="false" ht="15" hidden="false" customHeight="false" outlineLevel="0" collapsed="false">
      <c r="A90" s="18"/>
      <c r="B90" s="19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4" t="str">
        <f aca="false">IF(OR(I90="",J90=""),"",SUMPRODUCT((CODE(I90)&lt;=CODE('1 Scholarships'!$G$2:$G$60))*('1 Scholarships'!$A$2:$A$60&lt;&gt;"")*(('1 Scholarships'!$H$2:$H$60="")+ISNUMBER(SEARCH(","&amp;J90&amp;",",","&amp;SUBSTITUTE('1 Scholarships'!$H$2:$H$60," ","")&amp;","))&gt;0)*(('1 Scholarships'!$J$2:$J$60&lt;&gt;"Yes")+(L90="Yes")&gt;0)*((K90="")+ISNUMBER(SEARCH(","&amp;K90&amp;",",","&amp;SUBSTITUTE('1 Scholarships'!$P$2:$P$60," ","")&amp;","))&gt;0)))</f>
        <v/>
      </c>
      <c r="N90" s="20" t="str">
        <f aca="false">IF(OR(I90="",J90=""),"",SUMPRODUCT(MAX((CODE(I90)&lt;=CODE('1 Scholarships'!$G$2:$G$60))*('1 Scholarships'!$A$2:$A$60&lt;&gt;"")*(('1 Scholarships'!$H$2:$H$60="")+ISNUMBER(SEARCH(","&amp;J90&amp;",",","&amp;SUBSTITUTE('1 Scholarships'!$H$2:$H$60," ","")&amp;","))&gt;0)*(('1 Scholarships'!$J$2:$J$60&lt;&gt;"Yes")+(L90="Yes")&gt;0)*((K90="")+ISNUMBER(SEARCH(","&amp;K90&amp;",",","&amp;SUBSTITUTE('1 Scholarships'!$P$2:$P$60," ","")&amp;","))&gt;0)*'1 Scholarships'!$F$2:$F$60)))</f>
        <v/>
      </c>
      <c r="O90" s="18"/>
      <c r="P90" s="18"/>
      <c r="Q90" s="18"/>
      <c r="R90" s="19"/>
      <c r="S90" s="19"/>
      <c r="T90" s="18"/>
      <c r="U90" s="18"/>
      <c r="V90" s="18"/>
    </row>
    <row r="91" customFormat="false" ht="15" hidden="false" customHeight="false" outlineLevel="0" collapsed="false">
      <c r="A91" s="18"/>
      <c r="B91" s="19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4" t="str">
        <f aca="false">IF(OR(I91="",J91=""),"",SUMPRODUCT((CODE(I91)&lt;=CODE('1 Scholarships'!$G$2:$G$60))*('1 Scholarships'!$A$2:$A$60&lt;&gt;"")*(('1 Scholarships'!$H$2:$H$60="")+ISNUMBER(SEARCH(","&amp;J91&amp;",",","&amp;SUBSTITUTE('1 Scholarships'!$H$2:$H$60," ","")&amp;","))&gt;0)*(('1 Scholarships'!$J$2:$J$60&lt;&gt;"Yes")+(L91="Yes")&gt;0)*((K91="")+ISNUMBER(SEARCH(","&amp;K91&amp;",",","&amp;SUBSTITUTE('1 Scholarships'!$P$2:$P$60," ","")&amp;","))&gt;0)))</f>
        <v/>
      </c>
      <c r="N91" s="20" t="str">
        <f aca="false">IF(OR(I91="",J91=""),"",SUMPRODUCT(MAX((CODE(I91)&lt;=CODE('1 Scholarships'!$G$2:$G$60))*('1 Scholarships'!$A$2:$A$60&lt;&gt;"")*(('1 Scholarships'!$H$2:$H$60="")+ISNUMBER(SEARCH(","&amp;J91&amp;",",","&amp;SUBSTITUTE('1 Scholarships'!$H$2:$H$60," ","")&amp;","))&gt;0)*(('1 Scholarships'!$J$2:$J$60&lt;&gt;"Yes")+(L91="Yes")&gt;0)*((K91="")+ISNUMBER(SEARCH(","&amp;K91&amp;",",","&amp;SUBSTITUTE('1 Scholarships'!$P$2:$P$60," ","")&amp;","))&gt;0)*'1 Scholarships'!$F$2:$F$60)))</f>
        <v/>
      </c>
      <c r="O91" s="18"/>
      <c r="P91" s="18"/>
      <c r="Q91" s="18"/>
      <c r="R91" s="19"/>
      <c r="S91" s="19"/>
      <c r="T91" s="18"/>
      <c r="U91" s="18"/>
      <c r="V91" s="18"/>
    </row>
    <row r="92" customFormat="false" ht="15" hidden="false" customHeight="false" outlineLevel="0" collapsed="false">
      <c r="A92" s="18"/>
      <c r="B92" s="19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4" t="str">
        <f aca="false">IF(OR(I92="",J92=""),"",SUMPRODUCT((CODE(I92)&lt;=CODE('1 Scholarships'!$G$2:$G$60))*('1 Scholarships'!$A$2:$A$60&lt;&gt;"")*(('1 Scholarships'!$H$2:$H$60="")+ISNUMBER(SEARCH(","&amp;J92&amp;",",","&amp;SUBSTITUTE('1 Scholarships'!$H$2:$H$60," ","")&amp;","))&gt;0)*(('1 Scholarships'!$J$2:$J$60&lt;&gt;"Yes")+(L92="Yes")&gt;0)*((K92="")+ISNUMBER(SEARCH(","&amp;K92&amp;",",","&amp;SUBSTITUTE('1 Scholarships'!$P$2:$P$60," ","")&amp;","))&gt;0)))</f>
        <v/>
      </c>
      <c r="N92" s="20" t="str">
        <f aca="false">IF(OR(I92="",J92=""),"",SUMPRODUCT(MAX((CODE(I92)&lt;=CODE('1 Scholarships'!$G$2:$G$60))*('1 Scholarships'!$A$2:$A$60&lt;&gt;"")*(('1 Scholarships'!$H$2:$H$60="")+ISNUMBER(SEARCH(","&amp;J92&amp;",",","&amp;SUBSTITUTE('1 Scholarships'!$H$2:$H$60," ","")&amp;","))&gt;0)*(('1 Scholarships'!$J$2:$J$60&lt;&gt;"Yes")+(L92="Yes")&gt;0)*((K92="")+ISNUMBER(SEARCH(","&amp;K92&amp;",",","&amp;SUBSTITUTE('1 Scholarships'!$P$2:$P$60," ","")&amp;","))&gt;0)*'1 Scholarships'!$F$2:$F$60)))</f>
        <v/>
      </c>
      <c r="O92" s="18"/>
      <c r="P92" s="18"/>
      <c r="Q92" s="18"/>
      <c r="R92" s="19"/>
      <c r="S92" s="19"/>
      <c r="T92" s="18"/>
      <c r="U92" s="18"/>
      <c r="V92" s="18"/>
    </row>
    <row r="93" customFormat="false" ht="15" hidden="false" customHeight="false" outlineLevel="0" collapsed="false">
      <c r="A93" s="18"/>
      <c r="B93" s="19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4" t="str">
        <f aca="false">IF(OR(I93="",J93=""),"",SUMPRODUCT((CODE(I93)&lt;=CODE('1 Scholarships'!$G$2:$G$60))*('1 Scholarships'!$A$2:$A$60&lt;&gt;"")*(('1 Scholarships'!$H$2:$H$60="")+ISNUMBER(SEARCH(","&amp;J93&amp;",",","&amp;SUBSTITUTE('1 Scholarships'!$H$2:$H$60," ","")&amp;","))&gt;0)*(('1 Scholarships'!$J$2:$J$60&lt;&gt;"Yes")+(L93="Yes")&gt;0)*((K93="")+ISNUMBER(SEARCH(","&amp;K93&amp;",",","&amp;SUBSTITUTE('1 Scholarships'!$P$2:$P$60," ","")&amp;","))&gt;0)))</f>
        <v/>
      </c>
      <c r="N93" s="20" t="str">
        <f aca="false">IF(OR(I93="",J93=""),"",SUMPRODUCT(MAX((CODE(I93)&lt;=CODE('1 Scholarships'!$G$2:$G$60))*('1 Scholarships'!$A$2:$A$60&lt;&gt;"")*(('1 Scholarships'!$H$2:$H$60="")+ISNUMBER(SEARCH(","&amp;J93&amp;",",","&amp;SUBSTITUTE('1 Scholarships'!$H$2:$H$60," ","")&amp;","))&gt;0)*(('1 Scholarships'!$J$2:$J$60&lt;&gt;"Yes")+(L93="Yes")&gt;0)*((K93="")+ISNUMBER(SEARCH(","&amp;K93&amp;",",","&amp;SUBSTITUTE('1 Scholarships'!$P$2:$P$60," ","")&amp;","))&gt;0)*'1 Scholarships'!$F$2:$F$60)))</f>
        <v/>
      </c>
      <c r="O93" s="18"/>
      <c r="P93" s="18"/>
      <c r="Q93" s="18"/>
      <c r="R93" s="19"/>
      <c r="S93" s="19"/>
      <c r="T93" s="18"/>
      <c r="U93" s="18"/>
      <c r="V93" s="18"/>
    </row>
    <row r="94" customFormat="false" ht="15" hidden="false" customHeight="false" outlineLevel="0" collapsed="false">
      <c r="A94" s="18"/>
      <c r="B94" s="19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4" t="str">
        <f aca="false">IF(OR(I94="",J94=""),"",SUMPRODUCT((CODE(I94)&lt;=CODE('1 Scholarships'!$G$2:$G$60))*('1 Scholarships'!$A$2:$A$60&lt;&gt;"")*(('1 Scholarships'!$H$2:$H$60="")+ISNUMBER(SEARCH(","&amp;J94&amp;",",","&amp;SUBSTITUTE('1 Scholarships'!$H$2:$H$60," ","")&amp;","))&gt;0)*(('1 Scholarships'!$J$2:$J$60&lt;&gt;"Yes")+(L94="Yes")&gt;0)*((K94="")+ISNUMBER(SEARCH(","&amp;K94&amp;",",","&amp;SUBSTITUTE('1 Scholarships'!$P$2:$P$60," ","")&amp;","))&gt;0)))</f>
        <v/>
      </c>
      <c r="N94" s="20" t="str">
        <f aca="false">IF(OR(I94="",J94=""),"",SUMPRODUCT(MAX((CODE(I94)&lt;=CODE('1 Scholarships'!$G$2:$G$60))*('1 Scholarships'!$A$2:$A$60&lt;&gt;"")*(('1 Scholarships'!$H$2:$H$60="")+ISNUMBER(SEARCH(","&amp;J94&amp;",",","&amp;SUBSTITUTE('1 Scholarships'!$H$2:$H$60," ","")&amp;","))&gt;0)*(('1 Scholarships'!$J$2:$J$60&lt;&gt;"Yes")+(L94="Yes")&gt;0)*((K94="")+ISNUMBER(SEARCH(","&amp;K94&amp;",",","&amp;SUBSTITUTE('1 Scholarships'!$P$2:$P$60," ","")&amp;","))&gt;0)*'1 Scholarships'!$F$2:$F$60)))</f>
        <v/>
      </c>
      <c r="O94" s="18"/>
      <c r="P94" s="18"/>
      <c r="Q94" s="18"/>
      <c r="R94" s="19"/>
      <c r="S94" s="19"/>
      <c r="T94" s="18"/>
      <c r="U94" s="18"/>
      <c r="V94" s="18"/>
    </row>
    <row r="95" customFormat="false" ht="15" hidden="false" customHeight="false" outlineLevel="0" collapsed="false">
      <c r="A95" s="18"/>
      <c r="B95" s="19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4" t="str">
        <f aca="false">IF(OR(I95="",J95=""),"",SUMPRODUCT((CODE(I95)&lt;=CODE('1 Scholarships'!$G$2:$G$60))*('1 Scholarships'!$A$2:$A$60&lt;&gt;"")*(('1 Scholarships'!$H$2:$H$60="")+ISNUMBER(SEARCH(","&amp;J95&amp;",",","&amp;SUBSTITUTE('1 Scholarships'!$H$2:$H$60," ","")&amp;","))&gt;0)*(('1 Scholarships'!$J$2:$J$60&lt;&gt;"Yes")+(L95="Yes")&gt;0)*((K95="")+ISNUMBER(SEARCH(","&amp;K95&amp;",",","&amp;SUBSTITUTE('1 Scholarships'!$P$2:$P$60," ","")&amp;","))&gt;0)))</f>
        <v/>
      </c>
      <c r="N95" s="20" t="str">
        <f aca="false">IF(OR(I95="",J95=""),"",SUMPRODUCT(MAX((CODE(I95)&lt;=CODE('1 Scholarships'!$G$2:$G$60))*('1 Scholarships'!$A$2:$A$60&lt;&gt;"")*(('1 Scholarships'!$H$2:$H$60="")+ISNUMBER(SEARCH(","&amp;J95&amp;",",","&amp;SUBSTITUTE('1 Scholarships'!$H$2:$H$60," ","")&amp;","))&gt;0)*(('1 Scholarships'!$J$2:$J$60&lt;&gt;"Yes")+(L95="Yes")&gt;0)*((K95="")+ISNUMBER(SEARCH(","&amp;K95&amp;",",","&amp;SUBSTITUTE('1 Scholarships'!$P$2:$P$60," ","")&amp;","))&gt;0)*'1 Scholarships'!$F$2:$F$60)))</f>
        <v/>
      </c>
      <c r="O95" s="18"/>
      <c r="P95" s="18"/>
      <c r="Q95" s="18"/>
      <c r="R95" s="19"/>
      <c r="S95" s="19"/>
      <c r="T95" s="18"/>
      <c r="U95" s="18"/>
      <c r="V95" s="18"/>
    </row>
    <row r="96" customFormat="false" ht="15" hidden="false" customHeight="false" outlineLevel="0" collapsed="false">
      <c r="A96" s="18"/>
      <c r="B96" s="19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4" t="str">
        <f aca="false">IF(OR(I96="",J96=""),"",SUMPRODUCT((CODE(I96)&lt;=CODE('1 Scholarships'!$G$2:$G$60))*('1 Scholarships'!$A$2:$A$60&lt;&gt;"")*(('1 Scholarships'!$H$2:$H$60="")+ISNUMBER(SEARCH(","&amp;J96&amp;",",","&amp;SUBSTITUTE('1 Scholarships'!$H$2:$H$60," ","")&amp;","))&gt;0)*(('1 Scholarships'!$J$2:$J$60&lt;&gt;"Yes")+(L96="Yes")&gt;0)*((K96="")+ISNUMBER(SEARCH(","&amp;K96&amp;",",","&amp;SUBSTITUTE('1 Scholarships'!$P$2:$P$60," ","")&amp;","))&gt;0)))</f>
        <v/>
      </c>
      <c r="N96" s="20" t="str">
        <f aca="false">IF(OR(I96="",J96=""),"",SUMPRODUCT(MAX((CODE(I96)&lt;=CODE('1 Scholarships'!$G$2:$G$60))*('1 Scholarships'!$A$2:$A$60&lt;&gt;"")*(('1 Scholarships'!$H$2:$H$60="")+ISNUMBER(SEARCH(","&amp;J96&amp;",",","&amp;SUBSTITUTE('1 Scholarships'!$H$2:$H$60," ","")&amp;","))&gt;0)*(('1 Scholarships'!$J$2:$J$60&lt;&gt;"Yes")+(L96="Yes")&gt;0)*((K96="")+ISNUMBER(SEARCH(","&amp;K96&amp;",",","&amp;SUBSTITUTE('1 Scholarships'!$P$2:$P$60," ","")&amp;","))&gt;0)*'1 Scholarships'!$F$2:$F$60)))</f>
        <v/>
      </c>
      <c r="O96" s="18"/>
      <c r="P96" s="18"/>
      <c r="Q96" s="18"/>
      <c r="R96" s="19"/>
      <c r="S96" s="19"/>
      <c r="T96" s="18"/>
      <c r="U96" s="18"/>
      <c r="V96" s="18"/>
    </row>
    <row r="97" customFormat="false" ht="15" hidden="false" customHeight="false" outlineLevel="0" collapsed="false">
      <c r="A97" s="18"/>
      <c r="B97" s="19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4" t="str">
        <f aca="false">IF(OR(I97="",J97=""),"",SUMPRODUCT((CODE(I97)&lt;=CODE('1 Scholarships'!$G$2:$G$60))*('1 Scholarships'!$A$2:$A$60&lt;&gt;"")*(('1 Scholarships'!$H$2:$H$60="")+ISNUMBER(SEARCH(","&amp;J97&amp;",",","&amp;SUBSTITUTE('1 Scholarships'!$H$2:$H$60," ","")&amp;","))&gt;0)*(('1 Scholarships'!$J$2:$J$60&lt;&gt;"Yes")+(L97="Yes")&gt;0)*((K97="")+ISNUMBER(SEARCH(","&amp;K97&amp;",",","&amp;SUBSTITUTE('1 Scholarships'!$P$2:$P$60," ","")&amp;","))&gt;0)))</f>
        <v/>
      </c>
      <c r="N97" s="20" t="str">
        <f aca="false">IF(OR(I97="",J97=""),"",SUMPRODUCT(MAX((CODE(I97)&lt;=CODE('1 Scholarships'!$G$2:$G$60))*('1 Scholarships'!$A$2:$A$60&lt;&gt;"")*(('1 Scholarships'!$H$2:$H$60="")+ISNUMBER(SEARCH(","&amp;J97&amp;",",","&amp;SUBSTITUTE('1 Scholarships'!$H$2:$H$60," ","")&amp;","))&gt;0)*(('1 Scholarships'!$J$2:$J$60&lt;&gt;"Yes")+(L97="Yes")&gt;0)*((K97="")+ISNUMBER(SEARCH(","&amp;K97&amp;",",","&amp;SUBSTITUTE('1 Scholarships'!$P$2:$P$60," ","")&amp;","))&gt;0)*'1 Scholarships'!$F$2:$F$60)))</f>
        <v/>
      </c>
      <c r="O97" s="18"/>
      <c r="P97" s="18"/>
      <c r="Q97" s="18"/>
      <c r="R97" s="19"/>
      <c r="S97" s="19"/>
      <c r="T97" s="18"/>
      <c r="U97" s="18"/>
      <c r="V97" s="18"/>
    </row>
    <row r="98" customFormat="false" ht="15" hidden="false" customHeight="false" outlineLevel="0" collapsed="false">
      <c r="A98" s="18"/>
      <c r="B98" s="19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4" t="str">
        <f aca="false">IF(OR(I98="",J98=""),"",SUMPRODUCT((CODE(I98)&lt;=CODE('1 Scholarships'!$G$2:$G$60))*('1 Scholarships'!$A$2:$A$60&lt;&gt;"")*(('1 Scholarships'!$H$2:$H$60="")+ISNUMBER(SEARCH(","&amp;J98&amp;",",","&amp;SUBSTITUTE('1 Scholarships'!$H$2:$H$60," ","")&amp;","))&gt;0)*(('1 Scholarships'!$J$2:$J$60&lt;&gt;"Yes")+(L98="Yes")&gt;0)*((K98="")+ISNUMBER(SEARCH(","&amp;K98&amp;",",","&amp;SUBSTITUTE('1 Scholarships'!$P$2:$P$60," ","")&amp;","))&gt;0)))</f>
        <v/>
      </c>
      <c r="N98" s="20" t="str">
        <f aca="false">IF(OR(I98="",J98=""),"",SUMPRODUCT(MAX((CODE(I98)&lt;=CODE('1 Scholarships'!$G$2:$G$60))*('1 Scholarships'!$A$2:$A$60&lt;&gt;"")*(('1 Scholarships'!$H$2:$H$60="")+ISNUMBER(SEARCH(","&amp;J98&amp;",",","&amp;SUBSTITUTE('1 Scholarships'!$H$2:$H$60," ","")&amp;","))&gt;0)*(('1 Scholarships'!$J$2:$J$60&lt;&gt;"Yes")+(L98="Yes")&gt;0)*((K98="")+ISNUMBER(SEARCH(","&amp;K98&amp;",",","&amp;SUBSTITUTE('1 Scholarships'!$P$2:$P$60," ","")&amp;","))&gt;0)*'1 Scholarships'!$F$2:$F$60)))</f>
        <v/>
      </c>
      <c r="O98" s="18"/>
      <c r="P98" s="18"/>
      <c r="Q98" s="18"/>
      <c r="R98" s="19"/>
      <c r="S98" s="19"/>
      <c r="T98" s="18"/>
      <c r="U98" s="18"/>
      <c r="V98" s="18"/>
    </row>
    <row r="99" customFormat="false" ht="15" hidden="false" customHeight="false" outlineLevel="0" collapsed="false">
      <c r="A99" s="18"/>
      <c r="B99" s="19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4" t="str">
        <f aca="false">IF(OR(I99="",J99=""),"",SUMPRODUCT((CODE(I99)&lt;=CODE('1 Scholarships'!$G$2:$G$60))*('1 Scholarships'!$A$2:$A$60&lt;&gt;"")*(('1 Scholarships'!$H$2:$H$60="")+ISNUMBER(SEARCH(","&amp;J99&amp;",",","&amp;SUBSTITUTE('1 Scholarships'!$H$2:$H$60," ","")&amp;","))&gt;0)*(('1 Scholarships'!$J$2:$J$60&lt;&gt;"Yes")+(L99="Yes")&gt;0)*((K99="")+ISNUMBER(SEARCH(","&amp;K99&amp;",",","&amp;SUBSTITUTE('1 Scholarships'!$P$2:$P$60," ","")&amp;","))&gt;0)))</f>
        <v/>
      </c>
      <c r="N99" s="20" t="str">
        <f aca="false">IF(OR(I99="",J99=""),"",SUMPRODUCT(MAX((CODE(I99)&lt;=CODE('1 Scholarships'!$G$2:$G$60))*('1 Scholarships'!$A$2:$A$60&lt;&gt;"")*(('1 Scholarships'!$H$2:$H$60="")+ISNUMBER(SEARCH(","&amp;J99&amp;",",","&amp;SUBSTITUTE('1 Scholarships'!$H$2:$H$60," ","")&amp;","))&gt;0)*(('1 Scholarships'!$J$2:$J$60&lt;&gt;"Yes")+(L99="Yes")&gt;0)*((K99="")+ISNUMBER(SEARCH(","&amp;K99&amp;",",","&amp;SUBSTITUTE('1 Scholarships'!$P$2:$P$60," ","")&amp;","))&gt;0)*'1 Scholarships'!$F$2:$F$60)))</f>
        <v/>
      </c>
      <c r="O99" s="18"/>
      <c r="P99" s="18"/>
      <c r="Q99" s="18"/>
      <c r="R99" s="19"/>
      <c r="S99" s="19"/>
      <c r="T99" s="18"/>
      <c r="U99" s="18"/>
      <c r="V99" s="18"/>
    </row>
    <row r="100" customFormat="false" ht="15" hidden="false" customHeight="false" outlineLevel="0" collapsed="false">
      <c r="A100" s="18"/>
      <c r="B100" s="19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4" t="str">
        <f aca="false">IF(OR(I100="",J100=""),"",SUMPRODUCT((CODE(I100)&lt;=CODE('1 Scholarships'!$G$2:$G$60))*('1 Scholarships'!$A$2:$A$60&lt;&gt;"")*(('1 Scholarships'!$H$2:$H$60="")+ISNUMBER(SEARCH(","&amp;J100&amp;",",","&amp;SUBSTITUTE('1 Scholarships'!$H$2:$H$60," ","")&amp;","))&gt;0)*(('1 Scholarships'!$J$2:$J$60&lt;&gt;"Yes")+(L100="Yes")&gt;0)*((K100="")+ISNUMBER(SEARCH(","&amp;K100&amp;",",","&amp;SUBSTITUTE('1 Scholarships'!$P$2:$P$60," ","")&amp;","))&gt;0)))</f>
        <v/>
      </c>
      <c r="N100" s="20" t="str">
        <f aca="false">IF(OR(I100="",J100=""),"",SUMPRODUCT(MAX((CODE(I100)&lt;=CODE('1 Scholarships'!$G$2:$G$60))*('1 Scholarships'!$A$2:$A$60&lt;&gt;"")*(('1 Scholarships'!$H$2:$H$60="")+ISNUMBER(SEARCH(","&amp;J100&amp;",",","&amp;SUBSTITUTE('1 Scholarships'!$H$2:$H$60," ","")&amp;","))&gt;0)*(('1 Scholarships'!$J$2:$J$60&lt;&gt;"Yes")+(L100="Yes")&gt;0)*((K100="")+ISNUMBER(SEARCH(","&amp;K100&amp;",",","&amp;SUBSTITUTE('1 Scholarships'!$P$2:$P$60," ","")&amp;","))&gt;0)*'1 Scholarships'!$F$2:$F$60)))</f>
        <v/>
      </c>
      <c r="O100" s="18"/>
      <c r="P100" s="18"/>
      <c r="Q100" s="18"/>
      <c r="R100" s="19"/>
      <c r="S100" s="19"/>
      <c r="T100" s="18"/>
      <c r="U100" s="18"/>
      <c r="V100" s="18"/>
    </row>
    <row r="101" customFormat="false" ht="15" hidden="false" customHeight="false" outlineLevel="0" collapsed="false">
      <c r="A101" s="18"/>
      <c r="B101" s="19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4" t="str">
        <f aca="false">IF(OR(I101="",J101=""),"",SUMPRODUCT((CODE(I101)&lt;=CODE('1 Scholarships'!$G$2:$G$60))*('1 Scholarships'!$A$2:$A$60&lt;&gt;"")*(('1 Scholarships'!$H$2:$H$60="")+ISNUMBER(SEARCH(","&amp;J101&amp;",",","&amp;SUBSTITUTE('1 Scholarships'!$H$2:$H$60," ","")&amp;","))&gt;0)*(('1 Scholarships'!$J$2:$J$60&lt;&gt;"Yes")+(L101="Yes")&gt;0)*((K101="")+ISNUMBER(SEARCH(","&amp;K101&amp;",",","&amp;SUBSTITUTE('1 Scholarships'!$P$2:$P$60," ","")&amp;","))&gt;0)))</f>
        <v/>
      </c>
      <c r="N101" s="20" t="str">
        <f aca="false">IF(OR(I101="",J101=""),"",SUMPRODUCT(MAX((CODE(I101)&lt;=CODE('1 Scholarships'!$G$2:$G$60))*('1 Scholarships'!$A$2:$A$60&lt;&gt;"")*(('1 Scholarships'!$H$2:$H$60="")+ISNUMBER(SEARCH(","&amp;J101&amp;",",","&amp;SUBSTITUTE('1 Scholarships'!$H$2:$H$60," ","")&amp;","))&gt;0)*(('1 Scholarships'!$J$2:$J$60&lt;&gt;"Yes")+(L101="Yes")&gt;0)*((K101="")+ISNUMBER(SEARCH(","&amp;K101&amp;",",","&amp;SUBSTITUTE('1 Scholarships'!$P$2:$P$60," ","")&amp;","))&gt;0)*'1 Scholarships'!$F$2:$F$60)))</f>
        <v/>
      </c>
      <c r="O101" s="18"/>
      <c r="P101" s="18"/>
      <c r="Q101" s="18"/>
      <c r="R101" s="19"/>
      <c r="S101" s="19"/>
      <c r="T101" s="18"/>
      <c r="U101" s="18"/>
      <c r="V101" s="18"/>
    </row>
    <row r="102" customFormat="false" ht="15" hidden="false" customHeight="false" outlineLevel="0" collapsed="false">
      <c r="A102" s="18"/>
      <c r="B102" s="19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4" t="str">
        <f aca="false">IF(OR(I102="",J102=""),"",SUMPRODUCT((CODE(I102)&lt;=CODE('1 Scholarships'!$G$2:$G$60))*('1 Scholarships'!$A$2:$A$60&lt;&gt;"")*(('1 Scholarships'!$H$2:$H$60="")+ISNUMBER(SEARCH(","&amp;J102&amp;",",","&amp;SUBSTITUTE('1 Scholarships'!$H$2:$H$60," ","")&amp;","))&gt;0)*(('1 Scholarships'!$J$2:$J$60&lt;&gt;"Yes")+(L102="Yes")&gt;0)*((K102="")+ISNUMBER(SEARCH(","&amp;K102&amp;",",","&amp;SUBSTITUTE('1 Scholarships'!$P$2:$P$60," ","")&amp;","))&gt;0)))</f>
        <v/>
      </c>
      <c r="N102" s="20" t="str">
        <f aca="false">IF(OR(I102="",J102=""),"",SUMPRODUCT(MAX((CODE(I102)&lt;=CODE('1 Scholarships'!$G$2:$G$60))*('1 Scholarships'!$A$2:$A$60&lt;&gt;"")*(('1 Scholarships'!$H$2:$H$60="")+ISNUMBER(SEARCH(","&amp;J102&amp;",",","&amp;SUBSTITUTE('1 Scholarships'!$H$2:$H$60," ","")&amp;","))&gt;0)*(('1 Scholarships'!$J$2:$J$60&lt;&gt;"Yes")+(L102="Yes")&gt;0)*((K102="")+ISNUMBER(SEARCH(","&amp;K102&amp;",",","&amp;SUBSTITUTE('1 Scholarships'!$P$2:$P$60," ","")&amp;","))&gt;0)*'1 Scholarships'!$F$2:$F$60)))</f>
        <v/>
      </c>
      <c r="O102" s="18"/>
      <c r="P102" s="18"/>
      <c r="Q102" s="18"/>
      <c r="R102" s="19"/>
      <c r="S102" s="19"/>
      <c r="T102" s="18"/>
      <c r="U102" s="18"/>
      <c r="V102" s="18"/>
    </row>
    <row r="103" customFormat="false" ht="15" hidden="false" customHeight="false" outlineLevel="0" collapsed="false">
      <c r="A103" s="18"/>
      <c r="B103" s="19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4" t="str">
        <f aca="false">IF(OR(I103="",J103=""),"",SUMPRODUCT((CODE(I103)&lt;=CODE('1 Scholarships'!$G$2:$G$60))*('1 Scholarships'!$A$2:$A$60&lt;&gt;"")*(('1 Scholarships'!$H$2:$H$60="")+ISNUMBER(SEARCH(","&amp;J103&amp;",",","&amp;SUBSTITUTE('1 Scholarships'!$H$2:$H$60," ","")&amp;","))&gt;0)*(('1 Scholarships'!$J$2:$J$60&lt;&gt;"Yes")+(L103="Yes")&gt;0)*((K103="")+ISNUMBER(SEARCH(","&amp;K103&amp;",",","&amp;SUBSTITUTE('1 Scholarships'!$P$2:$P$60," ","")&amp;","))&gt;0)))</f>
        <v/>
      </c>
      <c r="N103" s="20" t="str">
        <f aca="false">IF(OR(I103="",J103=""),"",SUMPRODUCT(MAX((CODE(I103)&lt;=CODE('1 Scholarships'!$G$2:$G$60))*('1 Scholarships'!$A$2:$A$60&lt;&gt;"")*(('1 Scholarships'!$H$2:$H$60="")+ISNUMBER(SEARCH(","&amp;J103&amp;",",","&amp;SUBSTITUTE('1 Scholarships'!$H$2:$H$60," ","")&amp;","))&gt;0)*(('1 Scholarships'!$J$2:$J$60&lt;&gt;"Yes")+(L103="Yes")&gt;0)*((K103="")+ISNUMBER(SEARCH(","&amp;K103&amp;",",","&amp;SUBSTITUTE('1 Scholarships'!$P$2:$P$60," ","")&amp;","))&gt;0)*'1 Scholarships'!$F$2:$F$60)))</f>
        <v/>
      </c>
      <c r="O103" s="18"/>
      <c r="P103" s="18"/>
      <c r="Q103" s="18"/>
      <c r="R103" s="19"/>
      <c r="S103" s="19"/>
      <c r="T103" s="18"/>
      <c r="U103" s="18"/>
      <c r="V103" s="18"/>
    </row>
    <row r="104" customFormat="false" ht="15" hidden="false" customHeight="false" outlineLevel="0" collapsed="false">
      <c r="A104" s="18"/>
      <c r="B104" s="19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4" t="str">
        <f aca="false">IF(OR(I104="",J104=""),"",SUMPRODUCT((CODE(I104)&lt;=CODE('1 Scholarships'!$G$2:$G$60))*('1 Scholarships'!$A$2:$A$60&lt;&gt;"")*(('1 Scholarships'!$H$2:$H$60="")+ISNUMBER(SEARCH(","&amp;J104&amp;",",","&amp;SUBSTITUTE('1 Scholarships'!$H$2:$H$60," ","")&amp;","))&gt;0)*(('1 Scholarships'!$J$2:$J$60&lt;&gt;"Yes")+(L104="Yes")&gt;0)*((K104="")+ISNUMBER(SEARCH(","&amp;K104&amp;",",","&amp;SUBSTITUTE('1 Scholarships'!$P$2:$P$60," ","")&amp;","))&gt;0)))</f>
        <v/>
      </c>
      <c r="N104" s="20" t="str">
        <f aca="false">IF(OR(I104="",J104=""),"",SUMPRODUCT(MAX((CODE(I104)&lt;=CODE('1 Scholarships'!$G$2:$G$60))*('1 Scholarships'!$A$2:$A$60&lt;&gt;"")*(('1 Scholarships'!$H$2:$H$60="")+ISNUMBER(SEARCH(","&amp;J104&amp;",",","&amp;SUBSTITUTE('1 Scholarships'!$H$2:$H$60," ","")&amp;","))&gt;0)*(('1 Scholarships'!$J$2:$J$60&lt;&gt;"Yes")+(L104="Yes")&gt;0)*((K104="")+ISNUMBER(SEARCH(","&amp;K104&amp;",",","&amp;SUBSTITUTE('1 Scholarships'!$P$2:$P$60," ","")&amp;","))&gt;0)*'1 Scholarships'!$F$2:$F$60)))</f>
        <v/>
      </c>
      <c r="O104" s="18"/>
      <c r="P104" s="18"/>
      <c r="Q104" s="18"/>
      <c r="R104" s="19"/>
      <c r="S104" s="19"/>
      <c r="T104" s="18"/>
      <c r="U104" s="18"/>
      <c r="V104" s="18"/>
    </row>
    <row r="105" customFormat="false" ht="15" hidden="false" customHeight="false" outlineLevel="0" collapsed="false">
      <c r="A105" s="18"/>
      <c r="B105" s="19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4" t="str">
        <f aca="false">IF(OR(I105="",J105=""),"",SUMPRODUCT((CODE(I105)&lt;=CODE('1 Scholarships'!$G$2:$G$60))*('1 Scholarships'!$A$2:$A$60&lt;&gt;"")*(('1 Scholarships'!$H$2:$H$60="")+ISNUMBER(SEARCH(","&amp;J105&amp;",",","&amp;SUBSTITUTE('1 Scholarships'!$H$2:$H$60," ","")&amp;","))&gt;0)*(('1 Scholarships'!$J$2:$J$60&lt;&gt;"Yes")+(L105="Yes")&gt;0)*((K105="")+ISNUMBER(SEARCH(","&amp;K105&amp;",",","&amp;SUBSTITUTE('1 Scholarships'!$P$2:$P$60," ","")&amp;","))&gt;0)))</f>
        <v/>
      </c>
      <c r="N105" s="20" t="str">
        <f aca="false">IF(OR(I105="",J105=""),"",SUMPRODUCT(MAX((CODE(I105)&lt;=CODE('1 Scholarships'!$G$2:$G$60))*('1 Scholarships'!$A$2:$A$60&lt;&gt;"")*(('1 Scholarships'!$H$2:$H$60="")+ISNUMBER(SEARCH(","&amp;J105&amp;",",","&amp;SUBSTITUTE('1 Scholarships'!$H$2:$H$60," ","")&amp;","))&gt;0)*(('1 Scholarships'!$J$2:$J$60&lt;&gt;"Yes")+(L105="Yes")&gt;0)*((K105="")+ISNUMBER(SEARCH(","&amp;K105&amp;",",","&amp;SUBSTITUTE('1 Scholarships'!$P$2:$P$60," ","")&amp;","))&gt;0)*'1 Scholarships'!$F$2:$F$60)))</f>
        <v/>
      </c>
      <c r="O105" s="18"/>
      <c r="P105" s="18"/>
      <c r="Q105" s="18"/>
      <c r="R105" s="19"/>
      <c r="S105" s="19"/>
      <c r="T105" s="18"/>
      <c r="U105" s="18"/>
      <c r="V105" s="18"/>
    </row>
    <row r="106" customFormat="false" ht="15" hidden="false" customHeight="false" outlineLevel="0" collapsed="false">
      <c r="A106" s="18"/>
      <c r="B106" s="19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4" t="str">
        <f aca="false">IF(OR(I106="",J106=""),"",SUMPRODUCT((CODE(I106)&lt;=CODE('1 Scholarships'!$G$2:$G$60))*('1 Scholarships'!$A$2:$A$60&lt;&gt;"")*(('1 Scholarships'!$H$2:$H$60="")+ISNUMBER(SEARCH(","&amp;J106&amp;",",","&amp;SUBSTITUTE('1 Scholarships'!$H$2:$H$60," ","")&amp;","))&gt;0)*(('1 Scholarships'!$J$2:$J$60&lt;&gt;"Yes")+(L106="Yes")&gt;0)*((K106="")+ISNUMBER(SEARCH(","&amp;K106&amp;",",","&amp;SUBSTITUTE('1 Scholarships'!$P$2:$P$60," ","")&amp;","))&gt;0)))</f>
        <v/>
      </c>
      <c r="N106" s="20" t="str">
        <f aca="false">IF(OR(I106="",J106=""),"",SUMPRODUCT(MAX((CODE(I106)&lt;=CODE('1 Scholarships'!$G$2:$G$60))*('1 Scholarships'!$A$2:$A$60&lt;&gt;"")*(('1 Scholarships'!$H$2:$H$60="")+ISNUMBER(SEARCH(","&amp;J106&amp;",",","&amp;SUBSTITUTE('1 Scholarships'!$H$2:$H$60," ","")&amp;","))&gt;0)*(('1 Scholarships'!$J$2:$J$60&lt;&gt;"Yes")+(L106="Yes")&gt;0)*((K106="")+ISNUMBER(SEARCH(","&amp;K106&amp;",",","&amp;SUBSTITUTE('1 Scholarships'!$P$2:$P$60," ","")&amp;","))&gt;0)*'1 Scholarships'!$F$2:$F$60)))</f>
        <v/>
      </c>
      <c r="O106" s="18"/>
      <c r="P106" s="18"/>
      <c r="Q106" s="18"/>
      <c r="R106" s="19"/>
      <c r="S106" s="19"/>
      <c r="T106" s="18"/>
      <c r="U106" s="18"/>
      <c r="V106" s="18"/>
    </row>
    <row r="107" customFormat="false" ht="15" hidden="false" customHeight="false" outlineLevel="0" collapsed="false">
      <c r="A107" s="18"/>
      <c r="B107" s="19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4" t="str">
        <f aca="false">IF(OR(I107="",J107=""),"",SUMPRODUCT((CODE(I107)&lt;=CODE('1 Scholarships'!$G$2:$G$60))*('1 Scholarships'!$A$2:$A$60&lt;&gt;"")*(('1 Scholarships'!$H$2:$H$60="")+ISNUMBER(SEARCH(","&amp;J107&amp;",",","&amp;SUBSTITUTE('1 Scholarships'!$H$2:$H$60," ","")&amp;","))&gt;0)*(('1 Scholarships'!$J$2:$J$60&lt;&gt;"Yes")+(L107="Yes")&gt;0)*((K107="")+ISNUMBER(SEARCH(","&amp;K107&amp;",",","&amp;SUBSTITUTE('1 Scholarships'!$P$2:$P$60," ","")&amp;","))&gt;0)))</f>
        <v/>
      </c>
      <c r="N107" s="20" t="str">
        <f aca="false">IF(OR(I107="",J107=""),"",SUMPRODUCT(MAX((CODE(I107)&lt;=CODE('1 Scholarships'!$G$2:$G$60))*('1 Scholarships'!$A$2:$A$60&lt;&gt;"")*(('1 Scholarships'!$H$2:$H$60="")+ISNUMBER(SEARCH(","&amp;J107&amp;",",","&amp;SUBSTITUTE('1 Scholarships'!$H$2:$H$60," ","")&amp;","))&gt;0)*(('1 Scholarships'!$J$2:$J$60&lt;&gt;"Yes")+(L107="Yes")&gt;0)*((K107="")+ISNUMBER(SEARCH(","&amp;K107&amp;",",","&amp;SUBSTITUTE('1 Scholarships'!$P$2:$P$60," ","")&amp;","))&gt;0)*'1 Scholarships'!$F$2:$F$60)))</f>
        <v/>
      </c>
      <c r="O107" s="18"/>
      <c r="P107" s="18"/>
      <c r="Q107" s="18"/>
      <c r="R107" s="19"/>
      <c r="S107" s="19"/>
      <c r="T107" s="18"/>
      <c r="U107" s="18"/>
      <c r="V107" s="18"/>
    </row>
    <row r="108" customFormat="false" ht="15" hidden="false" customHeight="false" outlineLevel="0" collapsed="false">
      <c r="A108" s="18"/>
      <c r="B108" s="19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4" t="str">
        <f aca="false">IF(OR(I108="",J108=""),"",SUMPRODUCT((CODE(I108)&lt;=CODE('1 Scholarships'!$G$2:$G$60))*('1 Scholarships'!$A$2:$A$60&lt;&gt;"")*(('1 Scholarships'!$H$2:$H$60="")+ISNUMBER(SEARCH(","&amp;J108&amp;",",","&amp;SUBSTITUTE('1 Scholarships'!$H$2:$H$60," ","")&amp;","))&gt;0)*(('1 Scholarships'!$J$2:$J$60&lt;&gt;"Yes")+(L108="Yes")&gt;0)*((K108="")+ISNUMBER(SEARCH(","&amp;K108&amp;",",","&amp;SUBSTITUTE('1 Scholarships'!$P$2:$P$60," ","")&amp;","))&gt;0)))</f>
        <v/>
      </c>
      <c r="N108" s="20" t="str">
        <f aca="false">IF(OR(I108="",J108=""),"",SUMPRODUCT(MAX((CODE(I108)&lt;=CODE('1 Scholarships'!$G$2:$G$60))*('1 Scholarships'!$A$2:$A$60&lt;&gt;"")*(('1 Scholarships'!$H$2:$H$60="")+ISNUMBER(SEARCH(","&amp;J108&amp;",",","&amp;SUBSTITUTE('1 Scholarships'!$H$2:$H$60," ","")&amp;","))&gt;0)*(('1 Scholarships'!$J$2:$J$60&lt;&gt;"Yes")+(L108="Yes")&gt;0)*((K108="")+ISNUMBER(SEARCH(","&amp;K108&amp;",",","&amp;SUBSTITUTE('1 Scholarships'!$P$2:$P$60," ","")&amp;","))&gt;0)*'1 Scholarships'!$F$2:$F$60)))</f>
        <v/>
      </c>
      <c r="O108" s="18"/>
      <c r="P108" s="18"/>
      <c r="Q108" s="18"/>
      <c r="R108" s="19"/>
      <c r="S108" s="19"/>
      <c r="T108" s="18"/>
      <c r="U108" s="18"/>
      <c r="V108" s="18"/>
    </row>
    <row r="109" customFormat="false" ht="15" hidden="false" customHeight="false" outlineLevel="0" collapsed="false">
      <c r="A109" s="18"/>
      <c r="B109" s="19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4" t="str">
        <f aca="false">IF(OR(I109="",J109=""),"",SUMPRODUCT((CODE(I109)&lt;=CODE('1 Scholarships'!$G$2:$G$60))*('1 Scholarships'!$A$2:$A$60&lt;&gt;"")*(('1 Scholarships'!$H$2:$H$60="")+ISNUMBER(SEARCH(","&amp;J109&amp;",",","&amp;SUBSTITUTE('1 Scholarships'!$H$2:$H$60," ","")&amp;","))&gt;0)*(('1 Scholarships'!$J$2:$J$60&lt;&gt;"Yes")+(L109="Yes")&gt;0)*((K109="")+ISNUMBER(SEARCH(","&amp;K109&amp;",",","&amp;SUBSTITUTE('1 Scholarships'!$P$2:$P$60," ","")&amp;","))&gt;0)))</f>
        <v/>
      </c>
      <c r="N109" s="20" t="str">
        <f aca="false">IF(OR(I109="",J109=""),"",SUMPRODUCT(MAX((CODE(I109)&lt;=CODE('1 Scholarships'!$G$2:$G$60))*('1 Scholarships'!$A$2:$A$60&lt;&gt;"")*(('1 Scholarships'!$H$2:$H$60="")+ISNUMBER(SEARCH(","&amp;J109&amp;",",","&amp;SUBSTITUTE('1 Scholarships'!$H$2:$H$60," ","")&amp;","))&gt;0)*(('1 Scholarships'!$J$2:$J$60&lt;&gt;"Yes")+(L109="Yes")&gt;0)*((K109="")+ISNUMBER(SEARCH(","&amp;K109&amp;",",","&amp;SUBSTITUTE('1 Scholarships'!$P$2:$P$60," ","")&amp;","))&gt;0)*'1 Scholarships'!$F$2:$F$60)))</f>
        <v/>
      </c>
      <c r="O109" s="18"/>
      <c r="P109" s="18"/>
      <c r="Q109" s="18"/>
      <c r="R109" s="19"/>
      <c r="S109" s="19"/>
      <c r="T109" s="18"/>
      <c r="U109" s="18"/>
      <c r="V109" s="18"/>
    </row>
    <row r="110" customFormat="false" ht="15" hidden="false" customHeight="false" outlineLevel="0" collapsed="false">
      <c r="A110" s="18"/>
      <c r="B110" s="19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4" t="str">
        <f aca="false">IF(OR(I110="",J110=""),"",SUMPRODUCT((CODE(I110)&lt;=CODE('1 Scholarships'!$G$2:$G$60))*('1 Scholarships'!$A$2:$A$60&lt;&gt;"")*(('1 Scholarships'!$H$2:$H$60="")+ISNUMBER(SEARCH(","&amp;J110&amp;",",","&amp;SUBSTITUTE('1 Scholarships'!$H$2:$H$60," ","")&amp;","))&gt;0)*(('1 Scholarships'!$J$2:$J$60&lt;&gt;"Yes")+(L110="Yes")&gt;0)*((K110="")+ISNUMBER(SEARCH(","&amp;K110&amp;",",","&amp;SUBSTITUTE('1 Scholarships'!$P$2:$P$60," ","")&amp;","))&gt;0)))</f>
        <v/>
      </c>
      <c r="N110" s="20" t="str">
        <f aca="false">IF(OR(I110="",J110=""),"",SUMPRODUCT(MAX((CODE(I110)&lt;=CODE('1 Scholarships'!$G$2:$G$60))*('1 Scholarships'!$A$2:$A$60&lt;&gt;"")*(('1 Scholarships'!$H$2:$H$60="")+ISNUMBER(SEARCH(","&amp;J110&amp;",",","&amp;SUBSTITUTE('1 Scholarships'!$H$2:$H$60," ","")&amp;","))&gt;0)*(('1 Scholarships'!$J$2:$J$60&lt;&gt;"Yes")+(L110="Yes")&gt;0)*((K110="")+ISNUMBER(SEARCH(","&amp;K110&amp;",",","&amp;SUBSTITUTE('1 Scholarships'!$P$2:$P$60," ","")&amp;","))&gt;0)*'1 Scholarships'!$F$2:$F$60)))</f>
        <v/>
      </c>
      <c r="O110" s="18"/>
      <c r="P110" s="18"/>
      <c r="Q110" s="18"/>
      <c r="R110" s="19"/>
      <c r="S110" s="19"/>
      <c r="T110" s="18"/>
      <c r="U110" s="18"/>
      <c r="V110" s="18"/>
    </row>
    <row r="111" customFormat="false" ht="15" hidden="false" customHeight="false" outlineLevel="0" collapsed="false">
      <c r="A111" s="18"/>
      <c r="B111" s="19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4" t="str">
        <f aca="false">IF(OR(I111="",J111=""),"",SUMPRODUCT((CODE(I111)&lt;=CODE('1 Scholarships'!$G$2:$G$60))*('1 Scholarships'!$A$2:$A$60&lt;&gt;"")*(('1 Scholarships'!$H$2:$H$60="")+ISNUMBER(SEARCH(","&amp;J111&amp;",",","&amp;SUBSTITUTE('1 Scholarships'!$H$2:$H$60," ","")&amp;","))&gt;0)*(('1 Scholarships'!$J$2:$J$60&lt;&gt;"Yes")+(L111="Yes")&gt;0)*((K111="")+ISNUMBER(SEARCH(","&amp;K111&amp;",",","&amp;SUBSTITUTE('1 Scholarships'!$P$2:$P$60," ","")&amp;","))&gt;0)))</f>
        <v/>
      </c>
      <c r="N111" s="20" t="str">
        <f aca="false">IF(OR(I111="",J111=""),"",SUMPRODUCT(MAX((CODE(I111)&lt;=CODE('1 Scholarships'!$G$2:$G$60))*('1 Scholarships'!$A$2:$A$60&lt;&gt;"")*(('1 Scholarships'!$H$2:$H$60="")+ISNUMBER(SEARCH(","&amp;J111&amp;",",","&amp;SUBSTITUTE('1 Scholarships'!$H$2:$H$60," ","")&amp;","))&gt;0)*(('1 Scholarships'!$J$2:$J$60&lt;&gt;"Yes")+(L111="Yes")&gt;0)*((K111="")+ISNUMBER(SEARCH(","&amp;K111&amp;",",","&amp;SUBSTITUTE('1 Scholarships'!$P$2:$P$60," ","")&amp;","))&gt;0)*'1 Scholarships'!$F$2:$F$60)))</f>
        <v/>
      </c>
      <c r="O111" s="18"/>
      <c r="P111" s="18"/>
      <c r="Q111" s="18"/>
      <c r="R111" s="19"/>
      <c r="S111" s="19"/>
      <c r="T111" s="18"/>
      <c r="U111" s="18"/>
      <c r="V111" s="18"/>
    </row>
    <row r="112" customFormat="false" ht="15" hidden="false" customHeight="false" outlineLevel="0" collapsed="false">
      <c r="A112" s="18"/>
      <c r="B112" s="19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4" t="str">
        <f aca="false">IF(OR(I112="",J112=""),"",SUMPRODUCT((CODE(I112)&lt;=CODE('1 Scholarships'!$G$2:$G$60))*('1 Scholarships'!$A$2:$A$60&lt;&gt;"")*(('1 Scholarships'!$H$2:$H$60="")+ISNUMBER(SEARCH(","&amp;J112&amp;",",","&amp;SUBSTITUTE('1 Scholarships'!$H$2:$H$60," ","")&amp;","))&gt;0)*(('1 Scholarships'!$J$2:$J$60&lt;&gt;"Yes")+(L112="Yes")&gt;0)*((K112="")+ISNUMBER(SEARCH(","&amp;K112&amp;",",","&amp;SUBSTITUTE('1 Scholarships'!$P$2:$P$60," ","")&amp;","))&gt;0)))</f>
        <v/>
      </c>
      <c r="N112" s="20" t="str">
        <f aca="false">IF(OR(I112="",J112=""),"",SUMPRODUCT(MAX((CODE(I112)&lt;=CODE('1 Scholarships'!$G$2:$G$60))*('1 Scholarships'!$A$2:$A$60&lt;&gt;"")*(('1 Scholarships'!$H$2:$H$60="")+ISNUMBER(SEARCH(","&amp;J112&amp;",",","&amp;SUBSTITUTE('1 Scholarships'!$H$2:$H$60," ","")&amp;","))&gt;0)*(('1 Scholarships'!$J$2:$J$60&lt;&gt;"Yes")+(L112="Yes")&gt;0)*((K112="")+ISNUMBER(SEARCH(","&amp;K112&amp;",",","&amp;SUBSTITUTE('1 Scholarships'!$P$2:$P$60," ","")&amp;","))&gt;0)*'1 Scholarships'!$F$2:$F$60)))</f>
        <v/>
      </c>
      <c r="O112" s="18"/>
      <c r="P112" s="18"/>
      <c r="Q112" s="18"/>
      <c r="R112" s="19"/>
      <c r="S112" s="19"/>
      <c r="T112" s="18"/>
      <c r="U112" s="18"/>
      <c r="V112" s="18"/>
    </row>
    <row r="113" customFormat="false" ht="15" hidden="false" customHeight="false" outlineLevel="0" collapsed="false">
      <c r="A113" s="18"/>
      <c r="B113" s="19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4" t="str">
        <f aca="false">IF(OR(I113="",J113=""),"",SUMPRODUCT((CODE(I113)&lt;=CODE('1 Scholarships'!$G$2:$G$60))*('1 Scholarships'!$A$2:$A$60&lt;&gt;"")*(('1 Scholarships'!$H$2:$H$60="")+ISNUMBER(SEARCH(","&amp;J113&amp;",",","&amp;SUBSTITUTE('1 Scholarships'!$H$2:$H$60," ","")&amp;","))&gt;0)*(('1 Scholarships'!$J$2:$J$60&lt;&gt;"Yes")+(L113="Yes")&gt;0)*((K113="")+ISNUMBER(SEARCH(","&amp;K113&amp;",",","&amp;SUBSTITUTE('1 Scholarships'!$P$2:$P$60," ","")&amp;","))&gt;0)))</f>
        <v/>
      </c>
      <c r="N113" s="20" t="str">
        <f aca="false">IF(OR(I113="",J113=""),"",SUMPRODUCT(MAX((CODE(I113)&lt;=CODE('1 Scholarships'!$G$2:$G$60))*('1 Scholarships'!$A$2:$A$60&lt;&gt;"")*(('1 Scholarships'!$H$2:$H$60="")+ISNUMBER(SEARCH(","&amp;J113&amp;",",","&amp;SUBSTITUTE('1 Scholarships'!$H$2:$H$60," ","")&amp;","))&gt;0)*(('1 Scholarships'!$J$2:$J$60&lt;&gt;"Yes")+(L113="Yes")&gt;0)*((K113="")+ISNUMBER(SEARCH(","&amp;K113&amp;",",","&amp;SUBSTITUTE('1 Scholarships'!$P$2:$P$60," ","")&amp;","))&gt;0)*'1 Scholarships'!$F$2:$F$60)))</f>
        <v/>
      </c>
      <c r="O113" s="18"/>
      <c r="P113" s="18"/>
      <c r="Q113" s="18"/>
      <c r="R113" s="19"/>
      <c r="S113" s="19"/>
      <c r="T113" s="18"/>
      <c r="U113" s="18"/>
      <c r="V113" s="18"/>
    </row>
    <row r="114" customFormat="false" ht="15" hidden="false" customHeight="false" outlineLevel="0" collapsed="false">
      <c r="A114" s="18"/>
      <c r="B114" s="19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4" t="str">
        <f aca="false">IF(OR(I114="",J114=""),"",SUMPRODUCT((CODE(I114)&lt;=CODE('1 Scholarships'!$G$2:$G$60))*('1 Scholarships'!$A$2:$A$60&lt;&gt;"")*(('1 Scholarships'!$H$2:$H$60="")+ISNUMBER(SEARCH(","&amp;J114&amp;",",","&amp;SUBSTITUTE('1 Scholarships'!$H$2:$H$60," ","")&amp;","))&gt;0)*(('1 Scholarships'!$J$2:$J$60&lt;&gt;"Yes")+(L114="Yes")&gt;0)*((K114="")+ISNUMBER(SEARCH(","&amp;K114&amp;",",","&amp;SUBSTITUTE('1 Scholarships'!$P$2:$P$60," ","")&amp;","))&gt;0)))</f>
        <v/>
      </c>
      <c r="N114" s="20" t="str">
        <f aca="false">IF(OR(I114="",J114=""),"",SUMPRODUCT(MAX((CODE(I114)&lt;=CODE('1 Scholarships'!$G$2:$G$60))*('1 Scholarships'!$A$2:$A$60&lt;&gt;"")*(('1 Scholarships'!$H$2:$H$60="")+ISNUMBER(SEARCH(","&amp;J114&amp;",",","&amp;SUBSTITUTE('1 Scholarships'!$H$2:$H$60," ","")&amp;","))&gt;0)*(('1 Scholarships'!$J$2:$J$60&lt;&gt;"Yes")+(L114="Yes")&gt;0)*((K114="")+ISNUMBER(SEARCH(","&amp;K114&amp;",",","&amp;SUBSTITUTE('1 Scholarships'!$P$2:$P$60," ","")&amp;","))&gt;0)*'1 Scholarships'!$F$2:$F$60)))</f>
        <v/>
      </c>
      <c r="O114" s="18"/>
      <c r="P114" s="18"/>
      <c r="Q114" s="18"/>
      <c r="R114" s="19"/>
      <c r="S114" s="19"/>
      <c r="T114" s="18"/>
      <c r="U114" s="18"/>
      <c r="V114" s="18"/>
    </row>
    <row r="115" customFormat="false" ht="15" hidden="false" customHeight="false" outlineLevel="0" collapsed="false">
      <c r="A115" s="18"/>
      <c r="B115" s="19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4" t="str">
        <f aca="false">IF(OR(I115="",J115=""),"",SUMPRODUCT((CODE(I115)&lt;=CODE('1 Scholarships'!$G$2:$G$60))*('1 Scholarships'!$A$2:$A$60&lt;&gt;"")*(('1 Scholarships'!$H$2:$H$60="")+ISNUMBER(SEARCH(","&amp;J115&amp;",",","&amp;SUBSTITUTE('1 Scholarships'!$H$2:$H$60," ","")&amp;","))&gt;0)*(('1 Scholarships'!$J$2:$J$60&lt;&gt;"Yes")+(L115="Yes")&gt;0)*((K115="")+ISNUMBER(SEARCH(","&amp;K115&amp;",",","&amp;SUBSTITUTE('1 Scholarships'!$P$2:$P$60," ","")&amp;","))&gt;0)))</f>
        <v/>
      </c>
      <c r="N115" s="20" t="str">
        <f aca="false">IF(OR(I115="",J115=""),"",SUMPRODUCT(MAX((CODE(I115)&lt;=CODE('1 Scholarships'!$G$2:$G$60))*('1 Scholarships'!$A$2:$A$60&lt;&gt;"")*(('1 Scholarships'!$H$2:$H$60="")+ISNUMBER(SEARCH(","&amp;J115&amp;",",","&amp;SUBSTITUTE('1 Scholarships'!$H$2:$H$60," ","")&amp;","))&gt;0)*(('1 Scholarships'!$J$2:$J$60&lt;&gt;"Yes")+(L115="Yes")&gt;0)*((K115="")+ISNUMBER(SEARCH(","&amp;K115&amp;",",","&amp;SUBSTITUTE('1 Scholarships'!$P$2:$P$60," ","")&amp;","))&gt;0)*'1 Scholarships'!$F$2:$F$60)))</f>
        <v/>
      </c>
      <c r="O115" s="18"/>
      <c r="P115" s="18"/>
      <c r="Q115" s="18"/>
      <c r="R115" s="19"/>
      <c r="S115" s="19"/>
      <c r="T115" s="18"/>
      <c r="U115" s="18"/>
      <c r="V115" s="18"/>
    </row>
    <row r="116" customFormat="false" ht="15" hidden="false" customHeight="false" outlineLevel="0" collapsed="false">
      <c r="A116" s="18"/>
      <c r="B116" s="19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4" t="str">
        <f aca="false">IF(OR(I116="",J116=""),"",SUMPRODUCT((CODE(I116)&lt;=CODE('1 Scholarships'!$G$2:$G$60))*('1 Scholarships'!$A$2:$A$60&lt;&gt;"")*(('1 Scholarships'!$H$2:$H$60="")+ISNUMBER(SEARCH(","&amp;J116&amp;",",","&amp;SUBSTITUTE('1 Scholarships'!$H$2:$H$60," ","")&amp;","))&gt;0)*(('1 Scholarships'!$J$2:$J$60&lt;&gt;"Yes")+(L116="Yes")&gt;0)*((K116="")+ISNUMBER(SEARCH(","&amp;K116&amp;",",","&amp;SUBSTITUTE('1 Scholarships'!$P$2:$P$60," ","")&amp;","))&gt;0)))</f>
        <v/>
      </c>
      <c r="N116" s="20" t="str">
        <f aca="false">IF(OR(I116="",J116=""),"",SUMPRODUCT(MAX((CODE(I116)&lt;=CODE('1 Scholarships'!$G$2:$G$60))*('1 Scholarships'!$A$2:$A$60&lt;&gt;"")*(('1 Scholarships'!$H$2:$H$60="")+ISNUMBER(SEARCH(","&amp;J116&amp;",",","&amp;SUBSTITUTE('1 Scholarships'!$H$2:$H$60," ","")&amp;","))&gt;0)*(('1 Scholarships'!$J$2:$J$60&lt;&gt;"Yes")+(L116="Yes")&gt;0)*((K116="")+ISNUMBER(SEARCH(","&amp;K116&amp;",",","&amp;SUBSTITUTE('1 Scholarships'!$P$2:$P$60," ","")&amp;","))&gt;0)*'1 Scholarships'!$F$2:$F$60)))</f>
        <v/>
      </c>
      <c r="O116" s="18"/>
      <c r="P116" s="18"/>
      <c r="Q116" s="18"/>
      <c r="R116" s="19"/>
      <c r="S116" s="19"/>
      <c r="T116" s="18"/>
      <c r="U116" s="18"/>
      <c r="V116" s="18"/>
    </row>
    <row r="117" customFormat="false" ht="15" hidden="false" customHeight="false" outlineLevel="0" collapsed="false">
      <c r="A117" s="18"/>
      <c r="B117" s="19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4" t="str">
        <f aca="false">IF(OR(I117="",J117=""),"",SUMPRODUCT((CODE(I117)&lt;=CODE('1 Scholarships'!$G$2:$G$60))*('1 Scholarships'!$A$2:$A$60&lt;&gt;"")*(('1 Scholarships'!$H$2:$H$60="")+ISNUMBER(SEARCH(","&amp;J117&amp;",",","&amp;SUBSTITUTE('1 Scholarships'!$H$2:$H$60," ","")&amp;","))&gt;0)*(('1 Scholarships'!$J$2:$J$60&lt;&gt;"Yes")+(L117="Yes")&gt;0)*((K117="")+ISNUMBER(SEARCH(","&amp;K117&amp;",",","&amp;SUBSTITUTE('1 Scholarships'!$P$2:$P$60," ","")&amp;","))&gt;0)))</f>
        <v/>
      </c>
      <c r="N117" s="20" t="str">
        <f aca="false">IF(OR(I117="",J117=""),"",SUMPRODUCT(MAX((CODE(I117)&lt;=CODE('1 Scholarships'!$G$2:$G$60))*('1 Scholarships'!$A$2:$A$60&lt;&gt;"")*(('1 Scholarships'!$H$2:$H$60="")+ISNUMBER(SEARCH(","&amp;J117&amp;",",","&amp;SUBSTITUTE('1 Scholarships'!$H$2:$H$60," ","")&amp;","))&gt;0)*(('1 Scholarships'!$J$2:$J$60&lt;&gt;"Yes")+(L117="Yes")&gt;0)*((K117="")+ISNUMBER(SEARCH(","&amp;K117&amp;",",","&amp;SUBSTITUTE('1 Scholarships'!$P$2:$P$60," ","")&amp;","))&gt;0)*'1 Scholarships'!$F$2:$F$60)))</f>
        <v/>
      </c>
      <c r="O117" s="18"/>
      <c r="P117" s="18"/>
      <c r="Q117" s="18"/>
      <c r="R117" s="19"/>
      <c r="S117" s="19"/>
      <c r="T117" s="18"/>
      <c r="U117" s="18"/>
      <c r="V117" s="18"/>
    </row>
    <row r="118" customFormat="false" ht="15" hidden="false" customHeight="false" outlineLevel="0" collapsed="false">
      <c r="A118" s="18"/>
      <c r="B118" s="19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4" t="str">
        <f aca="false">IF(OR(I118="",J118=""),"",SUMPRODUCT((CODE(I118)&lt;=CODE('1 Scholarships'!$G$2:$G$60))*('1 Scholarships'!$A$2:$A$60&lt;&gt;"")*(('1 Scholarships'!$H$2:$H$60="")+ISNUMBER(SEARCH(","&amp;J118&amp;",",","&amp;SUBSTITUTE('1 Scholarships'!$H$2:$H$60," ","")&amp;","))&gt;0)*(('1 Scholarships'!$J$2:$J$60&lt;&gt;"Yes")+(L118="Yes")&gt;0)*((K118="")+ISNUMBER(SEARCH(","&amp;K118&amp;",",","&amp;SUBSTITUTE('1 Scholarships'!$P$2:$P$60," ","")&amp;","))&gt;0)))</f>
        <v/>
      </c>
      <c r="N118" s="20" t="str">
        <f aca="false">IF(OR(I118="",J118=""),"",SUMPRODUCT(MAX((CODE(I118)&lt;=CODE('1 Scholarships'!$G$2:$G$60))*('1 Scholarships'!$A$2:$A$60&lt;&gt;"")*(('1 Scholarships'!$H$2:$H$60="")+ISNUMBER(SEARCH(","&amp;J118&amp;",",","&amp;SUBSTITUTE('1 Scholarships'!$H$2:$H$60," ","")&amp;","))&gt;0)*(('1 Scholarships'!$J$2:$J$60&lt;&gt;"Yes")+(L118="Yes")&gt;0)*((K118="")+ISNUMBER(SEARCH(","&amp;K118&amp;",",","&amp;SUBSTITUTE('1 Scholarships'!$P$2:$P$60," ","")&amp;","))&gt;0)*'1 Scholarships'!$F$2:$F$60)))</f>
        <v/>
      </c>
      <c r="O118" s="18"/>
      <c r="P118" s="18"/>
      <c r="Q118" s="18"/>
      <c r="R118" s="19"/>
      <c r="S118" s="19"/>
      <c r="T118" s="18"/>
      <c r="U118" s="18"/>
      <c r="V118" s="18"/>
    </row>
    <row r="119" customFormat="false" ht="15" hidden="false" customHeight="false" outlineLevel="0" collapsed="false">
      <c r="A119" s="18"/>
      <c r="B119" s="19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4" t="str">
        <f aca="false">IF(OR(I119="",J119=""),"",SUMPRODUCT((CODE(I119)&lt;=CODE('1 Scholarships'!$G$2:$G$60))*('1 Scholarships'!$A$2:$A$60&lt;&gt;"")*(('1 Scholarships'!$H$2:$H$60="")+ISNUMBER(SEARCH(","&amp;J119&amp;",",","&amp;SUBSTITUTE('1 Scholarships'!$H$2:$H$60," ","")&amp;","))&gt;0)*(('1 Scholarships'!$J$2:$J$60&lt;&gt;"Yes")+(L119="Yes")&gt;0)*((K119="")+ISNUMBER(SEARCH(","&amp;K119&amp;",",","&amp;SUBSTITUTE('1 Scholarships'!$P$2:$P$60," ","")&amp;","))&gt;0)))</f>
        <v/>
      </c>
      <c r="N119" s="20" t="str">
        <f aca="false">IF(OR(I119="",J119=""),"",SUMPRODUCT(MAX((CODE(I119)&lt;=CODE('1 Scholarships'!$G$2:$G$60))*('1 Scholarships'!$A$2:$A$60&lt;&gt;"")*(('1 Scholarships'!$H$2:$H$60="")+ISNUMBER(SEARCH(","&amp;J119&amp;",",","&amp;SUBSTITUTE('1 Scholarships'!$H$2:$H$60," ","")&amp;","))&gt;0)*(('1 Scholarships'!$J$2:$J$60&lt;&gt;"Yes")+(L119="Yes")&gt;0)*((K119="")+ISNUMBER(SEARCH(","&amp;K119&amp;",",","&amp;SUBSTITUTE('1 Scholarships'!$P$2:$P$60," ","")&amp;","))&gt;0)*'1 Scholarships'!$F$2:$F$60)))</f>
        <v/>
      </c>
      <c r="O119" s="18"/>
      <c r="P119" s="18"/>
      <c r="Q119" s="18"/>
      <c r="R119" s="19"/>
      <c r="S119" s="19"/>
      <c r="T119" s="18"/>
      <c r="U119" s="18"/>
      <c r="V119" s="18"/>
    </row>
    <row r="120" customFormat="false" ht="15" hidden="false" customHeight="false" outlineLevel="0" collapsed="false">
      <c r="A120" s="18"/>
      <c r="B120" s="19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4" t="str">
        <f aca="false">IF(OR(I120="",J120=""),"",SUMPRODUCT((CODE(I120)&lt;=CODE('1 Scholarships'!$G$2:$G$60))*('1 Scholarships'!$A$2:$A$60&lt;&gt;"")*(('1 Scholarships'!$H$2:$H$60="")+ISNUMBER(SEARCH(","&amp;J120&amp;",",","&amp;SUBSTITUTE('1 Scholarships'!$H$2:$H$60," ","")&amp;","))&gt;0)*(('1 Scholarships'!$J$2:$J$60&lt;&gt;"Yes")+(L120="Yes")&gt;0)*((K120="")+ISNUMBER(SEARCH(","&amp;K120&amp;",",","&amp;SUBSTITUTE('1 Scholarships'!$P$2:$P$60," ","")&amp;","))&gt;0)))</f>
        <v/>
      </c>
      <c r="N120" s="20" t="str">
        <f aca="false">IF(OR(I120="",J120=""),"",SUMPRODUCT(MAX((CODE(I120)&lt;=CODE('1 Scholarships'!$G$2:$G$60))*('1 Scholarships'!$A$2:$A$60&lt;&gt;"")*(('1 Scholarships'!$H$2:$H$60="")+ISNUMBER(SEARCH(","&amp;J120&amp;",",","&amp;SUBSTITUTE('1 Scholarships'!$H$2:$H$60," ","")&amp;","))&gt;0)*(('1 Scholarships'!$J$2:$J$60&lt;&gt;"Yes")+(L120="Yes")&gt;0)*((K120="")+ISNUMBER(SEARCH(","&amp;K120&amp;",",","&amp;SUBSTITUTE('1 Scholarships'!$P$2:$P$60," ","")&amp;","))&gt;0)*'1 Scholarships'!$F$2:$F$60)))</f>
        <v/>
      </c>
      <c r="O120" s="18"/>
      <c r="P120" s="18"/>
      <c r="Q120" s="18"/>
      <c r="R120" s="19"/>
      <c r="S120" s="19"/>
      <c r="T120" s="18"/>
      <c r="U120" s="18"/>
      <c r="V120" s="18"/>
    </row>
    <row r="121" customFormat="false" ht="15" hidden="false" customHeight="false" outlineLevel="0" collapsed="false">
      <c r="A121" s="18"/>
      <c r="B121" s="19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4" t="str">
        <f aca="false">IF(OR(I121="",J121=""),"",SUMPRODUCT((CODE(I121)&lt;=CODE('1 Scholarships'!$G$2:$G$60))*('1 Scholarships'!$A$2:$A$60&lt;&gt;"")*(('1 Scholarships'!$H$2:$H$60="")+ISNUMBER(SEARCH(","&amp;J121&amp;",",","&amp;SUBSTITUTE('1 Scholarships'!$H$2:$H$60," ","")&amp;","))&gt;0)*(('1 Scholarships'!$J$2:$J$60&lt;&gt;"Yes")+(L121="Yes")&gt;0)*((K121="")+ISNUMBER(SEARCH(","&amp;K121&amp;",",","&amp;SUBSTITUTE('1 Scholarships'!$P$2:$P$60," ","")&amp;","))&gt;0)))</f>
        <v/>
      </c>
      <c r="N121" s="20" t="str">
        <f aca="false">IF(OR(I121="",J121=""),"",SUMPRODUCT(MAX((CODE(I121)&lt;=CODE('1 Scholarships'!$G$2:$G$60))*('1 Scholarships'!$A$2:$A$60&lt;&gt;"")*(('1 Scholarships'!$H$2:$H$60="")+ISNUMBER(SEARCH(","&amp;J121&amp;",",","&amp;SUBSTITUTE('1 Scholarships'!$H$2:$H$60," ","")&amp;","))&gt;0)*(('1 Scholarships'!$J$2:$J$60&lt;&gt;"Yes")+(L121="Yes")&gt;0)*((K121="")+ISNUMBER(SEARCH(","&amp;K121&amp;",",","&amp;SUBSTITUTE('1 Scholarships'!$P$2:$P$60," ","")&amp;","))&gt;0)*'1 Scholarships'!$F$2:$F$60)))</f>
        <v/>
      </c>
      <c r="O121" s="18"/>
      <c r="P121" s="18"/>
      <c r="Q121" s="18"/>
      <c r="R121" s="19"/>
      <c r="S121" s="19"/>
      <c r="T121" s="18"/>
      <c r="U121" s="18"/>
      <c r="V121" s="18"/>
    </row>
    <row r="122" customFormat="false" ht="15" hidden="false" customHeight="false" outlineLevel="0" collapsed="false">
      <c r="A122" s="18"/>
      <c r="B122" s="19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4" t="str">
        <f aca="false">IF(OR(I122="",J122=""),"",SUMPRODUCT((CODE(I122)&lt;=CODE('1 Scholarships'!$G$2:$G$60))*('1 Scholarships'!$A$2:$A$60&lt;&gt;"")*(('1 Scholarships'!$H$2:$H$60="")+ISNUMBER(SEARCH(","&amp;J122&amp;",",","&amp;SUBSTITUTE('1 Scholarships'!$H$2:$H$60," ","")&amp;","))&gt;0)*(('1 Scholarships'!$J$2:$J$60&lt;&gt;"Yes")+(L122="Yes")&gt;0)*((K122="")+ISNUMBER(SEARCH(","&amp;K122&amp;",",","&amp;SUBSTITUTE('1 Scholarships'!$P$2:$P$60," ","")&amp;","))&gt;0)))</f>
        <v/>
      </c>
      <c r="N122" s="20" t="str">
        <f aca="false">IF(OR(I122="",J122=""),"",SUMPRODUCT(MAX((CODE(I122)&lt;=CODE('1 Scholarships'!$G$2:$G$60))*('1 Scholarships'!$A$2:$A$60&lt;&gt;"")*(('1 Scholarships'!$H$2:$H$60="")+ISNUMBER(SEARCH(","&amp;J122&amp;",",","&amp;SUBSTITUTE('1 Scholarships'!$H$2:$H$60," ","")&amp;","))&gt;0)*(('1 Scholarships'!$J$2:$J$60&lt;&gt;"Yes")+(L122="Yes")&gt;0)*((K122="")+ISNUMBER(SEARCH(","&amp;K122&amp;",",","&amp;SUBSTITUTE('1 Scholarships'!$P$2:$P$60," ","")&amp;","))&gt;0)*'1 Scholarships'!$F$2:$F$60)))</f>
        <v/>
      </c>
      <c r="O122" s="18"/>
      <c r="P122" s="18"/>
      <c r="Q122" s="18"/>
      <c r="R122" s="19"/>
      <c r="S122" s="19"/>
      <c r="T122" s="18"/>
      <c r="U122" s="18"/>
      <c r="V122" s="18"/>
    </row>
    <row r="123" customFormat="false" ht="15" hidden="false" customHeight="false" outlineLevel="0" collapsed="false">
      <c r="A123" s="18"/>
      <c r="B123" s="19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4" t="str">
        <f aca="false">IF(OR(I123="",J123=""),"",SUMPRODUCT((CODE(I123)&lt;=CODE('1 Scholarships'!$G$2:$G$60))*('1 Scholarships'!$A$2:$A$60&lt;&gt;"")*(('1 Scholarships'!$H$2:$H$60="")+ISNUMBER(SEARCH(","&amp;J123&amp;",",","&amp;SUBSTITUTE('1 Scholarships'!$H$2:$H$60," ","")&amp;","))&gt;0)*(('1 Scholarships'!$J$2:$J$60&lt;&gt;"Yes")+(L123="Yes")&gt;0)*((K123="")+ISNUMBER(SEARCH(","&amp;K123&amp;",",","&amp;SUBSTITUTE('1 Scholarships'!$P$2:$P$60," ","")&amp;","))&gt;0)))</f>
        <v/>
      </c>
      <c r="N123" s="20" t="str">
        <f aca="false">IF(OR(I123="",J123=""),"",SUMPRODUCT(MAX((CODE(I123)&lt;=CODE('1 Scholarships'!$G$2:$G$60))*('1 Scholarships'!$A$2:$A$60&lt;&gt;"")*(('1 Scholarships'!$H$2:$H$60="")+ISNUMBER(SEARCH(","&amp;J123&amp;",",","&amp;SUBSTITUTE('1 Scholarships'!$H$2:$H$60," ","")&amp;","))&gt;0)*(('1 Scholarships'!$J$2:$J$60&lt;&gt;"Yes")+(L123="Yes")&gt;0)*((K123="")+ISNUMBER(SEARCH(","&amp;K123&amp;",",","&amp;SUBSTITUTE('1 Scholarships'!$P$2:$P$60," ","")&amp;","))&gt;0)*'1 Scholarships'!$F$2:$F$60)))</f>
        <v/>
      </c>
      <c r="O123" s="18"/>
      <c r="P123" s="18"/>
      <c r="Q123" s="18"/>
      <c r="R123" s="19"/>
      <c r="S123" s="19"/>
      <c r="T123" s="18"/>
      <c r="U123" s="18"/>
      <c r="V123" s="18"/>
    </row>
    <row r="124" customFormat="false" ht="15" hidden="false" customHeight="false" outlineLevel="0" collapsed="false">
      <c r="A124" s="18"/>
      <c r="B124" s="19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4" t="str">
        <f aca="false">IF(OR(I124="",J124=""),"",SUMPRODUCT((CODE(I124)&lt;=CODE('1 Scholarships'!$G$2:$G$60))*('1 Scholarships'!$A$2:$A$60&lt;&gt;"")*(('1 Scholarships'!$H$2:$H$60="")+ISNUMBER(SEARCH(","&amp;J124&amp;",",","&amp;SUBSTITUTE('1 Scholarships'!$H$2:$H$60," ","")&amp;","))&gt;0)*(('1 Scholarships'!$J$2:$J$60&lt;&gt;"Yes")+(L124="Yes")&gt;0)*((K124="")+ISNUMBER(SEARCH(","&amp;K124&amp;",",","&amp;SUBSTITUTE('1 Scholarships'!$P$2:$P$60," ","")&amp;","))&gt;0)))</f>
        <v/>
      </c>
      <c r="N124" s="20" t="str">
        <f aca="false">IF(OR(I124="",J124=""),"",SUMPRODUCT(MAX((CODE(I124)&lt;=CODE('1 Scholarships'!$G$2:$G$60))*('1 Scholarships'!$A$2:$A$60&lt;&gt;"")*(('1 Scholarships'!$H$2:$H$60="")+ISNUMBER(SEARCH(","&amp;J124&amp;",",","&amp;SUBSTITUTE('1 Scholarships'!$H$2:$H$60," ","")&amp;","))&gt;0)*(('1 Scholarships'!$J$2:$J$60&lt;&gt;"Yes")+(L124="Yes")&gt;0)*((K124="")+ISNUMBER(SEARCH(","&amp;K124&amp;",",","&amp;SUBSTITUTE('1 Scholarships'!$P$2:$P$60," ","")&amp;","))&gt;0)*'1 Scholarships'!$F$2:$F$60)))</f>
        <v/>
      </c>
      <c r="O124" s="18"/>
      <c r="P124" s="18"/>
      <c r="Q124" s="18"/>
      <c r="R124" s="19"/>
      <c r="S124" s="19"/>
      <c r="T124" s="18"/>
      <c r="U124" s="18"/>
      <c r="V124" s="18"/>
    </row>
    <row r="125" customFormat="false" ht="15" hidden="false" customHeight="false" outlineLevel="0" collapsed="false">
      <c r="A125" s="18"/>
      <c r="B125" s="19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4" t="str">
        <f aca="false">IF(OR(I125="",J125=""),"",SUMPRODUCT((CODE(I125)&lt;=CODE('1 Scholarships'!$G$2:$G$60))*('1 Scholarships'!$A$2:$A$60&lt;&gt;"")*(('1 Scholarships'!$H$2:$H$60="")+ISNUMBER(SEARCH(","&amp;J125&amp;",",","&amp;SUBSTITUTE('1 Scholarships'!$H$2:$H$60," ","")&amp;","))&gt;0)*(('1 Scholarships'!$J$2:$J$60&lt;&gt;"Yes")+(L125="Yes")&gt;0)*((K125="")+ISNUMBER(SEARCH(","&amp;K125&amp;",",","&amp;SUBSTITUTE('1 Scholarships'!$P$2:$P$60," ","")&amp;","))&gt;0)))</f>
        <v/>
      </c>
      <c r="N125" s="20" t="str">
        <f aca="false">IF(OR(I125="",J125=""),"",SUMPRODUCT(MAX((CODE(I125)&lt;=CODE('1 Scholarships'!$G$2:$G$60))*('1 Scholarships'!$A$2:$A$60&lt;&gt;"")*(('1 Scholarships'!$H$2:$H$60="")+ISNUMBER(SEARCH(","&amp;J125&amp;",",","&amp;SUBSTITUTE('1 Scholarships'!$H$2:$H$60," ","")&amp;","))&gt;0)*(('1 Scholarships'!$J$2:$J$60&lt;&gt;"Yes")+(L125="Yes")&gt;0)*((K125="")+ISNUMBER(SEARCH(","&amp;K125&amp;",",","&amp;SUBSTITUTE('1 Scholarships'!$P$2:$P$60," ","")&amp;","))&gt;0)*'1 Scholarships'!$F$2:$F$60)))</f>
        <v/>
      </c>
      <c r="O125" s="18"/>
      <c r="P125" s="18"/>
      <c r="Q125" s="18"/>
      <c r="R125" s="19"/>
      <c r="S125" s="19"/>
      <c r="T125" s="18"/>
      <c r="U125" s="18"/>
      <c r="V125" s="18"/>
    </row>
    <row r="126" customFormat="false" ht="15" hidden="false" customHeight="false" outlineLevel="0" collapsed="false">
      <c r="A126" s="18"/>
      <c r="B126" s="19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4" t="str">
        <f aca="false">IF(OR(I126="",J126=""),"",SUMPRODUCT((CODE(I126)&lt;=CODE('1 Scholarships'!$G$2:$G$60))*('1 Scholarships'!$A$2:$A$60&lt;&gt;"")*(('1 Scholarships'!$H$2:$H$60="")+ISNUMBER(SEARCH(","&amp;J126&amp;",",","&amp;SUBSTITUTE('1 Scholarships'!$H$2:$H$60," ","")&amp;","))&gt;0)*(('1 Scholarships'!$J$2:$J$60&lt;&gt;"Yes")+(L126="Yes")&gt;0)*((K126="")+ISNUMBER(SEARCH(","&amp;K126&amp;",",","&amp;SUBSTITUTE('1 Scholarships'!$P$2:$P$60," ","")&amp;","))&gt;0)))</f>
        <v/>
      </c>
      <c r="N126" s="20" t="str">
        <f aca="false">IF(OR(I126="",J126=""),"",SUMPRODUCT(MAX((CODE(I126)&lt;=CODE('1 Scholarships'!$G$2:$G$60))*('1 Scholarships'!$A$2:$A$60&lt;&gt;"")*(('1 Scholarships'!$H$2:$H$60="")+ISNUMBER(SEARCH(","&amp;J126&amp;",",","&amp;SUBSTITUTE('1 Scholarships'!$H$2:$H$60," ","")&amp;","))&gt;0)*(('1 Scholarships'!$J$2:$J$60&lt;&gt;"Yes")+(L126="Yes")&gt;0)*((K126="")+ISNUMBER(SEARCH(","&amp;K126&amp;",",","&amp;SUBSTITUTE('1 Scholarships'!$P$2:$P$60," ","")&amp;","))&gt;0)*'1 Scholarships'!$F$2:$F$60)))</f>
        <v/>
      </c>
      <c r="O126" s="18"/>
      <c r="P126" s="18"/>
      <c r="Q126" s="18"/>
      <c r="R126" s="19"/>
      <c r="S126" s="19"/>
      <c r="T126" s="18"/>
      <c r="U126" s="18"/>
      <c r="V126" s="18"/>
    </row>
    <row r="127" customFormat="false" ht="15" hidden="false" customHeight="false" outlineLevel="0" collapsed="false">
      <c r="A127" s="18"/>
      <c r="B127" s="19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4" t="str">
        <f aca="false">IF(OR(I127="",J127=""),"",SUMPRODUCT((CODE(I127)&lt;=CODE('1 Scholarships'!$G$2:$G$60))*('1 Scholarships'!$A$2:$A$60&lt;&gt;"")*(('1 Scholarships'!$H$2:$H$60="")+ISNUMBER(SEARCH(","&amp;J127&amp;",",","&amp;SUBSTITUTE('1 Scholarships'!$H$2:$H$60," ","")&amp;","))&gt;0)*(('1 Scholarships'!$J$2:$J$60&lt;&gt;"Yes")+(L127="Yes")&gt;0)*((K127="")+ISNUMBER(SEARCH(","&amp;K127&amp;",",","&amp;SUBSTITUTE('1 Scholarships'!$P$2:$P$60," ","")&amp;","))&gt;0)))</f>
        <v/>
      </c>
      <c r="N127" s="20" t="str">
        <f aca="false">IF(OR(I127="",J127=""),"",SUMPRODUCT(MAX((CODE(I127)&lt;=CODE('1 Scholarships'!$G$2:$G$60))*('1 Scholarships'!$A$2:$A$60&lt;&gt;"")*(('1 Scholarships'!$H$2:$H$60="")+ISNUMBER(SEARCH(","&amp;J127&amp;",",","&amp;SUBSTITUTE('1 Scholarships'!$H$2:$H$60," ","")&amp;","))&gt;0)*(('1 Scholarships'!$J$2:$J$60&lt;&gt;"Yes")+(L127="Yes")&gt;0)*((K127="")+ISNUMBER(SEARCH(","&amp;K127&amp;",",","&amp;SUBSTITUTE('1 Scholarships'!$P$2:$P$60," ","")&amp;","))&gt;0)*'1 Scholarships'!$F$2:$F$60)))</f>
        <v/>
      </c>
      <c r="O127" s="18"/>
      <c r="P127" s="18"/>
      <c r="Q127" s="18"/>
      <c r="R127" s="19"/>
      <c r="S127" s="19"/>
      <c r="T127" s="18"/>
      <c r="U127" s="18"/>
      <c r="V127" s="18"/>
    </row>
    <row r="128" customFormat="false" ht="15" hidden="false" customHeight="false" outlineLevel="0" collapsed="false">
      <c r="A128" s="18"/>
      <c r="B128" s="19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4" t="str">
        <f aca="false">IF(OR(I128="",J128=""),"",SUMPRODUCT((CODE(I128)&lt;=CODE('1 Scholarships'!$G$2:$G$60))*('1 Scholarships'!$A$2:$A$60&lt;&gt;"")*(('1 Scholarships'!$H$2:$H$60="")+ISNUMBER(SEARCH(","&amp;J128&amp;",",","&amp;SUBSTITUTE('1 Scholarships'!$H$2:$H$60," ","")&amp;","))&gt;0)*(('1 Scholarships'!$J$2:$J$60&lt;&gt;"Yes")+(L128="Yes")&gt;0)*((K128="")+ISNUMBER(SEARCH(","&amp;K128&amp;",",","&amp;SUBSTITUTE('1 Scholarships'!$P$2:$P$60," ","")&amp;","))&gt;0)))</f>
        <v/>
      </c>
      <c r="N128" s="20" t="str">
        <f aca="false">IF(OR(I128="",J128=""),"",SUMPRODUCT(MAX((CODE(I128)&lt;=CODE('1 Scholarships'!$G$2:$G$60))*('1 Scholarships'!$A$2:$A$60&lt;&gt;"")*(('1 Scholarships'!$H$2:$H$60="")+ISNUMBER(SEARCH(","&amp;J128&amp;",",","&amp;SUBSTITUTE('1 Scholarships'!$H$2:$H$60," ","")&amp;","))&gt;0)*(('1 Scholarships'!$J$2:$J$60&lt;&gt;"Yes")+(L128="Yes")&gt;0)*((K128="")+ISNUMBER(SEARCH(","&amp;K128&amp;",",","&amp;SUBSTITUTE('1 Scholarships'!$P$2:$P$60," ","")&amp;","))&gt;0)*'1 Scholarships'!$F$2:$F$60)))</f>
        <v/>
      </c>
      <c r="O128" s="18"/>
      <c r="P128" s="18"/>
      <c r="Q128" s="18"/>
      <c r="R128" s="19"/>
      <c r="S128" s="19"/>
      <c r="T128" s="18"/>
      <c r="U128" s="18"/>
      <c r="V128" s="18"/>
    </row>
    <row r="129" customFormat="false" ht="15" hidden="false" customHeight="false" outlineLevel="0" collapsed="false">
      <c r="A129" s="18"/>
      <c r="B129" s="19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4" t="str">
        <f aca="false">IF(OR(I129="",J129=""),"",SUMPRODUCT((CODE(I129)&lt;=CODE('1 Scholarships'!$G$2:$G$60))*('1 Scholarships'!$A$2:$A$60&lt;&gt;"")*(('1 Scholarships'!$H$2:$H$60="")+ISNUMBER(SEARCH(","&amp;J129&amp;",",","&amp;SUBSTITUTE('1 Scholarships'!$H$2:$H$60," ","")&amp;","))&gt;0)*(('1 Scholarships'!$J$2:$J$60&lt;&gt;"Yes")+(L129="Yes")&gt;0)*((K129="")+ISNUMBER(SEARCH(","&amp;K129&amp;",",","&amp;SUBSTITUTE('1 Scholarships'!$P$2:$P$60," ","")&amp;","))&gt;0)))</f>
        <v/>
      </c>
      <c r="N129" s="20" t="str">
        <f aca="false">IF(OR(I129="",J129=""),"",SUMPRODUCT(MAX((CODE(I129)&lt;=CODE('1 Scholarships'!$G$2:$G$60))*('1 Scholarships'!$A$2:$A$60&lt;&gt;"")*(('1 Scholarships'!$H$2:$H$60="")+ISNUMBER(SEARCH(","&amp;J129&amp;",",","&amp;SUBSTITUTE('1 Scholarships'!$H$2:$H$60," ","")&amp;","))&gt;0)*(('1 Scholarships'!$J$2:$J$60&lt;&gt;"Yes")+(L129="Yes")&gt;0)*((K129="")+ISNUMBER(SEARCH(","&amp;K129&amp;",",","&amp;SUBSTITUTE('1 Scholarships'!$P$2:$P$60," ","")&amp;","))&gt;0)*'1 Scholarships'!$F$2:$F$60)))</f>
        <v/>
      </c>
      <c r="O129" s="18"/>
      <c r="P129" s="18"/>
      <c r="Q129" s="18"/>
      <c r="R129" s="19"/>
      <c r="S129" s="19"/>
      <c r="T129" s="18"/>
      <c r="U129" s="18"/>
      <c r="V129" s="18"/>
    </row>
    <row r="130" customFormat="false" ht="15" hidden="false" customHeight="false" outlineLevel="0" collapsed="false">
      <c r="A130" s="18"/>
      <c r="B130" s="19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4" t="str">
        <f aca="false">IF(OR(I130="",J130=""),"",SUMPRODUCT((CODE(I130)&lt;=CODE('1 Scholarships'!$G$2:$G$60))*('1 Scholarships'!$A$2:$A$60&lt;&gt;"")*(('1 Scholarships'!$H$2:$H$60="")+ISNUMBER(SEARCH(","&amp;J130&amp;",",","&amp;SUBSTITUTE('1 Scholarships'!$H$2:$H$60," ","")&amp;","))&gt;0)*(('1 Scholarships'!$J$2:$J$60&lt;&gt;"Yes")+(L130="Yes")&gt;0)*((K130="")+ISNUMBER(SEARCH(","&amp;K130&amp;",",","&amp;SUBSTITUTE('1 Scholarships'!$P$2:$P$60," ","")&amp;","))&gt;0)))</f>
        <v/>
      </c>
      <c r="N130" s="20" t="str">
        <f aca="false">IF(OR(I130="",J130=""),"",SUMPRODUCT(MAX((CODE(I130)&lt;=CODE('1 Scholarships'!$G$2:$G$60))*('1 Scholarships'!$A$2:$A$60&lt;&gt;"")*(('1 Scholarships'!$H$2:$H$60="")+ISNUMBER(SEARCH(","&amp;J130&amp;",",","&amp;SUBSTITUTE('1 Scholarships'!$H$2:$H$60," ","")&amp;","))&gt;0)*(('1 Scholarships'!$J$2:$J$60&lt;&gt;"Yes")+(L130="Yes")&gt;0)*((K130="")+ISNUMBER(SEARCH(","&amp;K130&amp;",",","&amp;SUBSTITUTE('1 Scholarships'!$P$2:$P$60," ","")&amp;","))&gt;0)*'1 Scholarships'!$F$2:$F$60)))</f>
        <v/>
      </c>
      <c r="O130" s="18"/>
      <c r="P130" s="18"/>
      <c r="Q130" s="18"/>
      <c r="R130" s="19"/>
      <c r="S130" s="19"/>
      <c r="T130" s="18"/>
      <c r="U130" s="18"/>
      <c r="V130" s="18"/>
    </row>
    <row r="131" customFormat="false" ht="15" hidden="false" customHeight="false" outlineLevel="0" collapsed="false">
      <c r="A131" s="18"/>
      <c r="B131" s="19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4" t="str">
        <f aca="false">IF(OR(I131="",J131=""),"",SUMPRODUCT((CODE(I131)&lt;=CODE('1 Scholarships'!$G$2:$G$60))*('1 Scholarships'!$A$2:$A$60&lt;&gt;"")*(('1 Scholarships'!$H$2:$H$60="")+ISNUMBER(SEARCH(","&amp;J131&amp;",",","&amp;SUBSTITUTE('1 Scholarships'!$H$2:$H$60," ","")&amp;","))&gt;0)*(('1 Scholarships'!$J$2:$J$60&lt;&gt;"Yes")+(L131="Yes")&gt;0)*((K131="")+ISNUMBER(SEARCH(","&amp;K131&amp;",",","&amp;SUBSTITUTE('1 Scholarships'!$P$2:$P$60," ","")&amp;","))&gt;0)))</f>
        <v/>
      </c>
      <c r="N131" s="20" t="str">
        <f aca="false">IF(OR(I131="",J131=""),"",SUMPRODUCT(MAX((CODE(I131)&lt;=CODE('1 Scholarships'!$G$2:$G$60))*('1 Scholarships'!$A$2:$A$60&lt;&gt;"")*(('1 Scholarships'!$H$2:$H$60="")+ISNUMBER(SEARCH(","&amp;J131&amp;",",","&amp;SUBSTITUTE('1 Scholarships'!$H$2:$H$60," ","")&amp;","))&gt;0)*(('1 Scholarships'!$J$2:$J$60&lt;&gt;"Yes")+(L131="Yes")&gt;0)*((K131="")+ISNUMBER(SEARCH(","&amp;K131&amp;",",","&amp;SUBSTITUTE('1 Scholarships'!$P$2:$P$60," ","")&amp;","))&gt;0)*'1 Scholarships'!$F$2:$F$60)))</f>
        <v/>
      </c>
      <c r="O131" s="18"/>
      <c r="P131" s="18"/>
      <c r="Q131" s="18"/>
      <c r="R131" s="19"/>
      <c r="S131" s="19"/>
      <c r="T131" s="18"/>
      <c r="U131" s="18"/>
      <c r="V131" s="18"/>
    </row>
    <row r="132" customFormat="false" ht="15" hidden="false" customHeight="false" outlineLevel="0" collapsed="false">
      <c r="A132" s="18"/>
      <c r="B132" s="19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4" t="str">
        <f aca="false">IF(OR(I132="",J132=""),"",SUMPRODUCT((CODE(I132)&lt;=CODE('1 Scholarships'!$G$2:$G$60))*('1 Scholarships'!$A$2:$A$60&lt;&gt;"")*(('1 Scholarships'!$H$2:$H$60="")+ISNUMBER(SEARCH(","&amp;J132&amp;",",","&amp;SUBSTITUTE('1 Scholarships'!$H$2:$H$60," ","")&amp;","))&gt;0)*(('1 Scholarships'!$J$2:$J$60&lt;&gt;"Yes")+(L132="Yes")&gt;0)*((K132="")+ISNUMBER(SEARCH(","&amp;K132&amp;",",","&amp;SUBSTITUTE('1 Scholarships'!$P$2:$P$60," ","")&amp;","))&gt;0)))</f>
        <v/>
      </c>
      <c r="N132" s="20" t="str">
        <f aca="false">IF(OR(I132="",J132=""),"",SUMPRODUCT(MAX((CODE(I132)&lt;=CODE('1 Scholarships'!$G$2:$G$60))*('1 Scholarships'!$A$2:$A$60&lt;&gt;"")*(('1 Scholarships'!$H$2:$H$60="")+ISNUMBER(SEARCH(","&amp;J132&amp;",",","&amp;SUBSTITUTE('1 Scholarships'!$H$2:$H$60," ","")&amp;","))&gt;0)*(('1 Scholarships'!$J$2:$J$60&lt;&gt;"Yes")+(L132="Yes")&gt;0)*((K132="")+ISNUMBER(SEARCH(","&amp;K132&amp;",",","&amp;SUBSTITUTE('1 Scholarships'!$P$2:$P$60," ","")&amp;","))&gt;0)*'1 Scholarships'!$F$2:$F$60)))</f>
        <v/>
      </c>
      <c r="O132" s="18"/>
      <c r="P132" s="18"/>
      <c r="Q132" s="18"/>
      <c r="R132" s="19"/>
      <c r="S132" s="19"/>
      <c r="T132" s="18"/>
      <c r="U132" s="18"/>
      <c r="V132" s="18"/>
    </row>
    <row r="133" customFormat="false" ht="15" hidden="false" customHeight="false" outlineLevel="0" collapsed="false">
      <c r="A133" s="18"/>
      <c r="B133" s="19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4" t="str">
        <f aca="false">IF(OR(I133="",J133=""),"",SUMPRODUCT((CODE(I133)&lt;=CODE('1 Scholarships'!$G$2:$G$60))*('1 Scholarships'!$A$2:$A$60&lt;&gt;"")*(('1 Scholarships'!$H$2:$H$60="")+ISNUMBER(SEARCH(","&amp;J133&amp;",",","&amp;SUBSTITUTE('1 Scholarships'!$H$2:$H$60," ","")&amp;","))&gt;0)*(('1 Scholarships'!$J$2:$J$60&lt;&gt;"Yes")+(L133="Yes")&gt;0)*((K133="")+ISNUMBER(SEARCH(","&amp;K133&amp;",",","&amp;SUBSTITUTE('1 Scholarships'!$P$2:$P$60," ","")&amp;","))&gt;0)))</f>
        <v/>
      </c>
      <c r="N133" s="20" t="str">
        <f aca="false">IF(OR(I133="",J133=""),"",SUMPRODUCT(MAX((CODE(I133)&lt;=CODE('1 Scholarships'!$G$2:$G$60))*('1 Scholarships'!$A$2:$A$60&lt;&gt;"")*(('1 Scholarships'!$H$2:$H$60="")+ISNUMBER(SEARCH(","&amp;J133&amp;",",","&amp;SUBSTITUTE('1 Scholarships'!$H$2:$H$60," ","")&amp;","))&gt;0)*(('1 Scholarships'!$J$2:$J$60&lt;&gt;"Yes")+(L133="Yes")&gt;0)*((K133="")+ISNUMBER(SEARCH(","&amp;K133&amp;",",","&amp;SUBSTITUTE('1 Scholarships'!$P$2:$P$60," ","")&amp;","))&gt;0)*'1 Scholarships'!$F$2:$F$60)))</f>
        <v/>
      </c>
      <c r="O133" s="18"/>
      <c r="P133" s="18"/>
      <c r="Q133" s="18"/>
      <c r="R133" s="19"/>
      <c r="S133" s="19"/>
      <c r="T133" s="18"/>
      <c r="U133" s="18"/>
      <c r="V133" s="18"/>
    </row>
    <row r="134" customFormat="false" ht="15" hidden="false" customHeight="false" outlineLevel="0" collapsed="false">
      <c r="A134" s="18"/>
      <c r="B134" s="19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4" t="str">
        <f aca="false">IF(OR(I134="",J134=""),"",SUMPRODUCT((CODE(I134)&lt;=CODE('1 Scholarships'!$G$2:$G$60))*('1 Scholarships'!$A$2:$A$60&lt;&gt;"")*(('1 Scholarships'!$H$2:$H$60="")+ISNUMBER(SEARCH(","&amp;J134&amp;",",","&amp;SUBSTITUTE('1 Scholarships'!$H$2:$H$60," ","")&amp;","))&gt;0)*(('1 Scholarships'!$J$2:$J$60&lt;&gt;"Yes")+(L134="Yes")&gt;0)*((K134="")+ISNUMBER(SEARCH(","&amp;K134&amp;",",","&amp;SUBSTITUTE('1 Scholarships'!$P$2:$P$60," ","")&amp;","))&gt;0)))</f>
        <v/>
      </c>
      <c r="N134" s="20" t="str">
        <f aca="false">IF(OR(I134="",J134=""),"",SUMPRODUCT(MAX((CODE(I134)&lt;=CODE('1 Scholarships'!$G$2:$G$60))*('1 Scholarships'!$A$2:$A$60&lt;&gt;"")*(('1 Scholarships'!$H$2:$H$60="")+ISNUMBER(SEARCH(","&amp;J134&amp;",",","&amp;SUBSTITUTE('1 Scholarships'!$H$2:$H$60," ","")&amp;","))&gt;0)*(('1 Scholarships'!$J$2:$J$60&lt;&gt;"Yes")+(L134="Yes")&gt;0)*((K134="")+ISNUMBER(SEARCH(","&amp;K134&amp;",",","&amp;SUBSTITUTE('1 Scholarships'!$P$2:$P$60," ","")&amp;","))&gt;0)*'1 Scholarships'!$F$2:$F$60)))</f>
        <v/>
      </c>
      <c r="O134" s="18"/>
      <c r="P134" s="18"/>
      <c r="Q134" s="18"/>
      <c r="R134" s="19"/>
      <c r="S134" s="19"/>
      <c r="T134" s="18"/>
      <c r="U134" s="18"/>
      <c r="V134" s="18"/>
    </row>
    <row r="135" customFormat="false" ht="15" hidden="false" customHeight="false" outlineLevel="0" collapsed="false">
      <c r="A135" s="18"/>
      <c r="B135" s="19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4" t="str">
        <f aca="false">IF(OR(I135="",J135=""),"",SUMPRODUCT((CODE(I135)&lt;=CODE('1 Scholarships'!$G$2:$G$60))*('1 Scholarships'!$A$2:$A$60&lt;&gt;"")*(('1 Scholarships'!$H$2:$H$60="")+ISNUMBER(SEARCH(","&amp;J135&amp;",",","&amp;SUBSTITUTE('1 Scholarships'!$H$2:$H$60," ","")&amp;","))&gt;0)*(('1 Scholarships'!$J$2:$J$60&lt;&gt;"Yes")+(L135="Yes")&gt;0)*((K135="")+ISNUMBER(SEARCH(","&amp;K135&amp;",",","&amp;SUBSTITUTE('1 Scholarships'!$P$2:$P$60," ","")&amp;","))&gt;0)))</f>
        <v/>
      </c>
      <c r="N135" s="20" t="str">
        <f aca="false">IF(OR(I135="",J135=""),"",SUMPRODUCT(MAX((CODE(I135)&lt;=CODE('1 Scholarships'!$G$2:$G$60))*('1 Scholarships'!$A$2:$A$60&lt;&gt;"")*(('1 Scholarships'!$H$2:$H$60="")+ISNUMBER(SEARCH(","&amp;J135&amp;",",","&amp;SUBSTITUTE('1 Scholarships'!$H$2:$H$60," ","")&amp;","))&gt;0)*(('1 Scholarships'!$J$2:$J$60&lt;&gt;"Yes")+(L135="Yes")&gt;0)*((K135="")+ISNUMBER(SEARCH(","&amp;K135&amp;",",","&amp;SUBSTITUTE('1 Scholarships'!$P$2:$P$60," ","")&amp;","))&gt;0)*'1 Scholarships'!$F$2:$F$60)))</f>
        <v/>
      </c>
      <c r="O135" s="18"/>
      <c r="P135" s="18"/>
      <c r="Q135" s="18"/>
      <c r="R135" s="19"/>
      <c r="S135" s="19"/>
      <c r="T135" s="18"/>
      <c r="U135" s="18"/>
      <c r="V135" s="18"/>
    </row>
    <row r="136" customFormat="false" ht="15" hidden="false" customHeight="false" outlineLevel="0" collapsed="false">
      <c r="A136" s="18"/>
      <c r="B136" s="19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4" t="str">
        <f aca="false">IF(OR(I136="",J136=""),"",SUMPRODUCT((CODE(I136)&lt;=CODE('1 Scholarships'!$G$2:$G$60))*('1 Scholarships'!$A$2:$A$60&lt;&gt;"")*(('1 Scholarships'!$H$2:$H$60="")+ISNUMBER(SEARCH(","&amp;J136&amp;",",","&amp;SUBSTITUTE('1 Scholarships'!$H$2:$H$60," ","")&amp;","))&gt;0)*(('1 Scholarships'!$J$2:$J$60&lt;&gt;"Yes")+(L136="Yes")&gt;0)*((K136="")+ISNUMBER(SEARCH(","&amp;K136&amp;",",","&amp;SUBSTITUTE('1 Scholarships'!$P$2:$P$60," ","")&amp;","))&gt;0)))</f>
        <v/>
      </c>
      <c r="N136" s="20" t="str">
        <f aca="false">IF(OR(I136="",J136=""),"",SUMPRODUCT(MAX((CODE(I136)&lt;=CODE('1 Scholarships'!$G$2:$G$60))*('1 Scholarships'!$A$2:$A$60&lt;&gt;"")*(('1 Scholarships'!$H$2:$H$60="")+ISNUMBER(SEARCH(","&amp;J136&amp;",",","&amp;SUBSTITUTE('1 Scholarships'!$H$2:$H$60," ","")&amp;","))&gt;0)*(('1 Scholarships'!$J$2:$J$60&lt;&gt;"Yes")+(L136="Yes")&gt;0)*((K136="")+ISNUMBER(SEARCH(","&amp;K136&amp;",",","&amp;SUBSTITUTE('1 Scholarships'!$P$2:$P$60," ","")&amp;","))&gt;0)*'1 Scholarships'!$F$2:$F$60)))</f>
        <v/>
      </c>
      <c r="O136" s="18"/>
      <c r="P136" s="18"/>
      <c r="Q136" s="18"/>
      <c r="R136" s="19"/>
      <c r="S136" s="19"/>
      <c r="T136" s="18"/>
      <c r="U136" s="18"/>
      <c r="V136" s="18"/>
    </row>
    <row r="137" customFormat="false" ht="15" hidden="false" customHeight="false" outlineLevel="0" collapsed="false">
      <c r="A137" s="18"/>
      <c r="B137" s="19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4" t="str">
        <f aca="false">IF(OR(I137="",J137=""),"",SUMPRODUCT((CODE(I137)&lt;=CODE('1 Scholarships'!$G$2:$G$60))*('1 Scholarships'!$A$2:$A$60&lt;&gt;"")*(('1 Scholarships'!$H$2:$H$60="")+ISNUMBER(SEARCH(","&amp;J137&amp;",",","&amp;SUBSTITUTE('1 Scholarships'!$H$2:$H$60," ","")&amp;","))&gt;0)*(('1 Scholarships'!$J$2:$J$60&lt;&gt;"Yes")+(L137="Yes")&gt;0)*((K137="")+ISNUMBER(SEARCH(","&amp;K137&amp;",",","&amp;SUBSTITUTE('1 Scholarships'!$P$2:$P$60," ","")&amp;","))&gt;0)))</f>
        <v/>
      </c>
      <c r="N137" s="20" t="str">
        <f aca="false">IF(OR(I137="",J137=""),"",SUMPRODUCT(MAX((CODE(I137)&lt;=CODE('1 Scholarships'!$G$2:$G$60))*('1 Scholarships'!$A$2:$A$60&lt;&gt;"")*(('1 Scholarships'!$H$2:$H$60="")+ISNUMBER(SEARCH(","&amp;J137&amp;",",","&amp;SUBSTITUTE('1 Scholarships'!$H$2:$H$60," ","")&amp;","))&gt;0)*(('1 Scholarships'!$J$2:$J$60&lt;&gt;"Yes")+(L137="Yes")&gt;0)*((K137="")+ISNUMBER(SEARCH(","&amp;K137&amp;",",","&amp;SUBSTITUTE('1 Scholarships'!$P$2:$P$60," ","")&amp;","))&gt;0)*'1 Scholarships'!$F$2:$F$60)))</f>
        <v/>
      </c>
      <c r="O137" s="18"/>
      <c r="P137" s="18"/>
      <c r="Q137" s="18"/>
      <c r="R137" s="19"/>
      <c r="S137" s="19"/>
      <c r="T137" s="18"/>
      <c r="U137" s="18"/>
      <c r="V137" s="18"/>
    </row>
    <row r="138" customFormat="false" ht="15" hidden="false" customHeight="false" outlineLevel="0" collapsed="false">
      <c r="A138" s="18"/>
      <c r="B138" s="19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4" t="str">
        <f aca="false">IF(OR(I138="",J138=""),"",SUMPRODUCT((CODE(I138)&lt;=CODE('1 Scholarships'!$G$2:$G$60))*('1 Scholarships'!$A$2:$A$60&lt;&gt;"")*(('1 Scholarships'!$H$2:$H$60="")+ISNUMBER(SEARCH(","&amp;J138&amp;",",","&amp;SUBSTITUTE('1 Scholarships'!$H$2:$H$60," ","")&amp;","))&gt;0)*(('1 Scholarships'!$J$2:$J$60&lt;&gt;"Yes")+(L138="Yes")&gt;0)*((K138="")+ISNUMBER(SEARCH(","&amp;K138&amp;",",","&amp;SUBSTITUTE('1 Scholarships'!$P$2:$P$60," ","")&amp;","))&gt;0)))</f>
        <v/>
      </c>
      <c r="N138" s="20" t="str">
        <f aca="false">IF(OR(I138="",J138=""),"",SUMPRODUCT(MAX((CODE(I138)&lt;=CODE('1 Scholarships'!$G$2:$G$60))*('1 Scholarships'!$A$2:$A$60&lt;&gt;"")*(('1 Scholarships'!$H$2:$H$60="")+ISNUMBER(SEARCH(","&amp;J138&amp;",",","&amp;SUBSTITUTE('1 Scholarships'!$H$2:$H$60," ","")&amp;","))&gt;0)*(('1 Scholarships'!$J$2:$J$60&lt;&gt;"Yes")+(L138="Yes")&gt;0)*((K138="")+ISNUMBER(SEARCH(","&amp;K138&amp;",",","&amp;SUBSTITUTE('1 Scholarships'!$P$2:$P$60," ","")&amp;","))&gt;0)*'1 Scholarships'!$F$2:$F$60)))</f>
        <v/>
      </c>
      <c r="O138" s="18"/>
      <c r="P138" s="18"/>
      <c r="Q138" s="18"/>
      <c r="R138" s="19"/>
      <c r="S138" s="19"/>
      <c r="T138" s="18"/>
      <c r="U138" s="18"/>
      <c r="V138" s="18"/>
    </row>
    <row r="139" customFormat="false" ht="15" hidden="false" customHeight="false" outlineLevel="0" collapsed="false">
      <c r="A139" s="18"/>
      <c r="B139" s="19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4" t="str">
        <f aca="false">IF(OR(I139="",J139=""),"",SUMPRODUCT((CODE(I139)&lt;=CODE('1 Scholarships'!$G$2:$G$60))*('1 Scholarships'!$A$2:$A$60&lt;&gt;"")*(('1 Scholarships'!$H$2:$H$60="")+ISNUMBER(SEARCH(","&amp;J139&amp;",",","&amp;SUBSTITUTE('1 Scholarships'!$H$2:$H$60," ","")&amp;","))&gt;0)*(('1 Scholarships'!$J$2:$J$60&lt;&gt;"Yes")+(L139="Yes")&gt;0)*((K139="")+ISNUMBER(SEARCH(","&amp;K139&amp;",",","&amp;SUBSTITUTE('1 Scholarships'!$P$2:$P$60," ","")&amp;","))&gt;0)))</f>
        <v/>
      </c>
      <c r="N139" s="20" t="str">
        <f aca="false">IF(OR(I139="",J139=""),"",SUMPRODUCT(MAX((CODE(I139)&lt;=CODE('1 Scholarships'!$G$2:$G$60))*('1 Scholarships'!$A$2:$A$60&lt;&gt;"")*(('1 Scholarships'!$H$2:$H$60="")+ISNUMBER(SEARCH(","&amp;J139&amp;",",","&amp;SUBSTITUTE('1 Scholarships'!$H$2:$H$60," ","")&amp;","))&gt;0)*(('1 Scholarships'!$J$2:$J$60&lt;&gt;"Yes")+(L139="Yes")&gt;0)*((K139="")+ISNUMBER(SEARCH(","&amp;K139&amp;",",","&amp;SUBSTITUTE('1 Scholarships'!$P$2:$P$60," ","")&amp;","))&gt;0)*'1 Scholarships'!$F$2:$F$60)))</f>
        <v/>
      </c>
      <c r="O139" s="18"/>
      <c r="P139" s="18"/>
      <c r="Q139" s="18"/>
      <c r="R139" s="19"/>
      <c r="S139" s="19"/>
      <c r="T139" s="18"/>
      <c r="U139" s="18"/>
      <c r="V139" s="18"/>
    </row>
    <row r="140" customFormat="false" ht="15" hidden="false" customHeight="false" outlineLevel="0" collapsed="false">
      <c r="A140" s="18"/>
      <c r="B140" s="19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4" t="str">
        <f aca="false">IF(OR(I140="",J140=""),"",SUMPRODUCT((CODE(I140)&lt;=CODE('1 Scholarships'!$G$2:$G$60))*('1 Scholarships'!$A$2:$A$60&lt;&gt;"")*(('1 Scholarships'!$H$2:$H$60="")+ISNUMBER(SEARCH(","&amp;J140&amp;",",","&amp;SUBSTITUTE('1 Scholarships'!$H$2:$H$60," ","")&amp;","))&gt;0)*(('1 Scholarships'!$J$2:$J$60&lt;&gt;"Yes")+(L140="Yes")&gt;0)*((K140="")+ISNUMBER(SEARCH(","&amp;K140&amp;",",","&amp;SUBSTITUTE('1 Scholarships'!$P$2:$P$60," ","")&amp;","))&gt;0)))</f>
        <v/>
      </c>
      <c r="N140" s="20" t="str">
        <f aca="false">IF(OR(I140="",J140=""),"",SUMPRODUCT(MAX((CODE(I140)&lt;=CODE('1 Scholarships'!$G$2:$G$60))*('1 Scholarships'!$A$2:$A$60&lt;&gt;"")*(('1 Scholarships'!$H$2:$H$60="")+ISNUMBER(SEARCH(","&amp;J140&amp;",",","&amp;SUBSTITUTE('1 Scholarships'!$H$2:$H$60," ","")&amp;","))&gt;0)*(('1 Scholarships'!$J$2:$J$60&lt;&gt;"Yes")+(L140="Yes")&gt;0)*((K140="")+ISNUMBER(SEARCH(","&amp;K140&amp;",",","&amp;SUBSTITUTE('1 Scholarships'!$P$2:$P$60," ","")&amp;","))&gt;0)*'1 Scholarships'!$F$2:$F$60)))</f>
        <v/>
      </c>
      <c r="O140" s="18"/>
      <c r="P140" s="18"/>
      <c r="Q140" s="18"/>
      <c r="R140" s="19"/>
      <c r="S140" s="19"/>
      <c r="T140" s="18"/>
      <c r="U140" s="18"/>
      <c r="V140" s="18"/>
    </row>
    <row r="141" customFormat="false" ht="15" hidden="false" customHeight="false" outlineLevel="0" collapsed="false">
      <c r="A141" s="18"/>
      <c r="B141" s="19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4" t="str">
        <f aca="false">IF(OR(I141="",J141=""),"",SUMPRODUCT((CODE(I141)&lt;=CODE('1 Scholarships'!$G$2:$G$60))*('1 Scholarships'!$A$2:$A$60&lt;&gt;"")*(('1 Scholarships'!$H$2:$H$60="")+ISNUMBER(SEARCH(","&amp;J141&amp;",",","&amp;SUBSTITUTE('1 Scholarships'!$H$2:$H$60," ","")&amp;","))&gt;0)*(('1 Scholarships'!$J$2:$J$60&lt;&gt;"Yes")+(L141="Yes")&gt;0)*((K141="")+ISNUMBER(SEARCH(","&amp;K141&amp;",",","&amp;SUBSTITUTE('1 Scholarships'!$P$2:$P$60," ","")&amp;","))&gt;0)))</f>
        <v/>
      </c>
      <c r="N141" s="20" t="str">
        <f aca="false">IF(OR(I141="",J141=""),"",SUMPRODUCT(MAX((CODE(I141)&lt;=CODE('1 Scholarships'!$G$2:$G$60))*('1 Scholarships'!$A$2:$A$60&lt;&gt;"")*(('1 Scholarships'!$H$2:$H$60="")+ISNUMBER(SEARCH(","&amp;J141&amp;",",","&amp;SUBSTITUTE('1 Scholarships'!$H$2:$H$60," ","")&amp;","))&gt;0)*(('1 Scholarships'!$J$2:$J$60&lt;&gt;"Yes")+(L141="Yes")&gt;0)*((K141="")+ISNUMBER(SEARCH(","&amp;K141&amp;",",","&amp;SUBSTITUTE('1 Scholarships'!$P$2:$P$60," ","")&amp;","))&gt;0)*'1 Scholarships'!$F$2:$F$60)))</f>
        <v/>
      </c>
      <c r="O141" s="18"/>
      <c r="P141" s="18"/>
      <c r="Q141" s="18"/>
      <c r="R141" s="19"/>
      <c r="S141" s="19"/>
      <c r="T141" s="18"/>
      <c r="U141" s="18"/>
      <c r="V141" s="18"/>
    </row>
    <row r="142" customFormat="false" ht="15" hidden="false" customHeight="false" outlineLevel="0" collapsed="false">
      <c r="A142" s="18"/>
      <c r="B142" s="19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4" t="str">
        <f aca="false">IF(OR(I142="",J142=""),"",SUMPRODUCT((CODE(I142)&lt;=CODE('1 Scholarships'!$G$2:$G$60))*('1 Scholarships'!$A$2:$A$60&lt;&gt;"")*(('1 Scholarships'!$H$2:$H$60="")+ISNUMBER(SEARCH(","&amp;J142&amp;",",","&amp;SUBSTITUTE('1 Scholarships'!$H$2:$H$60," ","")&amp;","))&gt;0)*(('1 Scholarships'!$J$2:$J$60&lt;&gt;"Yes")+(L142="Yes")&gt;0)*((K142="")+ISNUMBER(SEARCH(","&amp;K142&amp;",",","&amp;SUBSTITUTE('1 Scholarships'!$P$2:$P$60," ","")&amp;","))&gt;0)))</f>
        <v/>
      </c>
      <c r="N142" s="20" t="str">
        <f aca="false">IF(OR(I142="",J142=""),"",SUMPRODUCT(MAX((CODE(I142)&lt;=CODE('1 Scholarships'!$G$2:$G$60))*('1 Scholarships'!$A$2:$A$60&lt;&gt;"")*(('1 Scholarships'!$H$2:$H$60="")+ISNUMBER(SEARCH(","&amp;J142&amp;",",","&amp;SUBSTITUTE('1 Scholarships'!$H$2:$H$60," ","")&amp;","))&gt;0)*(('1 Scholarships'!$J$2:$J$60&lt;&gt;"Yes")+(L142="Yes")&gt;0)*((K142="")+ISNUMBER(SEARCH(","&amp;K142&amp;",",","&amp;SUBSTITUTE('1 Scholarships'!$P$2:$P$60," ","")&amp;","))&gt;0)*'1 Scholarships'!$F$2:$F$60)))</f>
        <v/>
      </c>
      <c r="O142" s="18"/>
      <c r="P142" s="18"/>
      <c r="Q142" s="18"/>
      <c r="R142" s="19"/>
      <c r="S142" s="19"/>
      <c r="T142" s="18"/>
      <c r="U142" s="18"/>
      <c r="V142" s="18"/>
    </row>
    <row r="143" customFormat="false" ht="15" hidden="false" customHeight="false" outlineLevel="0" collapsed="false">
      <c r="A143" s="18"/>
      <c r="B143" s="19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4" t="str">
        <f aca="false">IF(OR(I143="",J143=""),"",SUMPRODUCT((CODE(I143)&lt;=CODE('1 Scholarships'!$G$2:$G$60))*('1 Scholarships'!$A$2:$A$60&lt;&gt;"")*(('1 Scholarships'!$H$2:$H$60="")+ISNUMBER(SEARCH(","&amp;J143&amp;",",","&amp;SUBSTITUTE('1 Scholarships'!$H$2:$H$60," ","")&amp;","))&gt;0)*(('1 Scholarships'!$J$2:$J$60&lt;&gt;"Yes")+(L143="Yes")&gt;0)*((K143="")+ISNUMBER(SEARCH(","&amp;K143&amp;",",","&amp;SUBSTITUTE('1 Scholarships'!$P$2:$P$60," ","")&amp;","))&gt;0)))</f>
        <v/>
      </c>
      <c r="N143" s="20" t="str">
        <f aca="false">IF(OR(I143="",J143=""),"",SUMPRODUCT(MAX((CODE(I143)&lt;=CODE('1 Scholarships'!$G$2:$G$60))*('1 Scholarships'!$A$2:$A$60&lt;&gt;"")*(('1 Scholarships'!$H$2:$H$60="")+ISNUMBER(SEARCH(","&amp;J143&amp;",",","&amp;SUBSTITUTE('1 Scholarships'!$H$2:$H$60," ","")&amp;","))&gt;0)*(('1 Scholarships'!$J$2:$J$60&lt;&gt;"Yes")+(L143="Yes")&gt;0)*((K143="")+ISNUMBER(SEARCH(","&amp;K143&amp;",",","&amp;SUBSTITUTE('1 Scholarships'!$P$2:$P$60," ","")&amp;","))&gt;0)*'1 Scholarships'!$F$2:$F$60)))</f>
        <v/>
      </c>
      <c r="O143" s="18"/>
      <c r="P143" s="18"/>
      <c r="Q143" s="18"/>
      <c r="R143" s="19"/>
      <c r="S143" s="19"/>
      <c r="T143" s="18"/>
      <c r="U143" s="18"/>
      <c r="V143" s="18"/>
    </row>
    <row r="144" customFormat="false" ht="15" hidden="false" customHeight="false" outlineLevel="0" collapsed="false">
      <c r="A144" s="18"/>
      <c r="B144" s="19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4" t="str">
        <f aca="false">IF(OR(I144="",J144=""),"",SUMPRODUCT((CODE(I144)&lt;=CODE('1 Scholarships'!$G$2:$G$60))*('1 Scholarships'!$A$2:$A$60&lt;&gt;"")*(('1 Scholarships'!$H$2:$H$60="")+ISNUMBER(SEARCH(","&amp;J144&amp;",",","&amp;SUBSTITUTE('1 Scholarships'!$H$2:$H$60," ","")&amp;","))&gt;0)*(('1 Scholarships'!$J$2:$J$60&lt;&gt;"Yes")+(L144="Yes")&gt;0)*((K144="")+ISNUMBER(SEARCH(","&amp;K144&amp;",",","&amp;SUBSTITUTE('1 Scholarships'!$P$2:$P$60," ","")&amp;","))&gt;0)))</f>
        <v/>
      </c>
      <c r="N144" s="20" t="str">
        <f aca="false">IF(OR(I144="",J144=""),"",SUMPRODUCT(MAX((CODE(I144)&lt;=CODE('1 Scholarships'!$G$2:$G$60))*('1 Scholarships'!$A$2:$A$60&lt;&gt;"")*(('1 Scholarships'!$H$2:$H$60="")+ISNUMBER(SEARCH(","&amp;J144&amp;",",","&amp;SUBSTITUTE('1 Scholarships'!$H$2:$H$60," ","")&amp;","))&gt;0)*(('1 Scholarships'!$J$2:$J$60&lt;&gt;"Yes")+(L144="Yes")&gt;0)*((K144="")+ISNUMBER(SEARCH(","&amp;K144&amp;",",","&amp;SUBSTITUTE('1 Scholarships'!$P$2:$P$60," ","")&amp;","))&gt;0)*'1 Scholarships'!$F$2:$F$60)))</f>
        <v/>
      </c>
      <c r="O144" s="18"/>
      <c r="P144" s="18"/>
      <c r="Q144" s="18"/>
      <c r="R144" s="19"/>
      <c r="S144" s="19"/>
      <c r="T144" s="18"/>
      <c r="U144" s="18"/>
      <c r="V144" s="18"/>
    </row>
    <row r="145" customFormat="false" ht="15" hidden="false" customHeight="false" outlineLevel="0" collapsed="false">
      <c r="A145" s="18"/>
      <c r="B145" s="19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4" t="str">
        <f aca="false">IF(OR(I145="",J145=""),"",SUMPRODUCT((CODE(I145)&lt;=CODE('1 Scholarships'!$G$2:$G$60))*('1 Scholarships'!$A$2:$A$60&lt;&gt;"")*(('1 Scholarships'!$H$2:$H$60="")+ISNUMBER(SEARCH(","&amp;J145&amp;",",","&amp;SUBSTITUTE('1 Scholarships'!$H$2:$H$60," ","")&amp;","))&gt;0)*(('1 Scholarships'!$J$2:$J$60&lt;&gt;"Yes")+(L145="Yes")&gt;0)*((K145="")+ISNUMBER(SEARCH(","&amp;K145&amp;",",","&amp;SUBSTITUTE('1 Scholarships'!$P$2:$P$60," ","")&amp;","))&gt;0)))</f>
        <v/>
      </c>
      <c r="N145" s="20" t="str">
        <f aca="false">IF(OR(I145="",J145=""),"",SUMPRODUCT(MAX((CODE(I145)&lt;=CODE('1 Scholarships'!$G$2:$G$60))*('1 Scholarships'!$A$2:$A$60&lt;&gt;"")*(('1 Scholarships'!$H$2:$H$60="")+ISNUMBER(SEARCH(","&amp;J145&amp;",",","&amp;SUBSTITUTE('1 Scholarships'!$H$2:$H$60," ","")&amp;","))&gt;0)*(('1 Scholarships'!$J$2:$J$60&lt;&gt;"Yes")+(L145="Yes")&gt;0)*((K145="")+ISNUMBER(SEARCH(","&amp;K145&amp;",",","&amp;SUBSTITUTE('1 Scholarships'!$P$2:$P$60," ","")&amp;","))&gt;0)*'1 Scholarships'!$F$2:$F$60)))</f>
        <v/>
      </c>
      <c r="O145" s="18"/>
      <c r="P145" s="18"/>
      <c r="Q145" s="18"/>
      <c r="R145" s="19"/>
      <c r="S145" s="19"/>
      <c r="T145" s="18"/>
      <c r="U145" s="18"/>
      <c r="V145" s="18"/>
    </row>
    <row r="146" customFormat="false" ht="15" hidden="false" customHeight="false" outlineLevel="0" collapsed="false">
      <c r="A146" s="18"/>
      <c r="B146" s="19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4" t="str">
        <f aca="false">IF(OR(I146="",J146=""),"",SUMPRODUCT((CODE(I146)&lt;=CODE('1 Scholarships'!$G$2:$G$60))*('1 Scholarships'!$A$2:$A$60&lt;&gt;"")*(('1 Scholarships'!$H$2:$H$60="")+ISNUMBER(SEARCH(","&amp;J146&amp;",",","&amp;SUBSTITUTE('1 Scholarships'!$H$2:$H$60," ","")&amp;","))&gt;0)*(('1 Scholarships'!$J$2:$J$60&lt;&gt;"Yes")+(L146="Yes")&gt;0)*((K146="")+ISNUMBER(SEARCH(","&amp;K146&amp;",",","&amp;SUBSTITUTE('1 Scholarships'!$P$2:$P$60," ","")&amp;","))&gt;0)))</f>
        <v/>
      </c>
      <c r="N146" s="20" t="str">
        <f aca="false">IF(OR(I146="",J146=""),"",SUMPRODUCT(MAX((CODE(I146)&lt;=CODE('1 Scholarships'!$G$2:$G$60))*('1 Scholarships'!$A$2:$A$60&lt;&gt;"")*(('1 Scholarships'!$H$2:$H$60="")+ISNUMBER(SEARCH(","&amp;J146&amp;",",","&amp;SUBSTITUTE('1 Scholarships'!$H$2:$H$60," ","")&amp;","))&gt;0)*(('1 Scholarships'!$J$2:$J$60&lt;&gt;"Yes")+(L146="Yes")&gt;0)*((K146="")+ISNUMBER(SEARCH(","&amp;K146&amp;",",","&amp;SUBSTITUTE('1 Scholarships'!$P$2:$P$60," ","")&amp;","))&gt;0)*'1 Scholarships'!$F$2:$F$60)))</f>
        <v/>
      </c>
      <c r="O146" s="18"/>
      <c r="P146" s="18"/>
      <c r="Q146" s="18"/>
      <c r="R146" s="19"/>
      <c r="S146" s="19"/>
      <c r="T146" s="18"/>
      <c r="U146" s="18"/>
      <c r="V146" s="18"/>
    </row>
    <row r="147" customFormat="false" ht="15" hidden="false" customHeight="false" outlineLevel="0" collapsed="false">
      <c r="A147" s="18"/>
      <c r="B147" s="19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4" t="str">
        <f aca="false">IF(OR(I147="",J147=""),"",SUMPRODUCT((CODE(I147)&lt;=CODE('1 Scholarships'!$G$2:$G$60))*('1 Scholarships'!$A$2:$A$60&lt;&gt;"")*(('1 Scholarships'!$H$2:$H$60="")+ISNUMBER(SEARCH(","&amp;J147&amp;",",","&amp;SUBSTITUTE('1 Scholarships'!$H$2:$H$60," ","")&amp;","))&gt;0)*(('1 Scholarships'!$J$2:$J$60&lt;&gt;"Yes")+(L147="Yes")&gt;0)*((K147="")+ISNUMBER(SEARCH(","&amp;K147&amp;",",","&amp;SUBSTITUTE('1 Scholarships'!$P$2:$P$60," ","")&amp;","))&gt;0)))</f>
        <v/>
      </c>
      <c r="N147" s="20" t="str">
        <f aca="false">IF(OR(I147="",J147=""),"",SUMPRODUCT(MAX((CODE(I147)&lt;=CODE('1 Scholarships'!$G$2:$G$60))*('1 Scholarships'!$A$2:$A$60&lt;&gt;"")*(('1 Scholarships'!$H$2:$H$60="")+ISNUMBER(SEARCH(","&amp;J147&amp;",",","&amp;SUBSTITUTE('1 Scholarships'!$H$2:$H$60," ","")&amp;","))&gt;0)*(('1 Scholarships'!$J$2:$J$60&lt;&gt;"Yes")+(L147="Yes")&gt;0)*((K147="")+ISNUMBER(SEARCH(","&amp;K147&amp;",",","&amp;SUBSTITUTE('1 Scholarships'!$P$2:$P$60," ","")&amp;","))&gt;0)*'1 Scholarships'!$F$2:$F$60)))</f>
        <v/>
      </c>
      <c r="O147" s="18"/>
      <c r="P147" s="18"/>
      <c r="Q147" s="18"/>
      <c r="R147" s="19"/>
      <c r="S147" s="19"/>
      <c r="T147" s="18"/>
      <c r="U147" s="18"/>
      <c r="V147" s="18"/>
    </row>
    <row r="148" customFormat="false" ht="15" hidden="false" customHeight="false" outlineLevel="0" collapsed="false">
      <c r="A148" s="18"/>
      <c r="B148" s="19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4" t="str">
        <f aca="false">IF(OR(I148="",J148=""),"",SUMPRODUCT((CODE(I148)&lt;=CODE('1 Scholarships'!$G$2:$G$60))*('1 Scholarships'!$A$2:$A$60&lt;&gt;"")*(('1 Scholarships'!$H$2:$H$60="")+ISNUMBER(SEARCH(","&amp;J148&amp;",",","&amp;SUBSTITUTE('1 Scholarships'!$H$2:$H$60," ","")&amp;","))&gt;0)*(('1 Scholarships'!$J$2:$J$60&lt;&gt;"Yes")+(L148="Yes")&gt;0)*((K148="")+ISNUMBER(SEARCH(","&amp;K148&amp;",",","&amp;SUBSTITUTE('1 Scholarships'!$P$2:$P$60," ","")&amp;","))&gt;0)))</f>
        <v/>
      </c>
      <c r="N148" s="20" t="str">
        <f aca="false">IF(OR(I148="",J148=""),"",SUMPRODUCT(MAX((CODE(I148)&lt;=CODE('1 Scholarships'!$G$2:$G$60))*('1 Scholarships'!$A$2:$A$60&lt;&gt;"")*(('1 Scholarships'!$H$2:$H$60="")+ISNUMBER(SEARCH(","&amp;J148&amp;",",","&amp;SUBSTITUTE('1 Scholarships'!$H$2:$H$60," ","")&amp;","))&gt;0)*(('1 Scholarships'!$J$2:$J$60&lt;&gt;"Yes")+(L148="Yes")&gt;0)*((K148="")+ISNUMBER(SEARCH(","&amp;K148&amp;",",","&amp;SUBSTITUTE('1 Scholarships'!$P$2:$P$60," ","")&amp;","))&gt;0)*'1 Scholarships'!$F$2:$F$60)))</f>
        <v/>
      </c>
      <c r="O148" s="18"/>
      <c r="P148" s="18"/>
      <c r="Q148" s="18"/>
      <c r="R148" s="19"/>
      <c r="S148" s="19"/>
      <c r="T148" s="18"/>
      <c r="U148" s="18"/>
      <c r="V148" s="18"/>
    </row>
    <row r="149" customFormat="false" ht="15" hidden="false" customHeight="false" outlineLevel="0" collapsed="false">
      <c r="A149" s="18"/>
      <c r="B149" s="19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4" t="str">
        <f aca="false">IF(OR(I149="",J149=""),"",SUMPRODUCT((CODE(I149)&lt;=CODE('1 Scholarships'!$G$2:$G$60))*('1 Scholarships'!$A$2:$A$60&lt;&gt;"")*(('1 Scholarships'!$H$2:$H$60="")+ISNUMBER(SEARCH(","&amp;J149&amp;",",","&amp;SUBSTITUTE('1 Scholarships'!$H$2:$H$60," ","")&amp;","))&gt;0)*(('1 Scholarships'!$J$2:$J$60&lt;&gt;"Yes")+(L149="Yes")&gt;0)*((K149="")+ISNUMBER(SEARCH(","&amp;K149&amp;",",","&amp;SUBSTITUTE('1 Scholarships'!$P$2:$P$60," ","")&amp;","))&gt;0)))</f>
        <v/>
      </c>
      <c r="N149" s="20" t="str">
        <f aca="false">IF(OR(I149="",J149=""),"",SUMPRODUCT(MAX((CODE(I149)&lt;=CODE('1 Scholarships'!$G$2:$G$60))*('1 Scholarships'!$A$2:$A$60&lt;&gt;"")*(('1 Scholarships'!$H$2:$H$60="")+ISNUMBER(SEARCH(","&amp;J149&amp;",",","&amp;SUBSTITUTE('1 Scholarships'!$H$2:$H$60," ","")&amp;","))&gt;0)*(('1 Scholarships'!$J$2:$J$60&lt;&gt;"Yes")+(L149="Yes")&gt;0)*((K149="")+ISNUMBER(SEARCH(","&amp;K149&amp;",",","&amp;SUBSTITUTE('1 Scholarships'!$P$2:$P$60," ","")&amp;","))&gt;0)*'1 Scholarships'!$F$2:$F$60)))</f>
        <v/>
      </c>
      <c r="O149" s="18"/>
      <c r="P149" s="18"/>
      <c r="Q149" s="18"/>
      <c r="R149" s="19"/>
      <c r="S149" s="19"/>
      <c r="T149" s="18"/>
      <c r="U149" s="18"/>
      <c r="V149" s="18"/>
    </row>
    <row r="150" customFormat="false" ht="15" hidden="false" customHeight="false" outlineLevel="0" collapsed="false">
      <c r="A150" s="18"/>
      <c r="B150" s="19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4" t="str">
        <f aca="false">IF(OR(I150="",J150=""),"",SUMPRODUCT((CODE(I150)&lt;=CODE('1 Scholarships'!$G$2:$G$60))*('1 Scholarships'!$A$2:$A$60&lt;&gt;"")*(('1 Scholarships'!$H$2:$H$60="")+ISNUMBER(SEARCH(","&amp;J150&amp;",",","&amp;SUBSTITUTE('1 Scholarships'!$H$2:$H$60," ","")&amp;","))&gt;0)*(('1 Scholarships'!$J$2:$J$60&lt;&gt;"Yes")+(L150="Yes")&gt;0)*((K150="")+ISNUMBER(SEARCH(","&amp;K150&amp;",",","&amp;SUBSTITUTE('1 Scholarships'!$P$2:$P$60," ","")&amp;","))&gt;0)))</f>
        <v/>
      </c>
      <c r="N150" s="20" t="str">
        <f aca="false">IF(OR(I150="",J150=""),"",SUMPRODUCT(MAX((CODE(I150)&lt;=CODE('1 Scholarships'!$G$2:$G$60))*('1 Scholarships'!$A$2:$A$60&lt;&gt;"")*(('1 Scholarships'!$H$2:$H$60="")+ISNUMBER(SEARCH(","&amp;J150&amp;",",","&amp;SUBSTITUTE('1 Scholarships'!$H$2:$H$60," ","")&amp;","))&gt;0)*(('1 Scholarships'!$J$2:$J$60&lt;&gt;"Yes")+(L150="Yes")&gt;0)*((K150="")+ISNUMBER(SEARCH(","&amp;K150&amp;",",","&amp;SUBSTITUTE('1 Scholarships'!$P$2:$P$60," ","")&amp;","))&gt;0)*'1 Scholarships'!$F$2:$F$60)))</f>
        <v/>
      </c>
      <c r="O150" s="18"/>
      <c r="P150" s="18"/>
      <c r="Q150" s="18"/>
      <c r="R150" s="19"/>
      <c r="S150" s="19"/>
      <c r="T150" s="18"/>
      <c r="U150" s="18"/>
      <c r="V150" s="18"/>
    </row>
    <row r="151" customFormat="false" ht="15" hidden="false" customHeight="false" outlineLevel="0" collapsed="false">
      <c r="A151" s="18"/>
      <c r="B151" s="19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4" t="str">
        <f aca="false">IF(OR(I151="",J151=""),"",SUMPRODUCT((CODE(I151)&lt;=CODE('1 Scholarships'!$G$2:$G$60))*('1 Scholarships'!$A$2:$A$60&lt;&gt;"")*(('1 Scholarships'!$H$2:$H$60="")+ISNUMBER(SEARCH(","&amp;J151&amp;",",","&amp;SUBSTITUTE('1 Scholarships'!$H$2:$H$60," ","")&amp;","))&gt;0)*(('1 Scholarships'!$J$2:$J$60&lt;&gt;"Yes")+(L151="Yes")&gt;0)*((K151="")+ISNUMBER(SEARCH(","&amp;K151&amp;",",","&amp;SUBSTITUTE('1 Scholarships'!$P$2:$P$60," ","")&amp;","))&gt;0)))</f>
        <v/>
      </c>
      <c r="N151" s="20" t="str">
        <f aca="false">IF(OR(I151="",J151=""),"",SUMPRODUCT(MAX((CODE(I151)&lt;=CODE('1 Scholarships'!$G$2:$G$60))*('1 Scholarships'!$A$2:$A$60&lt;&gt;"")*(('1 Scholarships'!$H$2:$H$60="")+ISNUMBER(SEARCH(","&amp;J151&amp;",",","&amp;SUBSTITUTE('1 Scholarships'!$H$2:$H$60," ","")&amp;","))&gt;0)*(('1 Scholarships'!$J$2:$J$60&lt;&gt;"Yes")+(L151="Yes")&gt;0)*((K151="")+ISNUMBER(SEARCH(","&amp;K151&amp;",",","&amp;SUBSTITUTE('1 Scholarships'!$P$2:$P$60," ","")&amp;","))&gt;0)*'1 Scholarships'!$F$2:$F$60)))</f>
        <v/>
      </c>
      <c r="O151" s="18"/>
      <c r="P151" s="18"/>
      <c r="Q151" s="18"/>
      <c r="R151" s="19"/>
      <c r="S151" s="19"/>
      <c r="T151" s="18"/>
      <c r="U151" s="18"/>
      <c r="V151" s="18"/>
    </row>
    <row r="152" customFormat="false" ht="15" hidden="false" customHeight="false" outlineLevel="0" collapsed="false">
      <c r="A152" s="18"/>
      <c r="B152" s="19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4" t="str">
        <f aca="false">IF(OR(I152="",J152=""),"",SUMPRODUCT((CODE(I152)&lt;=CODE('1 Scholarships'!$G$2:$G$60))*('1 Scholarships'!$A$2:$A$60&lt;&gt;"")*(('1 Scholarships'!$H$2:$H$60="")+ISNUMBER(SEARCH(","&amp;J152&amp;",",","&amp;SUBSTITUTE('1 Scholarships'!$H$2:$H$60," ","")&amp;","))&gt;0)*(('1 Scholarships'!$J$2:$J$60&lt;&gt;"Yes")+(L152="Yes")&gt;0)*((K152="")+ISNUMBER(SEARCH(","&amp;K152&amp;",",","&amp;SUBSTITUTE('1 Scholarships'!$P$2:$P$60," ","")&amp;","))&gt;0)))</f>
        <v/>
      </c>
      <c r="N152" s="20" t="str">
        <f aca="false">IF(OR(I152="",J152=""),"",SUMPRODUCT(MAX((CODE(I152)&lt;=CODE('1 Scholarships'!$G$2:$G$60))*('1 Scholarships'!$A$2:$A$60&lt;&gt;"")*(('1 Scholarships'!$H$2:$H$60="")+ISNUMBER(SEARCH(","&amp;J152&amp;",",","&amp;SUBSTITUTE('1 Scholarships'!$H$2:$H$60," ","")&amp;","))&gt;0)*(('1 Scholarships'!$J$2:$J$60&lt;&gt;"Yes")+(L152="Yes")&gt;0)*((K152="")+ISNUMBER(SEARCH(","&amp;K152&amp;",",","&amp;SUBSTITUTE('1 Scholarships'!$P$2:$P$60," ","")&amp;","))&gt;0)*'1 Scholarships'!$F$2:$F$60)))</f>
        <v/>
      </c>
      <c r="O152" s="18"/>
      <c r="P152" s="18"/>
      <c r="Q152" s="18"/>
      <c r="R152" s="19"/>
      <c r="S152" s="19"/>
      <c r="T152" s="18"/>
      <c r="U152" s="18"/>
      <c r="V152" s="18"/>
    </row>
    <row r="153" customFormat="false" ht="15" hidden="false" customHeight="false" outlineLevel="0" collapsed="false">
      <c r="A153" s="18"/>
      <c r="B153" s="19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4" t="str">
        <f aca="false">IF(OR(I153="",J153=""),"",SUMPRODUCT((CODE(I153)&lt;=CODE('1 Scholarships'!$G$2:$G$60))*('1 Scholarships'!$A$2:$A$60&lt;&gt;"")*(('1 Scholarships'!$H$2:$H$60="")+ISNUMBER(SEARCH(","&amp;J153&amp;",",","&amp;SUBSTITUTE('1 Scholarships'!$H$2:$H$60," ","")&amp;","))&gt;0)*(('1 Scholarships'!$J$2:$J$60&lt;&gt;"Yes")+(L153="Yes")&gt;0)*((K153="")+ISNUMBER(SEARCH(","&amp;K153&amp;",",","&amp;SUBSTITUTE('1 Scholarships'!$P$2:$P$60," ","")&amp;","))&gt;0)))</f>
        <v/>
      </c>
      <c r="N153" s="20" t="str">
        <f aca="false">IF(OR(I153="",J153=""),"",SUMPRODUCT(MAX((CODE(I153)&lt;=CODE('1 Scholarships'!$G$2:$G$60))*('1 Scholarships'!$A$2:$A$60&lt;&gt;"")*(('1 Scholarships'!$H$2:$H$60="")+ISNUMBER(SEARCH(","&amp;J153&amp;",",","&amp;SUBSTITUTE('1 Scholarships'!$H$2:$H$60," ","")&amp;","))&gt;0)*(('1 Scholarships'!$J$2:$J$60&lt;&gt;"Yes")+(L153="Yes")&gt;0)*((K153="")+ISNUMBER(SEARCH(","&amp;K153&amp;",",","&amp;SUBSTITUTE('1 Scholarships'!$P$2:$P$60," ","")&amp;","))&gt;0)*'1 Scholarships'!$F$2:$F$60)))</f>
        <v/>
      </c>
      <c r="O153" s="18"/>
      <c r="P153" s="18"/>
      <c r="Q153" s="18"/>
      <c r="R153" s="19"/>
      <c r="S153" s="19"/>
      <c r="T153" s="18"/>
      <c r="U153" s="18"/>
      <c r="V153" s="18"/>
    </row>
    <row r="154" customFormat="false" ht="15" hidden="false" customHeight="false" outlineLevel="0" collapsed="false">
      <c r="A154" s="18"/>
      <c r="B154" s="19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4" t="str">
        <f aca="false">IF(OR(I154="",J154=""),"",SUMPRODUCT((CODE(I154)&lt;=CODE('1 Scholarships'!$G$2:$G$60))*('1 Scholarships'!$A$2:$A$60&lt;&gt;"")*(('1 Scholarships'!$H$2:$H$60="")+ISNUMBER(SEARCH(","&amp;J154&amp;",",","&amp;SUBSTITUTE('1 Scholarships'!$H$2:$H$60," ","")&amp;","))&gt;0)*(('1 Scholarships'!$J$2:$J$60&lt;&gt;"Yes")+(L154="Yes")&gt;0)*((K154="")+ISNUMBER(SEARCH(","&amp;K154&amp;",",","&amp;SUBSTITUTE('1 Scholarships'!$P$2:$P$60," ","")&amp;","))&gt;0)))</f>
        <v/>
      </c>
      <c r="N154" s="20" t="str">
        <f aca="false">IF(OR(I154="",J154=""),"",SUMPRODUCT(MAX((CODE(I154)&lt;=CODE('1 Scholarships'!$G$2:$G$60))*('1 Scholarships'!$A$2:$A$60&lt;&gt;"")*(('1 Scholarships'!$H$2:$H$60="")+ISNUMBER(SEARCH(","&amp;J154&amp;",",","&amp;SUBSTITUTE('1 Scholarships'!$H$2:$H$60," ","")&amp;","))&gt;0)*(('1 Scholarships'!$J$2:$J$60&lt;&gt;"Yes")+(L154="Yes")&gt;0)*((K154="")+ISNUMBER(SEARCH(","&amp;K154&amp;",",","&amp;SUBSTITUTE('1 Scholarships'!$P$2:$P$60," ","")&amp;","))&gt;0)*'1 Scholarships'!$F$2:$F$60)))</f>
        <v/>
      </c>
      <c r="O154" s="18"/>
      <c r="P154" s="18"/>
      <c r="Q154" s="18"/>
      <c r="R154" s="19"/>
      <c r="S154" s="19"/>
      <c r="T154" s="18"/>
      <c r="U154" s="18"/>
      <c r="V154" s="18"/>
    </row>
    <row r="155" customFormat="false" ht="15" hidden="false" customHeight="false" outlineLevel="0" collapsed="false">
      <c r="A155" s="18"/>
      <c r="B155" s="19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4" t="str">
        <f aca="false">IF(OR(I155="",J155=""),"",SUMPRODUCT((CODE(I155)&lt;=CODE('1 Scholarships'!$G$2:$G$60))*('1 Scholarships'!$A$2:$A$60&lt;&gt;"")*(('1 Scholarships'!$H$2:$H$60="")+ISNUMBER(SEARCH(","&amp;J155&amp;",",","&amp;SUBSTITUTE('1 Scholarships'!$H$2:$H$60," ","")&amp;","))&gt;0)*(('1 Scholarships'!$J$2:$J$60&lt;&gt;"Yes")+(L155="Yes")&gt;0)*((K155="")+ISNUMBER(SEARCH(","&amp;K155&amp;",",","&amp;SUBSTITUTE('1 Scholarships'!$P$2:$P$60," ","")&amp;","))&gt;0)))</f>
        <v/>
      </c>
      <c r="N155" s="20" t="str">
        <f aca="false">IF(OR(I155="",J155=""),"",SUMPRODUCT(MAX((CODE(I155)&lt;=CODE('1 Scholarships'!$G$2:$G$60))*('1 Scholarships'!$A$2:$A$60&lt;&gt;"")*(('1 Scholarships'!$H$2:$H$60="")+ISNUMBER(SEARCH(","&amp;J155&amp;",",","&amp;SUBSTITUTE('1 Scholarships'!$H$2:$H$60," ","")&amp;","))&gt;0)*(('1 Scholarships'!$J$2:$J$60&lt;&gt;"Yes")+(L155="Yes")&gt;0)*((K155="")+ISNUMBER(SEARCH(","&amp;K155&amp;",",","&amp;SUBSTITUTE('1 Scholarships'!$P$2:$P$60," ","")&amp;","))&gt;0)*'1 Scholarships'!$F$2:$F$60)))</f>
        <v/>
      </c>
      <c r="O155" s="18"/>
      <c r="P155" s="18"/>
      <c r="Q155" s="18"/>
      <c r="R155" s="19"/>
      <c r="S155" s="19"/>
      <c r="T155" s="18"/>
      <c r="U155" s="18"/>
      <c r="V155" s="18"/>
    </row>
    <row r="156" customFormat="false" ht="15" hidden="false" customHeight="false" outlineLevel="0" collapsed="false">
      <c r="A156" s="18"/>
      <c r="B156" s="19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4" t="str">
        <f aca="false">IF(OR(I156="",J156=""),"",SUMPRODUCT((CODE(I156)&lt;=CODE('1 Scholarships'!$G$2:$G$60))*('1 Scholarships'!$A$2:$A$60&lt;&gt;"")*(('1 Scholarships'!$H$2:$H$60="")+ISNUMBER(SEARCH(","&amp;J156&amp;",",","&amp;SUBSTITUTE('1 Scholarships'!$H$2:$H$60," ","")&amp;","))&gt;0)*(('1 Scholarships'!$J$2:$J$60&lt;&gt;"Yes")+(L156="Yes")&gt;0)*((K156="")+ISNUMBER(SEARCH(","&amp;K156&amp;",",","&amp;SUBSTITUTE('1 Scholarships'!$P$2:$P$60," ","")&amp;","))&gt;0)))</f>
        <v/>
      </c>
      <c r="N156" s="20" t="str">
        <f aca="false">IF(OR(I156="",J156=""),"",SUMPRODUCT(MAX((CODE(I156)&lt;=CODE('1 Scholarships'!$G$2:$G$60))*('1 Scholarships'!$A$2:$A$60&lt;&gt;"")*(('1 Scholarships'!$H$2:$H$60="")+ISNUMBER(SEARCH(","&amp;J156&amp;",",","&amp;SUBSTITUTE('1 Scholarships'!$H$2:$H$60," ","")&amp;","))&gt;0)*(('1 Scholarships'!$J$2:$J$60&lt;&gt;"Yes")+(L156="Yes")&gt;0)*((K156="")+ISNUMBER(SEARCH(","&amp;K156&amp;",",","&amp;SUBSTITUTE('1 Scholarships'!$P$2:$P$60," ","")&amp;","))&gt;0)*'1 Scholarships'!$F$2:$F$60)))</f>
        <v/>
      </c>
      <c r="O156" s="18"/>
      <c r="P156" s="18"/>
      <c r="Q156" s="18"/>
      <c r="R156" s="19"/>
      <c r="S156" s="19"/>
      <c r="T156" s="18"/>
      <c r="U156" s="18"/>
      <c r="V156" s="18"/>
    </row>
    <row r="157" customFormat="false" ht="15" hidden="false" customHeight="false" outlineLevel="0" collapsed="false">
      <c r="A157" s="18"/>
      <c r="B157" s="19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4" t="str">
        <f aca="false">IF(OR(I157="",J157=""),"",SUMPRODUCT((CODE(I157)&lt;=CODE('1 Scholarships'!$G$2:$G$60))*('1 Scholarships'!$A$2:$A$60&lt;&gt;"")*(('1 Scholarships'!$H$2:$H$60="")+ISNUMBER(SEARCH(","&amp;J157&amp;",",","&amp;SUBSTITUTE('1 Scholarships'!$H$2:$H$60," ","")&amp;","))&gt;0)*(('1 Scholarships'!$J$2:$J$60&lt;&gt;"Yes")+(L157="Yes")&gt;0)*((K157="")+ISNUMBER(SEARCH(","&amp;K157&amp;",",","&amp;SUBSTITUTE('1 Scholarships'!$P$2:$P$60," ","")&amp;","))&gt;0)))</f>
        <v/>
      </c>
      <c r="N157" s="20" t="str">
        <f aca="false">IF(OR(I157="",J157=""),"",SUMPRODUCT(MAX((CODE(I157)&lt;=CODE('1 Scholarships'!$G$2:$G$60))*('1 Scholarships'!$A$2:$A$60&lt;&gt;"")*(('1 Scholarships'!$H$2:$H$60="")+ISNUMBER(SEARCH(","&amp;J157&amp;",",","&amp;SUBSTITUTE('1 Scholarships'!$H$2:$H$60," ","")&amp;","))&gt;0)*(('1 Scholarships'!$J$2:$J$60&lt;&gt;"Yes")+(L157="Yes")&gt;0)*((K157="")+ISNUMBER(SEARCH(","&amp;K157&amp;",",","&amp;SUBSTITUTE('1 Scholarships'!$P$2:$P$60," ","")&amp;","))&gt;0)*'1 Scholarships'!$F$2:$F$60)))</f>
        <v/>
      </c>
      <c r="O157" s="18"/>
      <c r="P157" s="18"/>
      <c r="Q157" s="18"/>
      <c r="R157" s="19"/>
      <c r="S157" s="19"/>
      <c r="T157" s="18"/>
      <c r="U157" s="18"/>
      <c r="V157" s="18"/>
    </row>
    <row r="158" customFormat="false" ht="15" hidden="false" customHeight="false" outlineLevel="0" collapsed="false">
      <c r="A158" s="18"/>
      <c r="B158" s="19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4" t="str">
        <f aca="false">IF(OR(I158="",J158=""),"",SUMPRODUCT((CODE(I158)&lt;=CODE('1 Scholarships'!$G$2:$G$60))*('1 Scholarships'!$A$2:$A$60&lt;&gt;"")*(('1 Scholarships'!$H$2:$H$60="")+ISNUMBER(SEARCH(","&amp;J158&amp;",",","&amp;SUBSTITUTE('1 Scholarships'!$H$2:$H$60," ","")&amp;","))&gt;0)*(('1 Scholarships'!$J$2:$J$60&lt;&gt;"Yes")+(L158="Yes")&gt;0)*((K158="")+ISNUMBER(SEARCH(","&amp;K158&amp;",",","&amp;SUBSTITUTE('1 Scholarships'!$P$2:$P$60," ","")&amp;","))&gt;0)))</f>
        <v/>
      </c>
      <c r="N158" s="20" t="str">
        <f aca="false">IF(OR(I158="",J158=""),"",SUMPRODUCT(MAX((CODE(I158)&lt;=CODE('1 Scholarships'!$G$2:$G$60))*('1 Scholarships'!$A$2:$A$60&lt;&gt;"")*(('1 Scholarships'!$H$2:$H$60="")+ISNUMBER(SEARCH(","&amp;J158&amp;",",","&amp;SUBSTITUTE('1 Scholarships'!$H$2:$H$60," ","")&amp;","))&gt;0)*(('1 Scholarships'!$J$2:$J$60&lt;&gt;"Yes")+(L158="Yes")&gt;0)*((K158="")+ISNUMBER(SEARCH(","&amp;K158&amp;",",","&amp;SUBSTITUTE('1 Scholarships'!$P$2:$P$60," ","")&amp;","))&gt;0)*'1 Scholarships'!$F$2:$F$60)))</f>
        <v/>
      </c>
      <c r="O158" s="18"/>
      <c r="P158" s="18"/>
      <c r="Q158" s="18"/>
      <c r="R158" s="19"/>
      <c r="S158" s="19"/>
      <c r="T158" s="18"/>
      <c r="U158" s="18"/>
      <c r="V158" s="18"/>
    </row>
    <row r="159" customFormat="false" ht="15" hidden="false" customHeight="false" outlineLevel="0" collapsed="false">
      <c r="A159" s="18"/>
      <c r="B159" s="19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4" t="str">
        <f aca="false">IF(OR(I159="",J159=""),"",SUMPRODUCT((CODE(I159)&lt;=CODE('1 Scholarships'!$G$2:$G$60))*('1 Scholarships'!$A$2:$A$60&lt;&gt;"")*(('1 Scholarships'!$H$2:$H$60="")+ISNUMBER(SEARCH(","&amp;J159&amp;",",","&amp;SUBSTITUTE('1 Scholarships'!$H$2:$H$60," ","")&amp;","))&gt;0)*(('1 Scholarships'!$J$2:$J$60&lt;&gt;"Yes")+(L159="Yes")&gt;0)*((K159="")+ISNUMBER(SEARCH(","&amp;K159&amp;",",","&amp;SUBSTITUTE('1 Scholarships'!$P$2:$P$60," ","")&amp;","))&gt;0)))</f>
        <v/>
      </c>
      <c r="N159" s="20" t="str">
        <f aca="false">IF(OR(I159="",J159=""),"",SUMPRODUCT(MAX((CODE(I159)&lt;=CODE('1 Scholarships'!$G$2:$G$60))*('1 Scholarships'!$A$2:$A$60&lt;&gt;"")*(('1 Scholarships'!$H$2:$H$60="")+ISNUMBER(SEARCH(","&amp;J159&amp;",",","&amp;SUBSTITUTE('1 Scholarships'!$H$2:$H$60," ","")&amp;","))&gt;0)*(('1 Scholarships'!$J$2:$J$60&lt;&gt;"Yes")+(L159="Yes")&gt;0)*((K159="")+ISNUMBER(SEARCH(","&amp;K159&amp;",",","&amp;SUBSTITUTE('1 Scholarships'!$P$2:$P$60," ","")&amp;","))&gt;0)*'1 Scholarships'!$F$2:$F$60)))</f>
        <v/>
      </c>
      <c r="O159" s="18"/>
      <c r="P159" s="18"/>
      <c r="Q159" s="18"/>
      <c r="R159" s="19"/>
      <c r="S159" s="19"/>
      <c r="T159" s="18"/>
      <c r="U159" s="18"/>
      <c r="V159" s="18"/>
    </row>
    <row r="160" customFormat="false" ht="15" hidden="false" customHeight="false" outlineLevel="0" collapsed="false">
      <c r="A160" s="18"/>
      <c r="B160" s="19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4" t="str">
        <f aca="false">IF(OR(I160="",J160=""),"",SUMPRODUCT((CODE(I160)&lt;=CODE('1 Scholarships'!$G$2:$G$60))*('1 Scholarships'!$A$2:$A$60&lt;&gt;"")*(('1 Scholarships'!$H$2:$H$60="")+ISNUMBER(SEARCH(","&amp;J160&amp;",",","&amp;SUBSTITUTE('1 Scholarships'!$H$2:$H$60," ","")&amp;","))&gt;0)*(('1 Scholarships'!$J$2:$J$60&lt;&gt;"Yes")+(L160="Yes")&gt;0)*((K160="")+ISNUMBER(SEARCH(","&amp;K160&amp;",",","&amp;SUBSTITUTE('1 Scholarships'!$P$2:$P$60," ","")&amp;","))&gt;0)))</f>
        <v/>
      </c>
      <c r="N160" s="20" t="str">
        <f aca="false">IF(OR(I160="",J160=""),"",SUMPRODUCT(MAX((CODE(I160)&lt;=CODE('1 Scholarships'!$G$2:$G$60))*('1 Scholarships'!$A$2:$A$60&lt;&gt;"")*(('1 Scholarships'!$H$2:$H$60="")+ISNUMBER(SEARCH(","&amp;J160&amp;",",","&amp;SUBSTITUTE('1 Scholarships'!$H$2:$H$60," ","")&amp;","))&gt;0)*(('1 Scholarships'!$J$2:$J$60&lt;&gt;"Yes")+(L160="Yes")&gt;0)*((K160="")+ISNUMBER(SEARCH(","&amp;K160&amp;",",","&amp;SUBSTITUTE('1 Scholarships'!$P$2:$P$60," ","")&amp;","))&gt;0)*'1 Scholarships'!$F$2:$F$60)))</f>
        <v/>
      </c>
      <c r="O160" s="18"/>
      <c r="P160" s="18"/>
      <c r="Q160" s="18"/>
      <c r="R160" s="19"/>
      <c r="S160" s="19"/>
      <c r="T160" s="18"/>
      <c r="U160" s="18"/>
      <c r="V160" s="18"/>
    </row>
    <row r="161" customFormat="false" ht="15" hidden="false" customHeight="false" outlineLevel="0" collapsed="false">
      <c r="A161" s="18"/>
      <c r="B161" s="19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4" t="str">
        <f aca="false">IF(OR(I161="",J161=""),"",SUMPRODUCT((CODE(I161)&lt;=CODE('1 Scholarships'!$G$2:$G$60))*('1 Scholarships'!$A$2:$A$60&lt;&gt;"")*(('1 Scholarships'!$H$2:$H$60="")+ISNUMBER(SEARCH(","&amp;J161&amp;",",","&amp;SUBSTITUTE('1 Scholarships'!$H$2:$H$60," ","")&amp;","))&gt;0)*(('1 Scholarships'!$J$2:$J$60&lt;&gt;"Yes")+(L161="Yes")&gt;0)*((K161="")+ISNUMBER(SEARCH(","&amp;K161&amp;",",","&amp;SUBSTITUTE('1 Scholarships'!$P$2:$P$60," ","")&amp;","))&gt;0)))</f>
        <v/>
      </c>
      <c r="N161" s="20" t="str">
        <f aca="false">IF(OR(I161="",J161=""),"",SUMPRODUCT(MAX((CODE(I161)&lt;=CODE('1 Scholarships'!$G$2:$G$60))*('1 Scholarships'!$A$2:$A$60&lt;&gt;"")*(('1 Scholarships'!$H$2:$H$60="")+ISNUMBER(SEARCH(","&amp;J161&amp;",",","&amp;SUBSTITUTE('1 Scholarships'!$H$2:$H$60," ","")&amp;","))&gt;0)*(('1 Scholarships'!$J$2:$J$60&lt;&gt;"Yes")+(L161="Yes")&gt;0)*((K161="")+ISNUMBER(SEARCH(","&amp;K161&amp;",",","&amp;SUBSTITUTE('1 Scholarships'!$P$2:$P$60," ","")&amp;","))&gt;0)*'1 Scholarships'!$F$2:$F$60)))</f>
        <v/>
      </c>
      <c r="O161" s="18"/>
      <c r="P161" s="18"/>
      <c r="Q161" s="18"/>
      <c r="R161" s="19"/>
      <c r="S161" s="19"/>
      <c r="T161" s="18"/>
      <c r="U161" s="18"/>
      <c r="V161" s="18"/>
    </row>
    <row r="162" customFormat="false" ht="15" hidden="false" customHeight="false" outlineLevel="0" collapsed="false">
      <c r="A162" s="18"/>
      <c r="B162" s="19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4" t="str">
        <f aca="false">IF(OR(I162="",J162=""),"",SUMPRODUCT((CODE(I162)&lt;=CODE('1 Scholarships'!$G$2:$G$60))*('1 Scholarships'!$A$2:$A$60&lt;&gt;"")*(('1 Scholarships'!$H$2:$H$60="")+ISNUMBER(SEARCH(","&amp;J162&amp;",",","&amp;SUBSTITUTE('1 Scholarships'!$H$2:$H$60," ","")&amp;","))&gt;0)*(('1 Scholarships'!$J$2:$J$60&lt;&gt;"Yes")+(L162="Yes")&gt;0)*((K162="")+ISNUMBER(SEARCH(","&amp;K162&amp;",",","&amp;SUBSTITUTE('1 Scholarships'!$P$2:$P$60," ","")&amp;","))&gt;0)))</f>
        <v/>
      </c>
      <c r="N162" s="20" t="str">
        <f aca="false">IF(OR(I162="",J162=""),"",SUMPRODUCT(MAX((CODE(I162)&lt;=CODE('1 Scholarships'!$G$2:$G$60))*('1 Scholarships'!$A$2:$A$60&lt;&gt;"")*(('1 Scholarships'!$H$2:$H$60="")+ISNUMBER(SEARCH(","&amp;J162&amp;",",","&amp;SUBSTITUTE('1 Scholarships'!$H$2:$H$60," ","")&amp;","))&gt;0)*(('1 Scholarships'!$J$2:$J$60&lt;&gt;"Yes")+(L162="Yes")&gt;0)*((K162="")+ISNUMBER(SEARCH(","&amp;K162&amp;",",","&amp;SUBSTITUTE('1 Scholarships'!$P$2:$P$60," ","")&amp;","))&gt;0)*'1 Scholarships'!$F$2:$F$60)))</f>
        <v/>
      </c>
      <c r="O162" s="18"/>
      <c r="P162" s="18"/>
      <c r="Q162" s="18"/>
      <c r="R162" s="19"/>
      <c r="S162" s="19"/>
      <c r="T162" s="18"/>
      <c r="U162" s="18"/>
      <c r="V162" s="18"/>
    </row>
    <row r="163" customFormat="false" ht="15" hidden="false" customHeight="false" outlineLevel="0" collapsed="false">
      <c r="A163" s="18"/>
      <c r="B163" s="19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4" t="str">
        <f aca="false">IF(OR(I163="",J163=""),"",SUMPRODUCT((CODE(I163)&lt;=CODE('1 Scholarships'!$G$2:$G$60))*('1 Scholarships'!$A$2:$A$60&lt;&gt;"")*(('1 Scholarships'!$H$2:$H$60="")+ISNUMBER(SEARCH(","&amp;J163&amp;",",","&amp;SUBSTITUTE('1 Scholarships'!$H$2:$H$60," ","")&amp;","))&gt;0)*(('1 Scholarships'!$J$2:$J$60&lt;&gt;"Yes")+(L163="Yes")&gt;0)*((K163="")+ISNUMBER(SEARCH(","&amp;K163&amp;",",","&amp;SUBSTITUTE('1 Scholarships'!$P$2:$P$60," ","")&amp;","))&gt;0)))</f>
        <v/>
      </c>
      <c r="N163" s="20" t="str">
        <f aca="false">IF(OR(I163="",J163=""),"",SUMPRODUCT(MAX((CODE(I163)&lt;=CODE('1 Scholarships'!$G$2:$G$60))*('1 Scholarships'!$A$2:$A$60&lt;&gt;"")*(('1 Scholarships'!$H$2:$H$60="")+ISNUMBER(SEARCH(","&amp;J163&amp;",",","&amp;SUBSTITUTE('1 Scholarships'!$H$2:$H$60," ","")&amp;","))&gt;0)*(('1 Scholarships'!$J$2:$J$60&lt;&gt;"Yes")+(L163="Yes")&gt;0)*((K163="")+ISNUMBER(SEARCH(","&amp;K163&amp;",",","&amp;SUBSTITUTE('1 Scholarships'!$P$2:$P$60," ","")&amp;","))&gt;0)*'1 Scholarships'!$F$2:$F$60)))</f>
        <v/>
      </c>
      <c r="O163" s="18"/>
      <c r="P163" s="18"/>
      <c r="Q163" s="18"/>
      <c r="R163" s="19"/>
      <c r="S163" s="19"/>
      <c r="T163" s="18"/>
      <c r="U163" s="18"/>
      <c r="V163" s="18"/>
    </row>
    <row r="164" customFormat="false" ht="15" hidden="false" customHeight="false" outlineLevel="0" collapsed="false">
      <c r="A164" s="18"/>
      <c r="B164" s="19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4" t="str">
        <f aca="false">IF(OR(I164="",J164=""),"",SUMPRODUCT((CODE(I164)&lt;=CODE('1 Scholarships'!$G$2:$G$60))*('1 Scholarships'!$A$2:$A$60&lt;&gt;"")*(('1 Scholarships'!$H$2:$H$60="")+ISNUMBER(SEARCH(","&amp;J164&amp;",",","&amp;SUBSTITUTE('1 Scholarships'!$H$2:$H$60," ","")&amp;","))&gt;0)*(('1 Scholarships'!$J$2:$J$60&lt;&gt;"Yes")+(L164="Yes")&gt;0)*((K164="")+ISNUMBER(SEARCH(","&amp;K164&amp;",",","&amp;SUBSTITUTE('1 Scholarships'!$P$2:$P$60," ","")&amp;","))&gt;0)))</f>
        <v/>
      </c>
      <c r="N164" s="20" t="str">
        <f aca="false">IF(OR(I164="",J164=""),"",SUMPRODUCT(MAX((CODE(I164)&lt;=CODE('1 Scholarships'!$G$2:$G$60))*('1 Scholarships'!$A$2:$A$60&lt;&gt;"")*(('1 Scholarships'!$H$2:$H$60="")+ISNUMBER(SEARCH(","&amp;J164&amp;",",","&amp;SUBSTITUTE('1 Scholarships'!$H$2:$H$60," ","")&amp;","))&gt;0)*(('1 Scholarships'!$J$2:$J$60&lt;&gt;"Yes")+(L164="Yes")&gt;0)*((K164="")+ISNUMBER(SEARCH(","&amp;K164&amp;",",","&amp;SUBSTITUTE('1 Scholarships'!$P$2:$P$60," ","")&amp;","))&gt;0)*'1 Scholarships'!$F$2:$F$60)))</f>
        <v/>
      </c>
      <c r="O164" s="18"/>
      <c r="P164" s="18"/>
      <c r="Q164" s="18"/>
      <c r="R164" s="19"/>
      <c r="S164" s="19"/>
      <c r="T164" s="18"/>
      <c r="U164" s="18"/>
      <c r="V164" s="18"/>
    </row>
    <row r="165" customFormat="false" ht="15" hidden="false" customHeight="false" outlineLevel="0" collapsed="false">
      <c r="A165" s="18"/>
      <c r="B165" s="19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4" t="str">
        <f aca="false">IF(OR(I165="",J165=""),"",SUMPRODUCT((CODE(I165)&lt;=CODE('1 Scholarships'!$G$2:$G$60))*('1 Scholarships'!$A$2:$A$60&lt;&gt;"")*(('1 Scholarships'!$H$2:$H$60="")+ISNUMBER(SEARCH(","&amp;J165&amp;",",","&amp;SUBSTITUTE('1 Scholarships'!$H$2:$H$60," ","")&amp;","))&gt;0)*(('1 Scholarships'!$J$2:$J$60&lt;&gt;"Yes")+(L165="Yes")&gt;0)*((K165="")+ISNUMBER(SEARCH(","&amp;K165&amp;",",","&amp;SUBSTITUTE('1 Scholarships'!$P$2:$P$60," ","")&amp;","))&gt;0)))</f>
        <v/>
      </c>
      <c r="N165" s="20" t="str">
        <f aca="false">IF(OR(I165="",J165=""),"",SUMPRODUCT(MAX((CODE(I165)&lt;=CODE('1 Scholarships'!$G$2:$G$60))*('1 Scholarships'!$A$2:$A$60&lt;&gt;"")*(('1 Scholarships'!$H$2:$H$60="")+ISNUMBER(SEARCH(","&amp;J165&amp;",",","&amp;SUBSTITUTE('1 Scholarships'!$H$2:$H$60," ","")&amp;","))&gt;0)*(('1 Scholarships'!$J$2:$J$60&lt;&gt;"Yes")+(L165="Yes")&gt;0)*((K165="")+ISNUMBER(SEARCH(","&amp;K165&amp;",",","&amp;SUBSTITUTE('1 Scholarships'!$P$2:$P$60," ","")&amp;","))&gt;0)*'1 Scholarships'!$F$2:$F$60)))</f>
        <v/>
      </c>
      <c r="O165" s="18"/>
      <c r="P165" s="18"/>
      <c r="Q165" s="18"/>
      <c r="R165" s="19"/>
      <c r="S165" s="19"/>
      <c r="T165" s="18"/>
      <c r="U165" s="18"/>
      <c r="V165" s="18"/>
    </row>
    <row r="166" customFormat="false" ht="15" hidden="false" customHeight="false" outlineLevel="0" collapsed="false">
      <c r="A166" s="18"/>
      <c r="B166" s="19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4" t="str">
        <f aca="false">IF(OR(I166="",J166=""),"",SUMPRODUCT((CODE(I166)&lt;=CODE('1 Scholarships'!$G$2:$G$60))*('1 Scholarships'!$A$2:$A$60&lt;&gt;"")*(('1 Scholarships'!$H$2:$H$60="")+ISNUMBER(SEARCH(","&amp;J166&amp;",",","&amp;SUBSTITUTE('1 Scholarships'!$H$2:$H$60," ","")&amp;","))&gt;0)*(('1 Scholarships'!$J$2:$J$60&lt;&gt;"Yes")+(L166="Yes")&gt;0)*((K166="")+ISNUMBER(SEARCH(","&amp;K166&amp;",",","&amp;SUBSTITUTE('1 Scholarships'!$P$2:$P$60," ","")&amp;","))&gt;0)))</f>
        <v/>
      </c>
      <c r="N166" s="20" t="str">
        <f aca="false">IF(OR(I166="",J166=""),"",SUMPRODUCT(MAX((CODE(I166)&lt;=CODE('1 Scholarships'!$G$2:$G$60))*('1 Scholarships'!$A$2:$A$60&lt;&gt;"")*(('1 Scholarships'!$H$2:$H$60="")+ISNUMBER(SEARCH(","&amp;J166&amp;",",","&amp;SUBSTITUTE('1 Scholarships'!$H$2:$H$60," ","")&amp;","))&gt;0)*(('1 Scholarships'!$J$2:$J$60&lt;&gt;"Yes")+(L166="Yes")&gt;0)*((K166="")+ISNUMBER(SEARCH(","&amp;K166&amp;",",","&amp;SUBSTITUTE('1 Scholarships'!$P$2:$P$60," ","")&amp;","))&gt;0)*'1 Scholarships'!$F$2:$F$60)))</f>
        <v/>
      </c>
      <c r="O166" s="18"/>
      <c r="P166" s="18"/>
      <c r="Q166" s="18"/>
      <c r="R166" s="19"/>
      <c r="S166" s="19"/>
      <c r="T166" s="18"/>
      <c r="U166" s="18"/>
      <c r="V166" s="18"/>
    </row>
    <row r="167" customFormat="false" ht="15" hidden="false" customHeight="false" outlineLevel="0" collapsed="false">
      <c r="A167" s="18"/>
      <c r="B167" s="19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4" t="str">
        <f aca="false">IF(OR(I167="",J167=""),"",SUMPRODUCT((CODE(I167)&lt;=CODE('1 Scholarships'!$G$2:$G$60))*('1 Scholarships'!$A$2:$A$60&lt;&gt;"")*(('1 Scholarships'!$H$2:$H$60="")+ISNUMBER(SEARCH(","&amp;J167&amp;",",","&amp;SUBSTITUTE('1 Scholarships'!$H$2:$H$60," ","")&amp;","))&gt;0)*(('1 Scholarships'!$J$2:$J$60&lt;&gt;"Yes")+(L167="Yes")&gt;0)*((K167="")+ISNUMBER(SEARCH(","&amp;K167&amp;",",","&amp;SUBSTITUTE('1 Scholarships'!$P$2:$P$60," ","")&amp;","))&gt;0)))</f>
        <v/>
      </c>
      <c r="N167" s="20" t="str">
        <f aca="false">IF(OR(I167="",J167=""),"",SUMPRODUCT(MAX((CODE(I167)&lt;=CODE('1 Scholarships'!$G$2:$G$60))*('1 Scholarships'!$A$2:$A$60&lt;&gt;"")*(('1 Scholarships'!$H$2:$H$60="")+ISNUMBER(SEARCH(","&amp;J167&amp;",",","&amp;SUBSTITUTE('1 Scholarships'!$H$2:$H$60," ","")&amp;","))&gt;0)*(('1 Scholarships'!$J$2:$J$60&lt;&gt;"Yes")+(L167="Yes")&gt;0)*((K167="")+ISNUMBER(SEARCH(","&amp;K167&amp;",",","&amp;SUBSTITUTE('1 Scholarships'!$P$2:$P$60," ","")&amp;","))&gt;0)*'1 Scholarships'!$F$2:$F$60)))</f>
        <v/>
      </c>
      <c r="O167" s="18"/>
      <c r="P167" s="18"/>
      <c r="Q167" s="18"/>
      <c r="R167" s="19"/>
      <c r="S167" s="19"/>
      <c r="T167" s="18"/>
      <c r="U167" s="18"/>
      <c r="V167" s="18"/>
    </row>
    <row r="168" customFormat="false" ht="15" hidden="false" customHeight="false" outlineLevel="0" collapsed="false">
      <c r="A168" s="18"/>
      <c r="B168" s="19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4" t="str">
        <f aca="false">IF(OR(I168="",J168=""),"",SUMPRODUCT((CODE(I168)&lt;=CODE('1 Scholarships'!$G$2:$G$60))*('1 Scholarships'!$A$2:$A$60&lt;&gt;"")*(('1 Scholarships'!$H$2:$H$60="")+ISNUMBER(SEARCH(","&amp;J168&amp;",",","&amp;SUBSTITUTE('1 Scholarships'!$H$2:$H$60," ","")&amp;","))&gt;0)*(('1 Scholarships'!$J$2:$J$60&lt;&gt;"Yes")+(L168="Yes")&gt;0)*((K168="")+ISNUMBER(SEARCH(","&amp;K168&amp;",",","&amp;SUBSTITUTE('1 Scholarships'!$P$2:$P$60," ","")&amp;","))&gt;0)))</f>
        <v/>
      </c>
      <c r="N168" s="20" t="str">
        <f aca="false">IF(OR(I168="",J168=""),"",SUMPRODUCT(MAX((CODE(I168)&lt;=CODE('1 Scholarships'!$G$2:$G$60))*('1 Scholarships'!$A$2:$A$60&lt;&gt;"")*(('1 Scholarships'!$H$2:$H$60="")+ISNUMBER(SEARCH(","&amp;J168&amp;",",","&amp;SUBSTITUTE('1 Scholarships'!$H$2:$H$60," ","")&amp;","))&gt;0)*(('1 Scholarships'!$J$2:$J$60&lt;&gt;"Yes")+(L168="Yes")&gt;0)*((K168="")+ISNUMBER(SEARCH(","&amp;K168&amp;",",","&amp;SUBSTITUTE('1 Scholarships'!$P$2:$P$60," ","")&amp;","))&gt;0)*'1 Scholarships'!$F$2:$F$60)))</f>
        <v/>
      </c>
      <c r="O168" s="18"/>
      <c r="P168" s="18"/>
      <c r="Q168" s="18"/>
      <c r="R168" s="19"/>
      <c r="S168" s="19"/>
      <c r="T168" s="18"/>
      <c r="U168" s="18"/>
      <c r="V168" s="18"/>
    </row>
    <row r="169" customFormat="false" ht="15" hidden="false" customHeight="false" outlineLevel="0" collapsed="false">
      <c r="A169" s="18"/>
      <c r="B169" s="19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4" t="str">
        <f aca="false">IF(OR(I169="",J169=""),"",SUMPRODUCT((CODE(I169)&lt;=CODE('1 Scholarships'!$G$2:$G$60))*('1 Scholarships'!$A$2:$A$60&lt;&gt;"")*(('1 Scholarships'!$H$2:$H$60="")+ISNUMBER(SEARCH(","&amp;J169&amp;",",","&amp;SUBSTITUTE('1 Scholarships'!$H$2:$H$60," ","")&amp;","))&gt;0)*(('1 Scholarships'!$J$2:$J$60&lt;&gt;"Yes")+(L169="Yes")&gt;0)*((K169="")+ISNUMBER(SEARCH(","&amp;K169&amp;",",","&amp;SUBSTITUTE('1 Scholarships'!$P$2:$P$60," ","")&amp;","))&gt;0)))</f>
        <v/>
      </c>
      <c r="N169" s="20" t="str">
        <f aca="false">IF(OR(I169="",J169=""),"",SUMPRODUCT(MAX((CODE(I169)&lt;=CODE('1 Scholarships'!$G$2:$G$60))*('1 Scholarships'!$A$2:$A$60&lt;&gt;"")*(('1 Scholarships'!$H$2:$H$60="")+ISNUMBER(SEARCH(","&amp;J169&amp;",",","&amp;SUBSTITUTE('1 Scholarships'!$H$2:$H$60," ","")&amp;","))&gt;0)*(('1 Scholarships'!$J$2:$J$60&lt;&gt;"Yes")+(L169="Yes")&gt;0)*((K169="")+ISNUMBER(SEARCH(","&amp;K169&amp;",",","&amp;SUBSTITUTE('1 Scholarships'!$P$2:$P$60," ","")&amp;","))&gt;0)*'1 Scholarships'!$F$2:$F$60)))</f>
        <v/>
      </c>
      <c r="O169" s="18"/>
      <c r="P169" s="18"/>
      <c r="Q169" s="18"/>
      <c r="R169" s="19"/>
      <c r="S169" s="19"/>
      <c r="T169" s="18"/>
      <c r="U169" s="18"/>
      <c r="V169" s="18"/>
    </row>
    <row r="170" customFormat="false" ht="15" hidden="false" customHeight="false" outlineLevel="0" collapsed="false">
      <c r="A170" s="18"/>
      <c r="B170" s="19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4" t="str">
        <f aca="false">IF(OR(I170="",J170=""),"",SUMPRODUCT((CODE(I170)&lt;=CODE('1 Scholarships'!$G$2:$G$60))*('1 Scholarships'!$A$2:$A$60&lt;&gt;"")*(('1 Scholarships'!$H$2:$H$60="")+ISNUMBER(SEARCH(","&amp;J170&amp;",",","&amp;SUBSTITUTE('1 Scholarships'!$H$2:$H$60," ","")&amp;","))&gt;0)*(('1 Scholarships'!$J$2:$J$60&lt;&gt;"Yes")+(L170="Yes")&gt;0)*((K170="")+ISNUMBER(SEARCH(","&amp;K170&amp;",",","&amp;SUBSTITUTE('1 Scholarships'!$P$2:$P$60," ","")&amp;","))&gt;0)))</f>
        <v/>
      </c>
      <c r="N170" s="20" t="str">
        <f aca="false">IF(OR(I170="",J170=""),"",SUMPRODUCT(MAX((CODE(I170)&lt;=CODE('1 Scholarships'!$G$2:$G$60))*('1 Scholarships'!$A$2:$A$60&lt;&gt;"")*(('1 Scholarships'!$H$2:$H$60="")+ISNUMBER(SEARCH(","&amp;J170&amp;",",","&amp;SUBSTITUTE('1 Scholarships'!$H$2:$H$60," ","")&amp;","))&gt;0)*(('1 Scholarships'!$J$2:$J$60&lt;&gt;"Yes")+(L170="Yes")&gt;0)*((K170="")+ISNUMBER(SEARCH(","&amp;K170&amp;",",","&amp;SUBSTITUTE('1 Scholarships'!$P$2:$P$60," ","")&amp;","))&gt;0)*'1 Scholarships'!$F$2:$F$60)))</f>
        <v/>
      </c>
      <c r="O170" s="18"/>
      <c r="P170" s="18"/>
      <c r="Q170" s="18"/>
      <c r="R170" s="19"/>
      <c r="S170" s="19"/>
      <c r="T170" s="18"/>
      <c r="U170" s="18"/>
      <c r="V170" s="18"/>
    </row>
    <row r="171" customFormat="false" ht="15" hidden="false" customHeight="false" outlineLevel="0" collapsed="false">
      <c r="A171" s="18"/>
      <c r="B171" s="19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4" t="str">
        <f aca="false">IF(OR(I171="",J171=""),"",SUMPRODUCT((CODE(I171)&lt;=CODE('1 Scholarships'!$G$2:$G$60))*('1 Scholarships'!$A$2:$A$60&lt;&gt;"")*(('1 Scholarships'!$H$2:$H$60="")+ISNUMBER(SEARCH(","&amp;J171&amp;",",","&amp;SUBSTITUTE('1 Scholarships'!$H$2:$H$60," ","")&amp;","))&gt;0)*(('1 Scholarships'!$J$2:$J$60&lt;&gt;"Yes")+(L171="Yes")&gt;0)*((K171="")+ISNUMBER(SEARCH(","&amp;K171&amp;",",","&amp;SUBSTITUTE('1 Scholarships'!$P$2:$P$60," ","")&amp;","))&gt;0)))</f>
        <v/>
      </c>
      <c r="N171" s="20" t="str">
        <f aca="false">IF(OR(I171="",J171=""),"",SUMPRODUCT(MAX((CODE(I171)&lt;=CODE('1 Scholarships'!$G$2:$G$60))*('1 Scholarships'!$A$2:$A$60&lt;&gt;"")*(('1 Scholarships'!$H$2:$H$60="")+ISNUMBER(SEARCH(","&amp;J171&amp;",",","&amp;SUBSTITUTE('1 Scholarships'!$H$2:$H$60," ","")&amp;","))&gt;0)*(('1 Scholarships'!$J$2:$J$60&lt;&gt;"Yes")+(L171="Yes")&gt;0)*((K171="")+ISNUMBER(SEARCH(","&amp;K171&amp;",",","&amp;SUBSTITUTE('1 Scholarships'!$P$2:$P$60," ","")&amp;","))&gt;0)*'1 Scholarships'!$F$2:$F$60)))</f>
        <v/>
      </c>
      <c r="O171" s="18"/>
      <c r="P171" s="18"/>
      <c r="Q171" s="18"/>
      <c r="R171" s="19"/>
      <c r="S171" s="19"/>
      <c r="T171" s="18"/>
      <c r="U171" s="18"/>
      <c r="V171" s="18"/>
    </row>
    <row r="172" customFormat="false" ht="15" hidden="false" customHeight="false" outlineLevel="0" collapsed="false">
      <c r="A172" s="18"/>
      <c r="B172" s="19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4" t="str">
        <f aca="false">IF(OR(I172="",J172=""),"",SUMPRODUCT((CODE(I172)&lt;=CODE('1 Scholarships'!$G$2:$G$60))*('1 Scholarships'!$A$2:$A$60&lt;&gt;"")*(('1 Scholarships'!$H$2:$H$60="")+ISNUMBER(SEARCH(","&amp;J172&amp;",",","&amp;SUBSTITUTE('1 Scholarships'!$H$2:$H$60," ","")&amp;","))&gt;0)*(('1 Scholarships'!$J$2:$J$60&lt;&gt;"Yes")+(L172="Yes")&gt;0)*((K172="")+ISNUMBER(SEARCH(","&amp;K172&amp;",",","&amp;SUBSTITUTE('1 Scholarships'!$P$2:$P$60," ","")&amp;","))&gt;0)))</f>
        <v/>
      </c>
      <c r="N172" s="20" t="str">
        <f aca="false">IF(OR(I172="",J172=""),"",SUMPRODUCT(MAX((CODE(I172)&lt;=CODE('1 Scholarships'!$G$2:$G$60))*('1 Scholarships'!$A$2:$A$60&lt;&gt;"")*(('1 Scholarships'!$H$2:$H$60="")+ISNUMBER(SEARCH(","&amp;J172&amp;",",","&amp;SUBSTITUTE('1 Scholarships'!$H$2:$H$60," ","")&amp;","))&gt;0)*(('1 Scholarships'!$J$2:$J$60&lt;&gt;"Yes")+(L172="Yes")&gt;0)*((K172="")+ISNUMBER(SEARCH(","&amp;K172&amp;",",","&amp;SUBSTITUTE('1 Scholarships'!$P$2:$P$60," ","")&amp;","))&gt;0)*'1 Scholarships'!$F$2:$F$60)))</f>
        <v/>
      </c>
      <c r="O172" s="18"/>
      <c r="P172" s="18"/>
      <c r="Q172" s="18"/>
      <c r="R172" s="19"/>
      <c r="S172" s="19"/>
      <c r="T172" s="18"/>
      <c r="U172" s="18"/>
      <c r="V172" s="18"/>
    </row>
    <row r="173" customFormat="false" ht="15" hidden="false" customHeight="false" outlineLevel="0" collapsed="false">
      <c r="A173" s="18"/>
      <c r="B173" s="19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4" t="str">
        <f aca="false">IF(OR(I173="",J173=""),"",SUMPRODUCT((CODE(I173)&lt;=CODE('1 Scholarships'!$G$2:$G$60))*('1 Scholarships'!$A$2:$A$60&lt;&gt;"")*(('1 Scholarships'!$H$2:$H$60="")+ISNUMBER(SEARCH(","&amp;J173&amp;",",","&amp;SUBSTITUTE('1 Scholarships'!$H$2:$H$60," ","")&amp;","))&gt;0)*(('1 Scholarships'!$J$2:$J$60&lt;&gt;"Yes")+(L173="Yes")&gt;0)*((K173="")+ISNUMBER(SEARCH(","&amp;K173&amp;",",","&amp;SUBSTITUTE('1 Scholarships'!$P$2:$P$60," ","")&amp;","))&gt;0)))</f>
        <v/>
      </c>
      <c r="N173" s="20" t="str">
        <f aca="false">IF(OR(I173="",J173=""),"",SUMPRODUCT(MAX((CODE(I173)&lt;=CODE('1 Scholarships'!$G$2:$G$60))*('1 Scholarships'!$A$2:$A$60&lt;&gt;"")*(('1 Scholarships'!$H$2:$H$60="")+ISNUMBER(SEARCH(","&amp;J173&amp;",",","&amp;SUBSTITUTE('1 Scholarships'!$H$2:$H$60," ","")&amp;","))&gt;0)*(('1 Scholarships'!$J$2:$J$60&lt;&gt;"Yes")+(L173="Yes")&gt;0)*((K173="")+ISNUMBER(SEARCH(","&amp;K173&amp;",",","&amp;SUBSTITUTE('1 Scholarships'!$P$2:$P$60," ","")&amp;","))&gt;0)*'1 Scholarships'!$F$2:$F$60)))</f>
        <v/>
      </c>
      <c r="O173" s="18"/>
      <c r="P173" s="18"/>
      <c r="Q173" s="18"/>
      <c r="R173" s="19"/>
      <c r="S173" s="19"/>
      <c r="T173" s="18"/>
      <c r="U173" s="18"/>
      <c r="V173" s="18"/>
    </row>
    <row r="174" customFormat="false" ht="15" hidden="false" customHeight="false" outlineLevel="0" collapsed="false">
      <c r="A174" s="18"/>
      <c r="B174" s="19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4" t="str">
        <f aca="false">IF(OR(I174="",J174=""),"",SUMPRODUCT((CODE(I174)&lt;=CODE('1 Scholarships'!$G$2:$G$60))*('1 Scholarships'!$A$2:$A$60&lt;&gt;"")*(('1 Scholarships'!$H$2:$H$60="")+ISNUMBER(SEARCH(","&amp;J174&amp;",",","&amp;SUBSTITUTE('1 Scholarships'!$H$2:$H$60," ","")&amp;","))&gt;0)*(('1 Scholarships'!$J$2:$J$60&lt;&gt;"Yes")+(L174="Yes")&gt;0)*((K174="")+ISNUMBER(SEARCH(","&amp;K174&amp;",",","&amp;SUBSTITUTE('1 Scholarships'!$P$2:$P$60," ","")&amp;","))&gt;0)))</f>
        <v/>
      </c>
      <c r="N174" s="20" t="str">
        <f aca="false">IF(OR(I174="",J174=""),"",SUMPRODUCT(MAX((CODE(I174)&lt;=CODE('1 Scholarships'!$G$2:$G$60))*('1 Scholarships'!$A$2:$A$60&lt;&gt;"")*(('1 Scholarships'!$H$2:$H$60="")+ISNUMBER(SEARCH(","&amp;J174&amp;",",","&amp;SUBSTITUTE('1 Scholarships'!$H$2:$H$60," ","")&amp;","))&gt;0)*(('1 Scholarships'!$J$2:$J$60&lt;&gt;"Yes")+(L174="Yes")&gt;0)*((K174="")+ISNUMBER(SEARCH(","&amp;K174&amp;",",","&amp;SUBSTITUTE('1 Scholarships'!$P$2:$P$60," ","")&amp;","))&gt;0)*'1 Scholarships'!$F$2:$F$60)))</f>
        <v/>
      </c>
      <c r="O174" s="18"/>
      <c r="P174" s="18"/>
      <c r="Q174" s="18"/>
      <c r="R174" s="19"/>
      <c r="S174" s="19"/>
      <c r="T174" s="18"/>
      <c r="U174" s="18"/>
      <c r="V174" s="18"/>
    </row>
    <row r="175" customFormat="false" ht="15" hidden="false" customHeight="false" outlineLevel="0" collapsed="false">
      <c r="A175" s="18"/>
      <c r="B175" s="19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4" t="str">
        <f aca="false">IF(OR(I175="",J175=""),"",SUMPRODUCT((CODE(I175)&lt;=CODE('1 Scholarships'!$G$2:$G$60))*('1 Scholarships'!$A$2:$A$60&lt;&gt;"")*(('1 Scholarships'!$H$2:$H$60="")+ISNUMBER(SEARCH(","&amp;J175&amp;",",","&amp;SUBSTITUTE('1 Scholarships'!$H$2:$H$60," ","")&amp;","))&gt;0)*(('1 Scholarships'!$J$2:$J$60&lt;&gt;"Yes")+(L175="Yes")&gt;0)*((K175="")+ISNUMBER(SEARCH(","&amp;K175&amp;",",","&amp;SUBSTITUTE('1 Scholarships'!$P$2:$P$60," ","")&amp;","))&gt;0)))</f>
        <v/>
      </c>
      <c r="N175" s="20" t="str">
        <f aca="false">IF(OR(I175="",J175=""),"",SUMPRODUCT(MAX((CODE(I175)&lt;=CODE('1 Scholarships'!$G$2:$G$60))*('1 Scholarships'!$A$2:$A$60&lt;&gt;"")*(('1 Scholarships'!$H$2:$H$60="")+ISNUMBER(SEARCH(","&amp;J175&amp;",",","&amp;SUBSTITUTE('1 Scholarships'!$H$2:$H$60," ","")&amp;","))&gt;0)*(('1 Scholarships'!$J$2:$J$60&lt;&gt;"Yes")+(L175="Yes")&gt;0)*((K175="")+ISNUMBER(SEARCH(","&amp;K175&amp;",",","&amp;SUBSTITUTE('1 Scholarships'!$P$2:$P$60," ","")&amp;","))&gt;0)*'1 Scholarships'!$F$2:$F$60)))</f>
        <v/>
      </c>
      <c r="O175" s="18"/>
      <c r="P175" s="18"/>
      <c r="Q175" s="18"/>
      <c r="R175" s="19"/>
      <c r="S175" s="19"/>
      <c r="T175" s="18"/>
      <c r="U175" s="18"/>
      <c r="V175" s="18"/>
    </row>
    <row r="176" customFormat="false" ht="15" hidden="false" customHeight="false" outlineLevel="0" collapsed="false">
      <c r="A176" s="18"/>
      <c r="B176" s="19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4" t="str">
        <f aca="false">IF(OR(I176="",J176=""),"",SUMPRODUCT((CODE(I176)&lt;=CODE('1 Scholarships'!$G$2:$G$60))*('1 Scholarships'!$A$2:$A$60&lt;&gt;"")*(('1 Scholarships'!$H$2:$H$60="")+ISNUMBER(SEARCH(","&amp;J176&amp;",",","&amp;SUBSTITUTE('1 Scholarships'!$H$2:$H$60," ","")&amp;","))&gt;0)*(('1 Scholarships'!$J$2:$J$60&lt;&gt;"Yes")+(L176="Yes")&gt;0)*((K176="")+ISNUMBER(SEARCH(","&amp;K176&amp;",",","&amp;SUBSTITUTE('1 Scholarships'!$P$2:$P$60," ","")&amp;","))&gt;0)))</f>
        <v/>
      </c>
      <c r="N176" s="20" t="str">
        <f aca="false">IF(OR(I176="",J176=""),"",SUMPRODUCT(MAX((CODE(I176)&lt;=CODE('1 Scholarships'!$G$2:$G$60))*('1 Scholarships'!$A$2:$A$60&lt;&gt;"")*(('1 Scholarships'!$H$2:$H$60="")+ISNUMBER(SEARCH(","&amp;J176&amp;",",","&amp;SUBSTITUTE('1 Scholarships'!$H$2:$H$60," ","")&amp;","))&gt;0)*(('1 Scholarships'!$J$2:$J$60&lt;&gt;"Yes")+(L176="Yes")&gt;0)*((K176="")+ISNUMBER(SEARCH(","&amp;K176&amp;",",","&amp;SUBSTITUTE('1 Scholarships'!$P$2:$P$60," ","")&amp;","))&gt;0)*'1 Scholarships'!$F$2:$F$60)))</f>
        <v/>
      </c>
      <c r="O176" s="18"/>
      <c r="P176" s="18"/>
      <c r="Q176" s="18"/>
      <c r="R176" s="19"/>
      <c r="S176" s="19"/>
      <c r="T176" s="18"/>
      <c r="U176" s="18"/>
      <c r="V176" s="18"/>
    </row>
    <row r="177" customFormat="false" ht="15" hidden="false" customHeight="false" outlineLevel="0" collapsed="false">
      <c r="A177" s="18"/>
      <c r="B177" s="19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4" t="str">
        <f aca="false">IF(OR(I177="",J177=""),"",SUMPRODUCT((CODE(I177)&lt;=CODE('1 Scholarships'!$G$2:$G$60))*('1 Scholarships'!$A$2:$A$60&lt;&gt;"")*(('1 Scholarships'!$H$2:$H$60="")+ISNUMBER(SEARCH(","&amp;J177&amp;",",","&amp;SUBSTITUTE('1 Scholarships'!$H$2:$H$60," ","")&amp;","))&gt;0)*(('1 Scholarships'!$J$2:$J$60&lt;&gt;"Yes")+(L177="Yes")&gt;0)*((K177="")+ISNUMBER(SEARCH(","&amp;K177&amp;",",","&amp;SUBSTITUTE('1 Scholarships'!$P$2:$P$60," ","")&amp;","))&gt;0)))</f>
        <v/>
      </c>
      <c r="N177" s="20" t="str">
        <f aca="false">IF(OR(I177="",J177=""),"",SUMPRODUCT(MAX((CODE(I177)&lt;=CODE('1 Scholarships'!$G$2:$G$60))*('1 Scholarships'!$A$2:$A$60&lt;&gt;"")*(('1 Scholarships'!$H$2:$H$60="")+ISNUMBER(SEARCH(","&amp;J177&amp;",",","&amp;SUBSTITUTE('1 Scholarships'!$H$2:$H$60," ","")&amp;","))&gt;0)*(('1 Scholarships'!$J$2:$J$60&lt;&gt;"Yes")+(L177="Yes")&gt;0)*((K177="")+ISNUMBER(SEARCH(","&amp;K177&amp;",",","&amp;SUBSTITUTE('1 Scholarships'!$P$2:$P$60," ","")&amp;","))&gt;0)*'1 Scholarships'!$F$2:$F$60)))</f>
        <v/>
      </c>
      <c r="O177" s="18"/>
      <c r="P177" s="18"/>
      <c r="Q177" s="18"/>
      <c r="R177" s="19"/>
      <c r="S177" s="19"/>
      <c r="T177" s="18"/>
      <c r="U177" s="18"/>
      <c r="V177" s="18"/>
    </row>
    <row r="178" customFormat="false" ht="15" hidden="false" customHeight="false" outlineLevel="0" collapsed="false">
      <c r="A178" s="18"/>
      <c r="B178" s="19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4" t="str">
        <f aca="false">IF(OR(I178="",J178=""),"",SUMPRODUCT((CODE(I178)&lt;=CODE('1 Scholarships'!$G$2:$G$60))*('1 Scholarships'!$A$2:$A$60&lt;&gt;"")*(('1 Scholarships'!$H$2:$H$60="")+ISNUMBER(SEARCH(","&amp;J178&amp;",",","&amp;SUBSTITUTE('1 Scholarships'!$H$2:$H$60," ","")&amp;","))&gt;0)*(('1 Scholarships'!$J$2:$J$60&lt;&gt;"Yes")+(L178="Yes")&gt;0)*((K178="")+ISNUMBER(SEARCH(","&amp;K178&amp;",",","&amp;SUBSTITUTE('1 Scholarships'!$P$2:$P$60," ","")&amp;","))&gt;0)))</f>
        <v/>
      </c>
      <c r="N178" s="20" t="str">
        <f aca="false">IF(OR(I178="",J178=""),"",SUMPRODUCT(MAX((CODE(I178)&lt;=CODE('1 Scholarships'!$G$2:$G$60))*('1 Scholarships'!$A$2:$A$60&lt;&gt;"")*(('1 Scholarships'!$H$2:$H$60="")+ISNUMBER(SEARCH(","&amp;J178&amp;",",","&amp;SUBSTITUTE('1 Scholarships'!$H$2:$H$60," ","")&amp;","))&gt;0)*(('1 Scholarships'!$J$2:$J$60&lt;&gt;"Yes")+(L178="Yes")&gt;0)*((K178="")+ISNUMBER(SEARCH(","&amp;K178&amp;",",","&amp;SUBSTITUTE('1 Scholarships'!$P$2:$P$60," ","")&amp;","))&gt;0)*'1 Scholarships'!$F$2:$F$60)))</f>
        <v/>
      </c>
      <c r="O178" s="18"/>
      <c r="P178" s="18"/>
      <c r="Q178" s="18"/>
      <c r="R178" s="19"/>
      <c r="S178" s="19"/>
      <c r="T178" s="18"/>
      <c r="U178" s="18"/>
      <c r="V178" s="18"/>
    </row>
    <row r="179" customFormat="false" ht="15" hidden="false" customHeight="false" outlineLevel="0" collapsed="false">
      <c r="A179" s="18"/>
      <c r="B179" s="19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4" t="str">
        <f aca="false">IF(OR(I179="",J179=""),"",SUMPRODUCT((CODE(I179)&lt;=CODE('1 Scholarships'!$G$2:$G$60))*('1 Scholarships'!$A$2:$A$60&lt;&gt;"")*(('1 Scholarships'!$H$2:$H$60="")+ISNUMBER(SEARCH(","&amp;J179&amp;",",","&amp;SUBSTITUTE('1 Scholarships'!$H$2:$H$60," ","")&amp;","))&gt;0)*(('1 Scholarships'!$J$2:$J$60&lt;&gt;"Yes")+(L179="Yes")&gt;0)*((K179="")+ISNUMBER(SEARCH(","&amp;K179&amp;",",","&amp;SUBSTITUTE('1 Scholarships'!$P$2:$P$60," ","")&amp;","))&gt;0)))</f>
        <v/>
      </c>
      <c r="N179" s="20" t="str">
        <f aca="false">IF(OR(I179="",J179=""),"",SUMPRODUCT(MAX((CODE(I179)&lt;=CODE('1 Scholarships'!$G$2:$G$60))*('1 Scholarships'!$A$2:$A$60&lt;&gt;"")*(('1 Scholarships'!$H$2:$H$60="")+ISNUMBER(SEARCH(","&amp;J179&amp;",",","&amp;SUBSTITUTE('1 Scholarships'!$H$2:$H$60," ","")&amp;","))&gt;0)*(('1 Scholarships'!$J$2:$J$60&lt;&gt;"Yes")+(L179="Yes")&gt;0)*((K179="")+ISNUMBER(SEARCH(","&amp;K179&amp;",",","&amp;SUBSTITUTE('1 Scholarships'!$P$2:$P$60," ","")&amp;","))&gt;0)*'1 Scholarships'!$F$2:$F$60)))</f>
        <v/>
      </c>
      <c r="O179" s="18"/>
      <c r="P179" s="18"/>
      <c r="Q179" s="18"/>
      <c r="R179" s="19"/>
      <c r="S179" s="19"/>
      <c r="T179" s="18"/>
      <c r="U179" s="18"/>
      <c r="V179" s="18"/>
    </row>
    <row r="180" customFormat="false" ht="15" hidden="false" customHeight="false" outlineLevel="0" collapsed="false">
      <c r="A180" s="18"/>
      <c r="B180" s="19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4" t="str">
        <f aca="false">IF(OR(I180="",J180=""),"",SUMPRODUCT((CODE(I180)&lt;=CODE('1 Scholarships'!$G$2:$G$60))*('1 Scholarships'!$A$2:$A$60&lt;&gt;"")*(('1 Scholarships'!$H$2:$H$60="")+ISNUMBER(SEARCH(","&amp;J180&amp;",",","&amp;SUBSTITUTE('1 Scholarships'!$H$2:$H$60," ","")&amp;","))&gt;0)*(('1 Scholarships'!$J$2:$J$60&lt;&gt;"Yes")+(L180="Yes")&gt;0)*((K180="")+ISNUMBER(SEARCH(","&amp;K180&amp;",",","&amp;SUBSTITUTE('1 Scholarships'!$P$2:$P$60," ","")&amp;","))&gt;0)))</f>
        <v/>
      </c>
      <c r="N180" s="20" t="str">
        <f aca="false">IF(OR(I180="",J180=""),"",SUMPRODUCT(MAX((CODE(I180)&lt;=CODE('1 Scholarships'!$G$2:$G$60))*('1 Scholarships'!$A$2:$A$60&lt;&gt;"")*(('1 Scholarships'!$H$2:$H$60="")+ISNUMBER(SEARCH(","&amp;J180&amp;",",","&amp;SUBSTITUTE('1 Scholarships'!$H$2:$H$60," ","")&amp;","))&gt;0)*(('1 Scholarships'!$J$2:$J$60&lt;&gt;"Yes")+(L180="Yes")&gt;0)*((K180="")+ISNUMBER(SEARCH(","&amp;K180&amp;",",","&amp;SUBSTITUTE('1 Scholarships'!$P$2:$P$60," ","")&amp;","))&gt;0)*'1 Scholarships'!$F$2:$F$60)))</f>
        <v/>
      </c>
      <c r="O180" s="18"/>
      <c r="P180" s="18"/>
      <c r="Q180" s="18"/>
      <c r="R180" s="19"/>
      <c r="S180" s="19"/>
      <c r="T180" s="18"/>
      <c r="U180" s="18"/>
      <c r="V180" s="18"/>
    </row>
    <row r="181" customFormat="false" ht="15" hidden="false" customHeight="false" outlineLevel="0" collapsed="false">
      <c r="A181" s="18"/>
      <c r="B181" s="19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4" t="str">
        <f aca="false">IF(OR(I181="",J181=""),"",SUMPRODUCT((CODE(I181)&lt;=CODE('1 Scholarships'!$G$2:$G$60))*('1 Scholarships'!$A$2:$A$60&lt;&gt;"")*(('1 Scholarships'!$H$2:$H$60="")+ISNUMBER(SEARCH(","&amp;J181&amp;",",","&amp;SUBSTITUTE('1 Scholarships'!$H$2:$H$60," ","")&amp;","))&gt;0)*(('1 Scholarships'!$J$2:$J$60&lt;&gt;"Yes")+(L181="Yes")&gt;0)*((K181="")+ISNUMBER(SEARCH(","&amp;K181&amp;",",","&amp;SUBSTITUTE('1 Scholarships'!$P$2:$P$60," ","")&amp;","))&gt;0)))</f>
        <v/>
      </c>
      <c r="N181" s="20" t="str">
        <f aca="false">IF(OR(I181="",J181=""),"",SUMPRODUCT(MAX((CODE(I181)&lt;=CODE('1 Scholarships'!$G$2:$G$60))*('1 Scholarships'!$A$2:$A$60&lt;&gt;"")*(('1 Scholarships'!$H$2:$H$60="")+ISNUMBER(SEARCH(","&amp;J181&amp;",",","&amp;SUBSTITUTE('1 Scholarships'!$H$2:$H$60," ","")&amp;","))&gt;0)*(('1 Scholarships'!$J$2:$J$60&lt;&gt;"Yes")+(L181="Yes")&gt;0)*((K181="")+ISNUMBER(SEARCH(","&amp;K181&amp;",",","&amp;SUBSTITUTE('1 Scholarships'!$P$2:$P$60," ","")&amp;","))&gt;0)*'1 Scholarships'!$F$2:$F$60)))</f>
        <v/>
      </c>
      <c r="O181" s="18"/>
      <c r="P181" s="18"/>
      <c r="Q181" s="18"/>
      <c r="R181" s="19"/>
      <c r="S181" s="19"/>
      <c r="T181" s="18"/>
      <c r="U181" s="18"/>
      <c r="V181" s="18"/>
    </row>
    <row r="182" customFormat="false" ht="15" hidden="false" customHeight="false" outlineLevel="0" collapsed="false">
      <c r="A182" s="18"/>
      <c r="B182" s="19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4" t="str">
        <f aca="false">IF(OR(I182="",J182=""),"",SUMPRODUCT((CODE(I182)&lt;=CODE('1 Scholarships'!$G$2:$G$60))*('1 Scholarships'!$A$2:$A$60&lt;&gt;"")*(('1 Scholarships'!$H$2:$H$60="")+ISNUMBER(SEARCH(","&amp;J182&amp;",",","&amp;SUBSTITUTE('1 Scholarships'!$H$2:$H$60," ","")&amp;","))&gt;0)*(('1 Scholarships'!$J$2:$J$60&lt;&gt;"Yes")+(L182="Yes")&gt;0)*((K182="")+ISNUMBER(SEARCH(","&amp;K182&amp;",",","&amp;SUBSTITUTE('1 Scholarships'!$P$2:$P$60," ","")&amp;","))&gt;0)))</f>
        <v/>
      </c>
      <c r="N182" s="20" t="str">
        <f aca="false">IF(OR(I182="",J182=""),"",SUMPRODUCT(MAX((CODE(I182)&lt;=CODE('1 Scholarships'!$G$2:$G$60))*('1 Scholarships'!$A$2:$A$60&lt;&gt;"")*(('1 Scholarships'!$H$2:$H$60="")+ISNUMBER(SEARCH(","&amp;J182&amp;",",","&amp;SUBSTITUTE('1 Scholarships'!$H$2:$H$60," ","")&amp;","))&gt;0)*(('1 Scholarships'!$J$2:$J$60&lt;&gt;"Yes")+(L182="Yes")&gt;0)*((K182="")+ISNUMBER(SEARCH(","&amp;K182&amp;",",","&amp;SUBSTITUTE('1 Scholarships'!$P$2:$P$60," ","")&amp;","))&gt;0)*'1 Scholarships'!$F$2:$F$60)))</f>
        <v/>
      </c>
      <c r="O182" s="18"/>
      <c r="P182" s="18"/>
      <c r="Q182" s="18"/>
      <c r="R182" s="19"/>
      <c r="S182" s="19"/>
      <c r="T182" s="18"/>
      <c r="U182" s="18"/>
      <c r="V182" s="18"/>
    </row>
    <row r="183" customFormat="false" ht="15" hidden="false" customHeight="false" outlineLevel="0" collapsed="false">
      <c r="A183" s="18"/>
      <c r="B183" s="19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4" t="str">
        <f aca="false">IF(OR(I183="",J183=""),"",SUMPRODUCT((CODE(I183)&lt;=CODE('1 Scholarships'!$G$2:$G$60))*('1 Scholarships'!$A$2:$A$60&lt;&gt;"")*(('1 Scholarships'!$H$2:$H$60="")+ISNUMBER(SEARCH(","&amp;J183&amp;",",","&amp;SUBSTITUTE('1 Scholarships'!$H$2:$H$60," ","")&amp;","))&gt;0)*(('1 Scholarships'!$J$2:$J$60&lt;&gt;"Yes")+(L183="Yes")&gt;0)*((K183="")+ISNUMBER(SEARCH(","&amp;K183&amp;",",","&amp;SUBSTITUTE('1 Scholarships'!$P$2:$P$60," ","")&amp;","))&gt;0)))</f>
        <v/>
      </c>
      <c r="N183" s="20" t="str">
        <f aca="false">IF(OR(I183="",J183=""),"",SUMPRODUCT(MAX((CODE(I183)&lt;=CODE('1 Scholarships'!$G$2:$G$60))*('1 Scholarships'!$A$2:$A$60&lt;&gt;"")*(('1 Scholarships'!$H$2:$H$60="")+ISNUMBER(SEARCH(","&amp;J183&amp;",",","&amp;SUBSTITUTE('1 Scholarships'!$H$2:$H$60," ","")&amp;","))&gt;0)*(('1 Scholarships'!$J$2:$J$60&lt;&gt;"Yes")+(L183="Yes")&gt;0)*((K183="")+ISNUMBER(SEARCH(","&amp;K183&amp;",",","&amp;SUBSTITUTE('1 Scholarships'!$P$2:$P$60," ","")&amp;","))&gt;0)*'1 Scholarships'!$F$2:$F$60)))</f>
        <v/>
      </c>
      <c r="O183" s="18"/>
      <c r="P183" s="18"/>
      <c r="Q183" s="18"/>
      <c r="R183" s="19"/>
      <c r="S183" s="19"/>
      <c r="T183" s="18"/>
      <c r="U183" s="18"/>
      <c r="V183" s="18"/>
    </row>
    <row r="184" customFormat="false" ht="15" hidden="false" customHeight="false" outlineLevel="0" collapsed="false">
      <c r="A184" s="18"/>
      <c r="B184" s="19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4" t="str">
        <f aca="false">IF(OR(I184="",J184=""),"",SUMPRODUCT((CODE(I184)&lt;=CODE('1 Scholarships'!$G$2:$G$60))*('1 Scholarships'!$A$2:$A$60&lt;&gt;"")*(('1 Scholarships'!$H$2:$H$60="")+ISNUMBER(SEARCH(","&amp;J184&amp;",",","&amp;SUBSTITUTE('1 Scholarships'!$H$2:$H$60," ","")&amp;","))&gt;0)*(('1 Scholarships'!$J$2:$J$60&lt;&gt;"Yes")+(L184="Yes")&gt;0)*((K184="")+ISNUMBER(SEARCH(","&amp;K184&amp;",",","&amp;SUBSTITUTE('1 Scholarships'!$P$2:$P$60," ","")&amp;","))&gt;0)))</f>
        <v/>
      </c>
      <c r="N184" s="20" t="str">
        <f aca="false">IF(OR(I184="",J184=""),"",SUMPRODUCT(MAX((CODE(I184)&lt;=CODE('1 Scholarships'!$G$2:$G$60))*('1 Scholarships'!$A$2:$A$60&lt;&gt;"")*(('1 Scholarships'!$H$2:$H$60="")+ISNUMBER(SEARCH(","&amp;J184&amp;",",","&amp;SUBSTITUTE('1 Scholarships'!$H$2:$H$60," ","")&amp;","))&gt;0)*(('1 Scholarships'!$J$2:$J$60&lt;&gt;"Yes")+(L184="Yes")&gt;0)*((K184="")+ISNUMBER(SEARCH(","&amp;K184&amp;",",","&amp;SUBSTITUTE('1 Scholarships'!$P$2:$P$60," ","")&amp;","))&gt;0)*'1 Scholarships'!$F$2:$F$60)))</f>
        <v/>
      </c>
      <c r="O184" s="18"/>
      <c r="P184" s="18"/>
      <c r="Q184" s="18"/>
      <c r="R184" s="19"/>
      <c r="S184" s="19"/>
      <c r="T184" s="18"/>
      <c r="U184" s="18"/>
      <c r="V184" s="18"/>
    </row>
    <row r="185" customFormat="false" ht="15" hidden="false" customHeight="false" outlineLevel="0" collapsed="false">
      <c r="A185" s="18"/>
      <c r="B185" s="19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4" t="str">
        <f aca="false">IF(OR(I185="",J185=""),"",SUMPRODUCT((CODE(I185)&lt;=CODE('1 Scholarships'!$G$2:$G$60))*('1 Scholarships'!$A$2:$A$60&lt;&gt;"")*(('1 Scholarships'!$H$2:$H$60="")+ISNUMBER(SEARCH(","&amp;J185&amp;",",","&amp;SUBSTITUTE('1 Scholarships'!$H$2:$H$60," ","")&amp;","))&gt;0)*(('1 Scholarships'!$J$2:$J$60&lt;&gt;"Yes")+(L185="Yes")&gt;0)*((K185="")+ISNUMBER(SEARCH(","&amp;K185&amp;",",","&amp;SUBSTITUTE('1 Scholarships'!$P$2:$P$60," ","")&amp;","))&gt;0)))</f>
        <v/>
      </c>
      <c r="N185" s="20" t="str">
        <f aca="false">IF(OR(I185="",J185=""),"",SUMPRODUCT(MAX((CODE(I185)&lt;=CODE('1 Scholarships'!$G$2:$G$60))*('1 Scholarships'!$A$2:$A$60&lt;&gt;"")*(('1 Scholarships'!$H$2:$H$60="")+ISNUMBER(SEARCH(","&amp;J185&amp;",",","&amp;SUBSTITUTE('1 Scholarships'!$H$2:$H$60," ","")&amp;","))&gt;0)*(('1 Scholarships'!$J$2:$J$60&lt;&gt;"Yes")+(L185="Yes")&gt;0)*((K185="")+ISNUMBER(SEARCH(","&amp;K185&amp;",",","&amp;SUBSTITUTE('1 Scholarships'!$P$2:$P$60," ","")&amp;","))&gt;0)*'1 Scholarships'!$F$2:$F$60)))</f>
        <v/>
      </c>
      <c r="O185" s="18"/>
      <c r="P185" s="18"/>
      <c r="Q185" s="18"/>
      <c r="R185" s="19"/>
      <c r="S185" s="19"/>
      <c r="T185" s="18"/>
      <c r="U185" s="18"/>
      <c r="V185" s="18"/>
    </row>
    <row r="186" customFormat="false" ht="15" hidden="false" customHeight="false" outlineLevel="0" collapsed="false">
      <c r="A186" s="18"/>
      <c r="B186" s="19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4" t="str">
        <f aca="false">IF(OR(I186="",J186=""),"",SUMPRODUCT((CODE(I186)&lt;=CODE('1 Scholarships'!$G$2:$G$60))*('1 Scholarships'!$A$2:$A$60&lt;&gt;"")*(('1 Scholarships'!$H$2:$H$60="")+ISNUMBER(SEARCH(","&amp;J186&amp;",",","&amp;SUBSTITUTE('1 Scholarships'!$H$2:$H$60," ","")&amp;","))&gt;0)*(('1 Scholarships'!$J$2:$J$60&lt;&gt;"Yes")+(L186="Yes")&gt;0)*((K186="")+ISNUMBER(SEARCH(","&amp;K186&amp;",",","&amp;SUBSTITUTE('1 Scholarships'!$P$2:$P$60," ","")&amp;","))&gt;0)))</f>
        <v/>
      </c>
      <c r="N186" s="20" t="str">
        <f aca="false">IF(OR(I186="",J186=""),"",SUMPRODUCT(MAX((CODE(I186)&lt;=CODE('1 Scholarships'!$G$2:$G$60))*('1 Scholarships'!$A$2:$A$60&lt;&gt;"")*(('1 Scholarships'!$H$2:$H$60="")+ISNUMBER(SEARCH(","&amp;J186&amp;",",","&amp;SUBSTITUTE('1 Scholarships'!$H$2:$H$60," ","")&amp;","))&gt;0)*(('1 Scholarships'!$J$2:$J$60&lt;&gt;"Yes")+(L186="Yes")&gt;0)*((K186="")+ISNUMBER(SEARCH(","&amp;K186&amp;",",","&amp;SUBSTITUTE('1 Scholarships'!$P$2:$P$60," ","")&amp;","))&gt;0)*'1 Scholarships'!$F$2:$F$60)))</f>
        <v/>
      </c>
      <c r="O186" s="18"/>
      <c r="P186" s="18"/>
      <c r="Q186" s="18"/>
      <c r="R186" s="19"/>
      <c r="S186" s="19"/>
      <c r="T186" s="18"/>
      <c r="U186" s="18"/>
      <c r="V186" s="18"/>
    </row>
    <row r="187" customFormat="false" ht="15" hidden="false" customHeight="false" outlineLevel="0" collapsed="false">
      <c r="A187" s="18"/>
      <c r="B187" s="19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4" t="str">
        <f aca="false">IF(OR(I187="",J187=""),"",SUMPRODUCT((CODE(I187)&lt;=CODE('1 Scholarships'!$G$2:$G$60))*('1 Scholarships'!$A$2:$A$60&lt;&gt;"")*(('1 Scholarships'!$H$2:$H$60="")+ISNUMBER(SEARCH(","&amp;J187&amp;",",","&amp;SUBSTITUTE('1 Scholarships'!$H$2:$H$60," ","")&amp;","))&gt;0)*(('1 Scholarships'!$J$2:$J$60&lt;&gt;"Yes")+(L187="Yes")&gt;0)*((K187="")+ISNUMBER(SEARCH(","&amp;K187&amp;",",","&amp;SUBSTITUTE('1 Scholarships'!$P$2:$P$60," ","")&amp;","))&gt;0)))</f>
        <v/>
      </c>
      <c r="N187" s="20" t="str">
        <f aca="false">IF(OR(I187="",J187=""),"",SUMPRODUCT(MAX((CODE(I187)&lt;=CODE('1 Scholarships'!$G$2:$G$60))*('1 Scholarships'!$A$2:$A$60&lt;&gt;"")*(('1 Scholarships'!$H$2:$H$60="")+ISNUMBER(SEARCH(","&amp;J187&amp;",",","&amp;SUBSTITUTE('1 Scholarships'!$H$2:$H$60," ","")&amp;","))&gt;0)*(('1 Scholarships'!$J$2:$J$60&lt;&gt;"Yes")+(L187="Yes")&gt;0)*((K187="")+ISNUMBER(SEARCH(","&amp;K187&amp;",",","&amp;SUBSTITUTE('1 Scholarships'!$P$2:$P$60," ","")&amp;","))&gt;0)*'1 Scholarships'!$F$2:$F$60)))</f>
        <v/>
      </c>
      <c r="O187" s="18"/>
      <c r="P187" s="18"/>
      <c r="Q187" s="18"/>
      <c r="R187" s="19"/>
      <c r="S187" s="19"/>
      <c r="T187" s="18"/>
      <c r="U187" s="18"/>
      <c r="V187" s="18"/>
    </row>
    <row r="188" customFormat="false" ht="15" hidden="false" customHeight="false" outlineLevel="0" collapsed="false">
      <c r="A188" s="18"/>
      <c r="B188" s="19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4" t="str">
        <f aca="false">IF(OR(I188="",J188=""),"",SUMPRODUCT((CODE(I188)&lt;=CODE('1 Scholarships'!$G$2:$G$60))*('1 Scholarships'!$A$2:$A$60&lt;&gt;"")*(('1 Scholarships'!$H$2:$H$60="")+ISNUMBER(SEARCH(","&amp;J188&amp;",",","&amp;SUBSTITUTE('1 Scholarships'!$H$2:$H$60," ","")&amp;","))&gt;0)*(('1 Scholarships'!$J$2:$J$60&lt;&gt;"Yes")+(L188="Yes")&gt;0)*((K188="")+ISNUMBER(SEARCH(","&amp;K188&amp;",",","&amp;SUBSTITUTE('1 Scholarships'!$P$2:$P$60," ","")&amp;","))&gt;0)))</f>
        <v/>
      </c>
      <c r="N188" s="20" t="str">
        <f aca="false">IF(OR(I188="",J188=""),"",SUMPRODUCT(MAX((CODE(I188)&lt;=CODE('1 Scholarships'!$G$2:$G$60))*('1 Scholarships'!$A$2:$A$60&lt;&gt;"")*(('1 Scholarships'!$H$2:$H$60="")+ISNUMBER(SEARCH(","&amp;J188&amp;",",","&amp;SUBSTITUTE('1 Scholarships'!$H$2:$H$60," ","")&amp;","))&gt;0)*(('1 Scholarships'!$J$2:$J$60&lt;&gt;"Yes")+(L188="Yes")&gt;0)*((K188="")+ISNUMBER(SEARCH(","&amp;K188&amp;",",","&amp;SUBSTITUTE('1 Scholarships'!$P$2:$P$60," ","")&amp;","))&gt;0)*'1 Scholarships'!$F$2:$F$60)))</f>
        <v/>
      </c>
      <c r="O188" s="18"/>
      <c r="P188" s="18"/>
      <c r="Q188" s="18"/>
      <c r="R188" s="19"/>
      <c r="S188" s="19"/>
      <c r="T188" s="18"/>
      <c r="U188" s="18"/>
      <c r="V188" s="18"/>
    </row>
    <row r="189" customFormat="false" ht="15" hidden="false" customHeight="false" outlineLevel="0" collapsed="false">
      <c r="A189" s="18"/>
      <c r="B189" s="19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4" t="str">
        <f aca="false">IF(OR(I189="",J189=""),"",SUMPRODUCT((CODE(I189)&lt;=CODE('1 Scholarships'!$G$2:$G$60))*('1 Scholarships'!$A$2:$A$60&lt;&gt;"")*(('1 Scholarships'!$H$2:$H$60="")+ISNUMBER(SEARCH(","&amp;J189&amp;",",","&amp;SUBSTITUTE('1 Scholarships'!$H$2:$H$60," ","")&amp;","))&gt;0)*(('1 Scholarships'!$J$2:$J$60&lt;&gt;"Yes")+(L189="Yes")&gt;0)*((K189="")+ISNUMBER(SEARCH(","&amp;K189&amp;",",","&amp;SUBSTITUTE('1 Scholarships'!$P$2:$P$60," ","")&amp;","))&gt;0)))</f>
        <v/>
      </c>
      <c r="N189" s="20" t="str">
        <f aca="false">IF(OR(I189="",J189=""),"",SUMPRODUCT(MAX((CODE(I189)&lt;=CODE('1 Scholarships'!$G$2:$G$60))*('1 Scholarships'!$A$2:$A$60&lt;&gt;"")*(('1 Scholarships'!$H$2:$H$60="")+ISNUMBER(SEARCH(","&amp;J189&amp;",",","&amp;SUBSTITUTE('1 Scholarships'!$H$2:$H$60," ","")&amp;","))&gt;0)*(('1 Scholarships'!$J$2:$J$60&lt;&gt;"Yes")+(L189="Yes")&gt;0)*((K189="")+ISNUMBER(SEARCH(","&amp;K189&amp;",",","&amp;SUBSTITUTE('1 Scholarships'!$P$2:$P$60," ","")&amp;","))&gt;0)*'1 Scholarships'!$F$2:$F$60)))</f>
        <v/>
      </c>
      <c r="O189" s="18"/>
      <c r="P189" s="18"/>
      <c r="Q189" s="18"/>
      <c r="R189" s="19"/>
      <c r="S189" s="19"/>
      <c r="T189" s="18"/>
      <c r="U189" s="18"/>
      <c r="V189" s="18"/>
    </row>
    <row r="190" customFormat="false" ht="15" hidden="false" customHeight="false" outlineLevel="0" collapsed="false">
      <c r="A190" s="18"/>
      <c r="B190" s="19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4" t="str">
        <f aca="false">IF(OR(I190="",J190=""),"",SUMPRODUCT((CODE(I190)&lt;=CODE('1 Scholarships'!$G$2:$G$60))*('1 Scholarships'!$A$2:$A$60&lt;&gt;"")*(('1 Scholarships'!$H$2:$H$60="")+ISNUMBER(SEARCH(","&amp;J190&amp;",",","&amp;SUBSTITUTE('1 Scholarships'!$H$2:$H$60," ","")&amp;","))&gt;0)*(('1 Scholarships'!$J$2:$J$60&lt;&gt;"Yes")+(L190="Yes")&gt;0)*((K190="")+ISNUMBER(SEARCH(","&amp;K190&amp;",",","&amp;SUBSTITUTE('1 Scholarships'!$P$2:$P$60," ","")&amp;","))&gt;0)))</f>
        <v/>
      </c>
      <c r="N190" s="20" t="str">
        <f aca="false">IF(OR(I190="",J190=""),"",SUMPRODUCT(MAX((CODE(I190)&lt;=CODE('1 Scholarships'!$G$2:$G$60))*('1 Scholarships'!$A$2:$A$60&lt;&gt;"")*(('1 Scholarships'!$H$2:$H$60="")+ISNUMBER(SEARCH(","&amp;J190&amp;",",","&amp;SUBSTITUTE('1 Scholarships'!$H$2:$H$60," ","")&amp;","))&gt;0)*(('1 Scholarships'!$J$2:$J$60&lt;&gt;"Yes")+(L190="Yes")&gt;0)*((K190="")+ISNUMBER(SEARCH(","&amp;K190&amp;",",","&amp;SUBSTITUTE('1 Scholarships'!$P$2:$P$60," ","")&amp;","))&gt;0)*'1 Scholarships'!$F$2:$F$60)))</f>
        <v/>
      </c>
      <c r="O190" s="18"/>
      <c r="P190" s="18"/>
      <c r="Q190" s="18"/>
      <c r="R190" s="19"/>
      <c r="S190" s="19"/>
      <c r="T190" s="18"/>
      <c r="U190" s="18"/>
      <c r="V190" s="18"/>
    </row>
    <row r="191" customFormat="false" ht="15" hidden="false" customHeight="false" outlineLevel="0" collapsed="false">
      <c r="A191" s="18"/>
      <c r="B191" s="19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4" t="str">
        <f aca="false">IF(OR(I191="",J191=""),"",SUMPRODUCT((CODE(I191)&lt;=CODE('1 Scholarships'!$G$2:$G$60))*('1 Scholarships'!$A$2:$A$60&lt;&gt;"")*(('1 Scholarships'!$H$2:$H$60="")+ISNUMBER(SEARCH(","&amp;J191&amp;",",","&amp;SUBSTITUTE('1 Scholarships'!$H$2:$H$60," ","")&amp;","))&gt;0)*(('1 Scholarships'!$J$2:$J$60&lt;&gt;"Yes")+(L191="Yes")&gt;0)*((K191="")+ISNUMBER(SEARCH(","&amp;K191&amp;",",","&amp;SUBSTITUTE('1 Scholarships'!$P$2:$P$60," ","")&amp;","))&gt;0)))</f>
        <v/>
      </c>
      <c r="N191" s="20" t="str">
        <f aca="false">IF(OR(I191="",J191=""),"",SUMPRODUCT(MAX((CODE(I191)&lt;=CODE('1 Scholarships'!$G$2:$G$60))*('1 Scholarships'!$A$2:$A$60&lt;&gt;"")*(('1 Scholarships'!$H$2:$H$60="")+ISNUMBER(SEARCH(","&amp;J191&amp;",",","&amp;SUBSTITUTE('1 Scholarships'!$H$2:$H$60," ","")&amp;","))&gt;0)*(('1 Scholarships'!$J$2:$J$60&lt;&gt;"Yes")+(L191="Yes")&gt;0)*((K191="")+ISNUMBER(SEARCH(","&amp;K191&amp;",",","&amp;SUBSTITUTE('1 Scholarships'!$P$2:$P$60," ","")&amp;","))&gt;0)*'1 Scholarships'!$F$2:$F$60)))</f>
        <v/>
      </c>
      <c r="O191" s="18"/>
      <c r="P191" s="18"/>
      <c r="Q191" s="18"/>
      <c r="R191" s="19"/>
      <c r="S191" s="19"/>
      <c r="T191" s="18"/>
      <c r="U191" s="18"/>
      <c r="V191" s="18"/>
    </row>
    <row r="192" customFormat="false" ht="15" hidden="false" customHeight="false" outlineLevel="0" collapsed="false">
      <c r="A192" s="18"/>
      <c r="B192" s="19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4" t="str">
        <f aca="false">IF(OR(I192="",J192=""),"",SUMPRODUCT((CODE(I192)&lt;=CODE('1 Scholarships'!$G$2:$G$60))*('1 Scholarships'!$A$2:$A$60&lt;&gt;"")*(('1 Scholarships'!$H$2:$H$60="")+ISNUMBER(SEARCH(","&amp;J192&amp;",",","&amp;SUBSTITUTE('1 Scholarships'!$H$2:$H$60," ","")&amp;","))&gt;0)*(('1 Scholarships'!$J$2:$J$60&lt;&gt;"Yes")+(L192="Yes")&gt;0)*((K192="")+ISNUMBER(SEARCH(","&amp;K192&amp;",",","&amp;SUBSTITUTE('1 Scholarships'!$P$2:$P$60," ","")&amp;","))&gt;0)))</f>
        <v/>
      </c>
      <c r="N192" s="20" t="str">
        <f aca="false">IF(OR(I192="",J192=""),"",SUMPRODUCT(MAX((CODE(I192)&lt;=CODE('1 Scholarships'!$G$2:$G$60))*('1 Scholarships'!$A$2:$A$60&lt;&gt;"")*(('1 Scholarships'!$H$2:$H$60="")+ISNUMBER(SEARCH(","&amp;J192&amp;",",","&amp;SUBSTITUTE('1 Scholarships'!$H$2:$H$60," ","")&amp;","))&gt;0)*(('1 Scholarships'!$J$2:$J$60&lt;&gt;"Yes")+(L192="Yes")&gt;0)*((K192="")+ISNUMBER(SEARCH(","&amp;K192&amp;",",","&amp;SUBSTITUTE('1 Scholarships'!$P$2:$P$60," ","")&amp;","))&gt;0)*'1 Scholarships'!$F$2:$F$60)))</f>
        <v/>
      </c>
      <c r="O192" s="18"/>
      <c r="P192" s="18"/>
      <c r="Q192" s="18"/>
      <c r="R192" s="19"/>
      <c r="S192" s="19"/>
      <c r="T192" s="18"/>
      <c r="U192" s="18"/>
      <c r="V192" s="18"/>
    </row>
    <row r="193" customFormat="false" ht="15" hidden="false" customHeight="false" outlineLevel="0" collapsed="false">
      <c r="A193" s="18"/>
      <c r="B193" s="19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4" t="str">
        <f aca="false">IF(OR(I193="",J193=""),"",SUMPRODUCT((CODE(I193)&lt;=CODE('1 Scholarships'!$G$2:$G$60))*('1 Scholarships'!$A$2:$A$60&lt;&gt;"")*(('1 Scholarships'!$H$2:$H$60="")+ISNUMBER(SEARCH(","&amp;J193&amp;",",","&amp;SUBSTITUTE('1 Scholarships'!$H$2:$H$60," ","")&amp;","))&gt;0)*(('1 Scholarships'!$J$2:$J$60&lt;&gt;"Yes")+(L193="Yes")&gt;0)*((K193="")+ISNUMBER(SEARCH(","&amp;K193&amp;",",","&amp;SUBSTITUTE('1 Scholarships'!$P$2:$P$60," ","")&amp;","))&gt;0)))</f>
        <v/>
      </c>
      <c r="N193" s="20" t="str">
        <f aca="false">IF(OR(I193="",J193=""),"",SUMPRODUCT(MAX((CODE(I193)&lt;=CODE('1 Scholarships'!$G$2:$G$60))*('1 Scholarships'!$A$2:$A$60&lt;&gt;"")*(('1 Scholarships'!$H$2:$H$60="")+ISNUMBER(SEARCH(","&amp;J193&amp;",",","&amp;SUBSTITUTE('1 Scholarships'!$H$2:$H$60," ","")&amp;","))&gt;0)*(('1 Scholarships'!$J$2:$J$60&lt;&gt;"Yes")+(L193="Yes")&gt;0)*((K193="")+ISNUMBER(SEARCH(","&amp;K193&amp;",",","&amp;SUBSTITUTE('1 Scholarships'!$P$2:$P$60," ","")&amp;","))&gt;0)*'1 Scholarships'!$F$2:$F$60)))</f>
        <v/>
      </c>
      <c r="O193" s="18"/>
      <c r="P193" s="18"/>
      <c r="Q193" s="18"/>
      <c r="R193" s="19"/>
      <c r="S193" s="19"/>
      <c r="T193" s="18"/>
      <c r="U193" s="18"/>
      <c r="V193" s="18"/>
    </row>
    <row r="194" customFormat="false" ht="15" hidden="false" customHeight="false" outlineLevel="0" collapsed="false">
      <c r="A194" s="18"/>
      <c r="B194" s="19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4" t="str">
        <f aca="false">IF(OR(I194="",J194=""),"",SUMPRODUCT((CODE(I194)&lt;=CODE('1 Scholarships'!$G$2:$G$60))*('1 Scholarships'!$A$2:$A$60&lt;&gt;"")*(('1 Scholarships'!$H$2:$H$60="")+ISNUMBER(SEARCH(","&amp;J194&amp;",",","&amp;SUBSTITUTE('1 Scholarships'!$H$2:$H$60," ","")&amp;","))&gt;0)*(('1 Scholarships'!$J$2:$J$60&lt;&gt;"Yes")+(L194="Yes")&gt;0)*((K194="")+ISNUMBER(SEARCH(","&amp;K194&amp;",",","&amp;SUBSTITUTE('1 Scholarships'!$P$2:$P$60," ","")&amp;","))&gt;0)))</f>
        <v/>
      </c>
      <c r="N194" s="20" t="str">
        <f aca="false">IF(OR(I194="",J194=""),"",SUMPRODUCT(MAX((CODE(I194)&lt;=CODE('1 Scholarships'!$G$2:$G$60))*('1 Scholarships'!$A$2:$A$60&lt;&gt;"")*(('1 Scholarships'!$H$2:$H$60="")+ISNUMBER(SEARCH(","&amp;J194&amp;",",","&amp;SUBSTITUTE('1 Scholarships'!$H$2:$H$60," ","")&amp;","))&gt;0)*(('1 Scholarships'!$J$2:$J$60&lt;&gt;"Yes")+(L194="Yes")&gt;0)*((K194="")+ISNUMBER(SEARCH(","&amp;K194&amp;",",","&amp;SUBSTITUTE('1 Scholarships'!$P$2:$P$60," ","")&amp;","))&gt;0)*'1 Scholarships'!$F$2:$F$60)))</f>
        <v/>
      </c>
      <c r="O194" s="18"/>
      <c r="P194" s="18"/>
      <c r="Q194" s="18"/>
      <c r="R194" s="19"/>
      <c r="S194" s="19"/>
      <c r="T194" s="18"/>
      <c r="U194" s="18"/>
      <c r="V194" s="18"/>
    </row>
    <row r="195" customFormat="false" ht="15" hidden="false" customHeight="false" outlineLevel="0" collapsed="false">
      <c r="A195" s="18"/>
      <c r="B195" s="19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4" t="str">
        <f aca="false">IF(OR(I195="",J195=""),"",SUMPRODUCT((CODE(I195)&lt;=CODE('1 Scholarships'!$G$2:$G$60))*('1 Scholarships'!$A$2:$A$60&lt;&gt;"")*(('1 Scholarships'!$H$2:$H$60="")+ISNUMBER(SEARCH(","&amp;J195&amp;",",","&amp;SUBSTITUTE('1 Scholarships'!$H$2:$H$60," ","")&amp;","))&gt;0)*(('1 Scholarships'!$J$2:$J$60&lt;&gt;"Yes")+(L195="Yes")&gt;0)*((K195="")+ISNUMBER(SEARCH(","&amp;K195&amp;",",","&amp;SUBSTITUTE('1 Scholarships'!$P$2:$P$60," ","")&amp;","))&gt;0)))</f>
        <v/>
      </c>
      <c r="N195" s="20" t="str">
        <f aca="false">IF(OR(I195="",J195=""),"",SUMPRODUCT(MAX((CODE(I195)&lt;=CODE('1 Scholarships'!$G$2:$G$60))*('1 Scholarships'!$A$2:$A$60&lt;&gt;"")*(('1 Scholarships'!$H$2:$H$60="")+ISNUMBER(SEARCH(","&amp;J195&amp;",",","&amp;SUBSTITUTE('1 Scholarships'!$H$2:$H$60," ","")&amp;","))&gt;0)*(('1 Scholarships'!$J$2:$J$60&lt;&gt;"Yes")+(L195="Yes")&gt;0)*((K195="")+ISNUMBER(SEARCH(","&amp;K195&amp;",",","&amp;SUBSTITUTE('1 Scholarships'!$P$2:$P$60," ","")&amp;","))&gt;0)*'1 Scholarships'!$F$2:$F$60)))</f>
        <v/>
      </c>
      <c r="O195" s="18"/>
      <c r="P195" s="18"/>
      <c r="Q195" s="18"/>
      <c r="R195" s="19"/>
      <c r="S195" s="19"/>
      <c r="T195" s="18"/>
      <c r="U195" s="18"/>
      <c r="V195" s="18"/>
    </row>
    <row r="196" customFormat="false" ht="15" hidden="false" customHeight="false" outlineLevel="0" collapsed="false">
      <c r="A196" s="18"/>
      <c r="B196" s="19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4" t="str">
        <f aca="false">IF(OR(I196="",J196=""),"",SUMPRODUCT((CODE(I196)&lt;=CODE('1 Scholarships'!$G$2:$G$60))*('1 Scholarships'!$A$2:$A$60&lt;&gt;"")*(('1 Scholarships'!$H$2:$H$60="")+ISNUMBER(SEARCH(","&amp;J196&amp;",",","&amp;SUBSTITUTE('1 Scholarships'!$H$2:$H$60," ","")&amp;","))&gt;0)*(('1 Scholarships'!$J$2:$J$60&lt;&gt;"Yes")+(L196="Yes")&gt;0)*((K196="")+ISNUMBER(SEARCH(","&amp;K196&amp;",",","&amp;SUBSTITUTE('1 Scholarships'!$P$2:$P$60," ","")&amp;","))&gt;0)))</f>
        <v/>
      </c>
      <c r="N196" s="20" t="str">
        <f aca="false">IF(OR(I196="",J196=""),"",SUMPRODUCT(MAX((CODE(I196)&lt;=CODE('1 Scholarships'!$G$2:$G$60))*('1 Scholarships'!$A$2:$A$60&lt;&gt;"")*(('1 Scholarships'!$H$2:$H$60="")+ISNUMBER(SEARCH(","&amp;J196&amp;",",","&amp;SUBSTITUTE('1 Scholarships'!$H$2:$H$60," ","")&amp;","))&gt;0)*(('1 Scholarships'!$J$2:$J$60&lt;&gt;"Yes")+(L196="Yes")&gt;0)*((K196="")+ISNUMBER(SEARCH(","&amp;K196&amp;",",","&amp;SUBSTITUTE('1 Scholarships'!$P$2:$P$60," ","")&amp;","))&gt;0)*'1 Scholarships'!$F$2:$F$60)))</f>
        <v/>
      </c>
      <c r="O196" s="18"/>
      <c r="P196" s="18"/>
      <c r="Q196" s="18"/>
      <c r="R196" s="19"/>
      <c r="S196" s="19"/>
      <c r="T196" s="18"/>
      <c r="U196" s="18"/>
      <c r="V196" s="18"/>
    </row>
    <row r="197" customFormat="false" ht="15" hidden="false" customHeight="false" outlineLevel="0" collapsed="false">
      <c r="A197" s="18"/>
      <c r="B197" s="19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4" t="str">
        <f aca="false">IF(OR(I197="",J197=""),"",SUMPRODUCT((CODE(I197)&lt;=CODE('1 Scholarships'!$G$2:$G$60))*('1 Scholarships'!$A$2:$A$60&lt;&gt;"")*(('1 Scholarships'!$H$2:$H$60="")+ISNUMBER(SEARCH(","&amp;J197&amp;",",","&amp;SUBSTITUTE('1 Scholarships'!$H$2:$H$60," ","")&amp;","))&gt;0)*(('1 Scholarships'!$J$2:$J$60&lt;&gt;"Yes")+(L197="Yes")&gt;0)*((K197="")+ISNUMBER(SEARCH(","&amp;K197&amp;",",","&amp;SUBSTITUTE('1 Scholarships'!$P$2:$P$60," ","")&amp;","))&gt;0)))</f>
        <v/>
      </c>
      <c r="N197" s="20" t="str">
        <f aca="false">IF(OR(I197="",J197=""),"",SUMPRODUCT(MAX((CODE(I197)&lt;=CODE('1 Scholarships'!$G$2:$G$60))*('1 Scholarships'!$A$2:$A$60&lt;&gt;"")*(('1 Scholarships'!$H$2:$H$60="")+ISNUMBER(SEARCH(","&amp;J197&amp;",",","&amp;SUBSTITUTE('1 Scholarships'!$H$2:$H$60," ","")&amp;","))&gt;0)*(('1 Scholarships'!$J$2:$J$60&lt;&gt;"Yes")+(L197="Yes")&gt;0)*((K197="")+ISNUMBER(SEARCH(","&amp;K197&amp;",",","&amp;SUBSTITUTE('1 Scholarships'!$P$2:$P$60," ","")&amp;","))&gt;0)*'1 Scholarships'!$F$2:$F$60)))</f>
        <v/>
      </c>
      <c r="O197" s="18"/>
      <c r="P197" s="18"/>
      <c r="Q197" s="18"/>
      <c r="R197" s="19"/>
      <c r="S197" s="19"/>
      <c r="T197" s="18"/>
      <c r="U197" s="18"/>
      <c r="V197" s="18"/>
    </row>
    <row r="198" customFormat="false" ht="15" hidden="false" customHeight="false" outlineLevel="0" collapsed="false">
      <c r="A198" s="18"/>
      <c r="B198" s="19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4" t="str">
        <f aca="false">IF(OR(I198="",J198=""),"",SUMPRODUCT((CODE(I198)&lt;=CODE('1 Scholarships'!$G$2:$G$60))*('1 Scholarships'!$A$2:$A$60&lt;&gt;"")*(('1 Scholarships'!$H$2:$H$60="")+ISNUMBER(SEARCH(","&amp;J198&amp;",",","&amp;SUBSTITUTE('1 Scholarships'!$H$2:$H$60," ","")&amp;","))&gt;0)*(('1 Scholarships'!$J$2:$J$60&lt;&gt;"Yes")+(L198="Yes")&gt;0)*((K198="")+ISNUMBER(SEARCH(","&amp;K198&amp;",",","&amp;SUBSTITUTE('1 Scholarships'!$P$2:$P$60," ","")&amp;","))&gt;0)))</f>
        <v/>
      </c>
      <c r="N198" s="20" t="str">
        <f aca="false">IF(OR(I198="",J198=""),"",SUMPRODUCT(MAX((CODE(I198)&lt;=CODE('1 Scholarships'!$G$2:$G$60))*('1 Scholarships'!$A$2:$A$60&lt;&gt;"")*(('1 Scholarships'!$H$2:$H$60="")+ISNUMBER(SEARCH(","&amp;J198&amp;",",","&amp;SUBSTITUTE('1 Scholarships'!$H$2:$H$60," ","")&amp;","))&gt;0)*(('1 Scholarships'!$J$2:$J$60&lt;&gt;"Yes")+(L198="Yes")&gt;0)*((K198="")+ISNUMBER(SEARCH(","&amp;K198&amp;",",","&amp;SUBSTITUTE('1 Scholarships'!$P$2:$P$60," ","")&amp;","))&gt;0)*'1 Scholarships'!$F$2:$F$60)))</f>
        <v/>
      </c>
      <c r="O198" s="18"/>
      <c r="P198" s="18"/>
      <c r="Q198" s="18"/>
      <c r="R198" s="19"/>
      <c r="S198" s="19"/>
      <c r="T198" s="18"/>
      <c r="U198" s="18"/>
      <c r="V198" s="18"/>
    </row>
    <row r="199" customFormat="false" ht="15" hidden="false" customHeight="false" outlineLevel="0" collapsed="false">
      <c r="A199" s="18"/>
      <c r="B199" s="19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4" t="str">
        <f aca="false">IF(OR(I199="",J199=""),"",SUMPRODUCT((CODE(I199)&lt;=CODE('1 Scholarships'!$G$2:$G$60))*('1 Scholarships'!$A$2:$A$60&lt;&gt;"")*(('1 Scholarships'!$H$2:$H$60="")+ISNUMBER(SEARCH(","&amp;J199&amp;",",","&amp;SUBSTITUTE('1 Scholarships'!$H$2:$H$60," ","")&amp;","))&gt;0)*(('1 Scholarships'!$J$2:$J$60&lt;&gt;"Yes")+(L199="Yes")&gt;0)*((K199="")+ISNUMBER(SEARCH(","&amp;K199&amp;",",","&amp;SUBSTITUTE('1 Scholarships'!$P$2:$P$60," ","")&amp;","))&gt;0)))</f>
        <v/>
      </c>
      <c r="N199" s="20" t="str">
        <f aca="false">IF(OR(I199="",J199=""),"",SUMPRODUCT(MAX((CODE(I199)&lt;=CODE('1 Scholarships'!$G$2:$G$60))*('1 Scholarships'!$A$2:$A$60&lt;&gt;"")*(('1 Scholarships'!$H$2:$H$60="")+ISNUMBER(SEARCH(","&amp;J199&amp;",",","&amp;SUBSTITUTE('1 Scholarships'!$H$2:$H$60," ","")&amp;","))&gt;0)*(('1 Scholarships'!$J$2:$J$60&lt;&gt;"Yes")+(L199="Yes")&gt;0)*((K199="")+ISNUMBER(SEARCH(","&amp;K199&amp;",",","&amp;SUBSTITUTE('1 Scholarships'!$P$2:$P$60," ","")&amp;","))&gt;0)*'1 Scholarships'!$F$2:$F$60)))</f>
        <v/>
      </c>
      <c r="O199" s="18"/>
      <c r="P199" s="18"/>
      <c r="Q199" s="18"/>
      <c r="R199" s="19"/>
      <c r="S199" s="19"/>
      <c r="T199" s="18"/>
      <c r="U199" s="18"/>
      <c r="V199" s="18"/>
    </row>
    <row r="200" customFormat="false" ht="15" hidden="false" customHeight="false" outlineLevel="0" collapsed="false">
      <c r="A200" s="18"/>
      <c r="B200" s="19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4" t="str">
        <f aca="false">IF(OR(I200="",J200=""),"",SUMPRODUCT((CODE(I200)&lt;=CODE('1 Scholarships'!$G$2:$G$60))*('1 Scholarships'!$A$2:$A$60&lt;&gt;"")*(('1 Scholarships'!$H$2:$H$60="")+ISNUMBER(SEARCH(","&amp;J200&amp;",",","&amp;SUBSTITUTE('1 Scholarships'!$H$2:$H$60," ","")&amp;","))&gt;0)*(('1 Scholarships'!$J$2:$J$60&lt;&gt;"Yes")+(L200="Yes")&gt;0)*((K200="")+ISNUMBER(SEARCH(","&amp;K200&amp;",",","&amp;SUBSTITUTE('1 Scholarships'!$P$2:$P$60," ","")&amp;","))&gt;0)))</f>
        <v/>
      </c>
      <c r="N200" s="20" t="str">
        <f aca="false">IF(OR(I200="",J200=""),"",SUMPRODUCT(MAX((CODE(I200)&lt;=CODE('1 Scholarships'!$G$2:$G$60))*('1 Scholarships'!$A$2:$A$60&lt;&gt;"")*(('1 Scholarships'!$H$2:$H$60="")+ISNUMBER(SEARCH(","&amp;J200&amp;",",","&amp;SUBSTITUTE('1 Scholarships'!$H$2:$H$60," ","")&amp;","))&gt;0)*(('1 Scholarships'!$J$2:$J$60&lt;&gt;"Yes")+(L200="Yes")&gt;0)*((K200="")+ISNUMBER(SEARCH(","&amp;K200&amp;",",","&amp;SUBSTITUTE('1 Scholarships'!$P$2:$P$60," ","")&amp;","))&gt;0)*'1 Scholarships'!$F$2:$F$60)))</f>
        <v/>
      </c>
      <c r="O200" s="18"/>
      <c r="P200" s="18"/>
      <c r="Q200" s="18"/>
      <c r="R200" s="19"/>
      <c r="S200" s="19"/>
      <c r="T200" s="18"/>
      <c r="U200" s="18"/>
      <c r="V200" s="18"/>
    </row>
    <row r="201" customFormat="false" ht="15" hidden="false" customHeight="false" outlineLevel="0" collapsed="false">
      <c r="A201" s="18"/>
      <c r="B201" s="19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4" t="str">
        <f aca="false">IF(OR(I201="",J201=""),"",SUMPRODUCT((CODE(I201)&lt;=CODE('1 Scholarships'!$G$2:$G$60))*('1 Scholarships'!$A$2:$A$60&lt;&gt;"")*(('1 Scholarships'!$H$2:$H$60="")+ISNUMBER(SEARCH(","&amp;J201&amp;",",","&amp;SUBSTITUTE('1 Scholarships'!$H$2:$H$60," ","")&amp;","))&gt;0)*(('1 Scholarships'!$J$2:$J$60&lt;&gt;"Yes")+(L201="Yes")&gt;0)*((K201="")+ISNUMBER(SEARCH(","&amp;K201&amp;",",","&amp;SUBSTITUTE('1 Scholarships'!$P$2:$P$60," ","")&amp;","))&gt;0)))</f>
        <v/>
      </c>
      <c r="N201" s="20" t="str">
        <f aca="false">IF(OR(I201="",J201=""),"",SUMPRODUCT(MAX((CODE(I201)&lt;=CODE('1 Scholarships'!$G$2:$G$60))*('1 Scholarships'!$A$2:$A$60&lt;&gt;"")*(('1 Scholarships'!$H$2:$H$60="")+ISNUMBER(SEARCH(","&amp;J201&amp;",",","&amp;SUBSTITUTE('1 Scholarships'!$H$2:$H$60," ","")&amp;","))&gt;0)*(('1 Scholarships'!$J$2:$J$60&lt;&gt;"Yes")+(L201="Yes")&gt;0)*((K201="")+ISNUMBER(SEARCH(","&amp;K201&amp;",",","&amp;SUBSTITUTE('1 Scholarships'!$P$2:$P$60," ","")&amp;","))&gt;0)*'1 Scholarships'!$F$2:$F$60)))</f>
        <v/>
      </c>
      <c r="O201" s="18"/>
      <c r="P201" s="18"/>
      <c r="Q201" s="18"/>
      <c r="R201" s="19"/>
      <c r="S201" s="19"/>
      <c r="T201" s="18"/>
      <c r="U201" s="18"/>
      <c r="V201" s="18"/>
    </row>
    <row r="202" customFormat="false" ht="15" hidden="false" customHeight="false" outlineLevel="0" collapsed="false">
      <c r="A202" s="18"/>
      <c r="B202" s="19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4" t="str">
        <f aca="false">IF(OR(I202="",J202=""),"",SUMPRODUCT((CODE(I202)&lt;=CODE('1 Scholarships'!$G$2:$G$60))*('1 Scholarships'!$A$2:$A$60&lt;&gt;"")*(('1 Scholarships'!$H$2:$H$60="")+ISNUMBER(SEARCH(","&amp;J202&amp;",",","&amp;SUBSTITUTE('1 Scholarships'!$H$2:$H$60," ","")&amp;","))&gt;0)*(('1 Scholarships'!$J$2:$J$60&lt;&gt;"Yes")+(L202="Yes")&gt;0)*((K202="")+ISNUMBER(SEARCH(","&amp;K202&amp;",",","&amp;SUBSTITUTE('1 Scholarships'!$P$2:$P$60," ","")&amp;","))&gt;0)))</f>
        <v/>
      </c>
      <c r="N202" s="20" t="str">
        <f aca="false">IF(OR(I202="",J202=""),"",SUMPRODUCT(MAX((CODE(I202)&lt;=CODE('1 Scholarships'!$G$2:$G$60))*('1 Scholarships'!$A$2:$A$60&lt;&gt;"")*(('1 Scholarships'!$H$2:$H$60="")+ISNUMBER(SEARCH(","&amp;J202&amp;",",","&amp;SUBSTITUTE('1 Scholarships'!$H$2:$H$60," ","")&amp;","))&gt;0)*(('1 Scholarships'!$J$2:$J$60&lt;&gt;"Yes")+(L202="Yes")&gt;0)*((K202="")+ISNUMBER(SEARCH(","&amp;K202&amp;",",","&amp;SUBSTITUTE('1 Scholarships'!$P$2:$P$60," ","")&amp;","))&gt;0)*'1 Scholarships'!$F$2:$F$60)))</f>
        <v/>
      </c>
      <c r="O202" s="18"/>
      <c r="P202" s="18"/>
      <c r="Q202" s="18"/>
      <c r="R202" s="19"/>
      <c r="S202" s="19"/>
      <c r="T202" s="18"/>
      <c r="U202" s="18"/>
      <c r="V202" s="18"/>
    </row>
    <row r="203" customFormat="false" ht="15" hidden="false" customHeight="false" outlineLevel="0" collapsed="false">
      <c r="A203" s="18"/>
      <c r="B203" s="19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4" t="str">
        <f aca="false">IF(OR(I203="",J203=""),"",SUMPRODUCT((CODE(I203)&lt;=CODE('1 Scholarships'!$G$2:$G$60))*('1 Scholarships'!$A$2:$A$60&lt;&gt;"")*(('1 Scholarships'!$H$2:$H$60="")+ISNUMBER(SEARCH(","&amp;J203&amp;",",","&amp;SUBSTITUTE('1 Scholarships'!$H$2:$H$60," ","")&amp;","))&gt;0)*(('1 Scholarships'!$J$2:$J$60&lt;&gt;"Yes")+(L203="Yes")&gt;0)*((K203="")+ISNUMBER(SEARCH(","&amp;K203&amp;",",","&amp;SUBSTITUTE('1 Scholarships'!$P$2:$P$60," ","")&amp;","))&gt;0)))</f>
        <v/>
      </c>
      <c r="N203" s="20" t="str">
        <f aca="false">IF(OR(I203="",J203=""),"",SUMPRODUCT(MAX((CODE(I203)&lt;=CODE('1 Scholarships'!$G$2:$G$60))*('1 Scholarships'!$A$2:$A$60&lt;&gt;"")*(('1 Scholarships'!$H$2:$H$60="")+ISNUMBER(SEARCH(","&amp;J203&amp;",",","&amp;SUBSTITUTE('1 Scholarships'!$H$2:$H$60," ","")&amp;","))&gt;0)*(('1 Scholarships'!$J$2:$J$60&lt;&gt;"Yes")+(L203="Yes")&gt;0)*((K203="")+ISNUMBER(SEARCH(","&amp;K203&amp;",",","&amp;SUBSTITUTE('1 Scholarships'!$P$2:$P$60," ","")&amp;","))&gt;0)*'1 Scholarships'!$F$2:$F$60)))</f>
        <v/>
      </c>
      <c r="O203" s="18"/>
      <c r="P203" s="18"/>
      <c r="Q203" s="18"/>
      <c r="R203" s="19"/>
      <c r="S203" s="19"/>
      <c r="T203" s="18"/>
      <c r="U203" s="18"/>
      <c r="V203" s="18"/>
    </row>
    <row r="204" customFormat="false" ht="15" hidden="false" customHeight="false" outlineLevel="0" collapsed="false">
      <c r="A204" s="18"/>
      <c r="B204" s="19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4" t="str">
        <f aca="false">IF(OR(I204="",J204=""),"",SUMPRODUCT((CODE(I204)&lt;=CODE('1 Scholarships'!$G$2:$G$60))*('1 Scholarships'!$A$2:$A$60&lt;&gt;"")*(('1 Scholarships'!$H$2:$H$60="")+ISNUMBER(SEARCH(","&amp;J204&amp;",",","&amp;SUBSTITUTE('1 Scholarships'!$H$2:$H$60," ","")&amp;","))&gt;0)*(('1 Scholarships'!$J$2:$J$60&lt;&gt;"Yes")+(L204="Yes")&gt;0)*((K204="")+ISNUMBER(SEARCH(","&amp;K204&amp;",",","&amp;SUBSTITUTE('1 Scholarships'!$P$2:$P$60," ","")&amp;","))&gt;0)))</f>
        <v/>
      </c>
      <c r="N204" s="20" t="str">
        <f aca="false">IF(OR(I204="",J204=""),"",SUMPRODUCT(MAX((CODE(I204)&lt;=CODE('1 Scholarships'!$G$2:$G$60))*('1 Scholarships'!$A$2:$A$60&lt;&gt;"")*(('1 Scholarships'!$H$2:$H$60="")+ISNUMBER(SEARCH(","&amp;J204&amp;",",","&amp;SUBSTITUTE('1 Scholarships'!$H$2:$H$60," ","")&amp;","))&gt;0)*(('1 Scholarships'!$J$2:$J$60&lt;&gt;"Yes")+(L204="Yes")&gt;0)*((K204="")+ISNUMBER(SEARCH(","&amp;K204&amp;",",","&amp;SUBSTITUTE('1 Scholarships'!$P$2:$P$60," ","")&amp;","))&gt;0)*'1 Scholarships'!$F$2:$F$60)))</f>
        <v/>
      </c>
      <c r="O204" s="18"/>
      <c r="P204" s="18"/>
      <c r="Q204" s="18"/>
      <c r="R204" s="19"/>
      <c r="S204" s="19"/>
      <c r="T204" s="18"/>
      <c r="U204" s="18"/>
      <c r="V204" s="18"/>
    </row>
    <row r="205" customFormat="false" ht="15" hidden="false" customHeight="false" outlineLevel="0" collapsed="false">
      <c r="A205" s="18"/>
      <c r="B205" s="19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4" t="str">
        <f aca="false">IF(OR(I205="",J205=""),"",SUMPRODUCT((CODE(I205)&lt;=CODE('1 Scholarships'!$G$2:$G$60))*('1 Scholarships'!$A$2:$A$60&lt;&gt;"")*(('1 Scholarships'!$H$2:$H$60="")+ISNUMBER(SEARCH(","&amp;J205&amp;",",","&amp;SUBSTITUTE('1 Scholarships'!$H$2:$H$60," ","")&amp;","))&gt;0)*(('1 Scholarships'!$J$2:$J$60&lt;&gt;"Yes")+(L205="Yes")&gt;0)*((K205="")+ISNUMBER(SEARCH(","&amp;K205&amp;",",","&amp;SUBSTITUTE('1 Scholarships'!$P$2:$P$60," ","")&amp;","))&gt;0)))</f>
        <v/>
      </c>
      <c r="N205" s="20" t="str">
        <f aca="false">IF(OR(I205="",J205=""),"",SUMPRODUCT(MAX((CODE(I205)&lt;=CODE('1 Scholarships'!$G$2:$G$60))*('1 Scholarships'!$A$2:$A$60&lt;&gt;"")*(('1 Scholarships'!$H$2:$H$60="")+ISNUMBER(SEARCH(","&amp;J205&amp;",",","&amp;SUBSTITUTE('1 Scholarships'!$H$2:$H$60," ","")&amp;","))&gt;0)*(('1 Scholarships'!$J$2:$J$60&lt;&gt;"Yes")+(L205="Yes")&gt;0)*((K205="")+ISNUMBER(SEARCH(","&amp;K205&amp;",",","&amp;SUBSTITUTE('1 Scholarships'!$P$2:$P$60," ","")&amp;","))&gt;0)*'1 Scholarships'!$F$2:$F$60)))</f>
        <v/>
      </c>
      <c r="O205" s="18"/>
      <c r="P205" s="18"/>
      <c r="Q205" s="18"/>
      <c r="R205" s="19"/>
      <c r="S205" s="19"/>
      <c r="T205" s="18"/>
      <c r="U205" s="18"/>
      <c r="V205" s="18"/>
    </row>
    <row r="206" customFormat="false" ht="15" hidden="false" customHeight="false" outlineLevel="0" collapsed="false">
      <c r="A206" s="18"/>
      <c r="B206" s="19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4" t="str">
        <f aca="false">IF(OR(I206="",J206=""),"",SUMPRODUCT((CODE(I206)&lt;=CODE('1 Scholarships'!$G$2:$G$60))*('1 Scholarships'!$A$2:$A$60&lt;&gt;"")*(('1 Scholarships'!$H$2:$H$60="")+ISNUMBER(SEARCH(","&amp;J206&amp;",",","&amp;SUBSTITUTE('1 Scholarships'!$H$2:$H$60," ","")&amp;","))&gt;0)*(('1 Scholarships'!$J$2:$J$60&lt;&gt;"Yes")+(L206="Yes")&gt;0)*((K206="")+ISNUMBER(SEARCH(","&amp;K206&amp;",",","&amp;SUBSTITUTE('1 Scholarships'!$P$2:$P$60," ","")&amp;","))&gt;0)))</f>
        <v/>
      </c>
      <c r="N206" s="20" t="str">
        <f aca="false">IF(OR(I206="",J206=""),"",SUMPRODUCT(MAX((CODE(I206)&lt;=CODE('1 Scholarships'!$G$2:$G$60))*('1 Scholarships'!$A$2:$A$60&lt;&gt;"")*(('1 Scholarships'!$H$2:$H$60="")+ISNUMBER(SEARCH(","&amp;J206&amp;",",","&amp;SUBSTITUTE('1 Scholarships'!$H$2:$H$60," ","")&amp;","))&gt;0)*(('1 Scholarships'!$J$2:$J$60&lt;&gt;"Yes")+(L206="Yes")&gt;0)*((K206="")+ISNUMBER(SEARCH(","&amp;K206&amp;",",","&amp;SUBSTITUTE('1 Scholarships'!$P$2:$P$60," ","")&amp;","))&gt;0)*'1 Scholarships'!$F$2:$F$60)))</f>
        <v/>
      </c>
      <c r="O206" s="18"/>
      <c r="P206" s="18"/>
      <c r="Q206" s="18"/>
      <c r="R206" s="19"/>
      <c r="S206" s="19"/>
      <c r="T206" s="18"/>
      <c r="U206" s="18"/>
      <c r="V206" s="18"/>
    </row>
    <row r="207" customFormat="false" ht="15" hidden="false" customHeight="false" outlineLevel="0" collapsed="false">
      <c r="A207" s="18"/>
      <c r="B207" s="19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4" t="str">
        <f aca="false">IF(OR(I207="",J207=""),"",SUMPRODUCT((CODE(I207)&lt;=CODE('1 Scholarships'!$G$2:$G$60))*('1 Scholarships'!$A$2:$A$60&lt;&gt;"")*(('1 Scholarships'!$H$2:$H$60="")+ISNUMBER(SEARCH(","&amp;J207&amp;",",","&amp;SUBSTITUTE('1 Scholarships'!$H$2:$H$60," ","")&amp;","))&gt;0)*(('1 Scholarships'!$J$2:$J$60&lt;&gt;"Yes")+(L207="Yes")&gt;0)*((K207="")+ISNUMBER(SEARCH(","&amp;K207&amp;",",","&amp;SUBSTITUTE('1 Scholarships'!$P$2:$P$60," ","")&amp;","))&gt;0)))</f>
        <v/>
      </c>
      <c r="N207" s="20" t="str">
        <f aca="false">IF(OR(I207="",J207=""),"",SUMPRODUCT(MAX((CODE(I207)&lt;=CODE('1 Scholarships'!$G$2:$G$60))*('1 Scholarships'!$A$2:$A$60&lt;&gt;"")*(('1 Scholarships'!$H$2:$H$60="")+ISNUMBER(SEARCH(","&amp;J207&amp;",",","&amp;SUBSTITUTE('1 Scholarships'!$H$2:$H$60," ","")&amp;","))&gt;0)*(('1 Scholarships'!$J$2:$J$60&lt;&gt;"Yes")+(L207="Yes")&gt;0)*((K207="")+ISNUMBER(SEARCH(","&amp;K207&amp;",",","&amp;SUBSTITUTE('1 Scholarships'!$P$2:$P$60," ","")&amp;","))&gt;0)*'1 Scholarships'!$F$2:$F$60)))</f>
        <v/>
      </c>
      <c r="O207" s="18"/>
      <c r="P207" s="18"/>
      <c r="Q207" s="18"/>
      <c r="R207" s="19"/>
      <c r="S207" s="19"/>
      <c r="T207" s="18"/>
      <c r="U207" s="18"/>
      <c r="V207" s="18"/>
    </row>
    <row r="208" customFormat="false" ht="15" hidden="false" customHeight="false" outlineLevel="0" collapsed="false">
      <c r="A208" s="18"/>
      <c r="B208" s="19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4" t="str">
        <f aca="false">IF(OR(I208="",J208=""),"",SUMPRODUCT((CODE(I208)&lt;=CODE('1 Scholarships'!$G$2:$G$60))*('1 Scholarships'!$A$2:$A$60&lt;&gt;"")*(('1 Scholarships'!$H$2:$H$60="")+ISNUMBER(SEARCH(","&amp;J208&amp;",",","&amp;SUBSTITUTE('1 Scholarships'!$H$2:$H$60," ","")&amp;","))&gt;0)*(('1 Scholarships'!$J$2:$J$60&lt;&gt;"Yes")+(L208="Yes")&gt;0)*((K208="")+ISNUMBER(SEARCH(","&amp;K208&amp;",",","&amp;SUBSTITUTE('1 Scholarships'!$P$2:$P$60," ","")&amp;","))&gt;0)))</f>
        <v/>
      </c>
      <c r="N208" s="20" t="str">
        <f aca="false">IF(OR(I208="",J208=""),"",SUMPRODUCT(MAX((CODE(I208)&lt;=CODE('1 Scholarships'!$G$2:$G$60))*('1 Scholarships'!$A$2:$A$60&lt;&gt;"")*(('1 Scholarships'!$H$2:$H$60="")+ISNUMBER(SEARCH(","&amp;J208&amp;",",","&amp;SUBSTITUTE('1 Scholarships'!$H$2:$H$60," ","")&amp;","))&gt;0)*(('1 Scholarships'!$J$2:$J$60&lt;&gt;"Yes")+(L208="Yes")&gt;0)*((K208="")+ISNUMBER(SEARCH(","&amp;K208&amp;",",","&amp;SUBSTITUTE('1 Scholarships'!$P$2:$P$60," ","")&amp;","))&gt;0)*'1 Scholarships'!$F$2:$F$60)))</f>
        <v/>
      </c>
      <c r="O208" s="18"/>
      <c r="P208" s="18"/>
      <c r="Q208" s="18"/>
      <c r="R208" s="19"/>
      <c r="S208" s="19"/>
      <c r="T208" s="18"/>
      <c r="U208" s="18"/>
      <c r="V208" s="18"/>
    </row>
    <row r="209" customFormat="false" ht="15" hidden="false" customHeight="false" outlineLevel="0" collapsed="false">
      <c r="A209" s="18"/>
      <c r="B209" s="19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4" t="str">
        <f aca="false">IF(OR(I209="",J209=""),"",SUMPRODUCT((CODE(I209)&lt;=CODE('1 Scholarships'!$G$2:$G$60))*('1 Scholarships'!$A$2:$A$60&lt;&gt;"")*(('1 Scholarships'!$H$2:$H$60="")+ISNUMBER(SEARCH(","&amp;J209&amp;",",","&amp;SUBSTITUTE('1 Scholarships'!$H$2:$H$60," ","")&amp;","))&gt;0)*(('1 Scholarships'!$J$2:$J$60&lt;&gt;"Yes")+(L209="Yes")&gt;0)*((K209="")+ISNUMBER(SEARCH(","&amp;K209&amp;",",","&amp;SUBSTITUTE('1 Scholarships'!$P$2:$P$60," ","")&amp;","))&gt;0)))</f>
        <v/>
      </c>
      <c r="N209" s="20" t="str">
        <f aca="false">IF(OR(I209="",J209=""),"",SUMPRODUCT(MAX((CODE(I209)&lt;=CODE('1 Scholarships'!$G$2:$G$60))*('1 Scholarships'!$A$2:$A$60&lt;&gt;"")*(('1 Scholarships'!$H$2:$H$60="")+ISNUMBER(SEARCH(","&amp;J209&amp;",",","&amp;SUBSTITUTE('1 Scholarships'!$H$2:$H$60," ","")&amp;","))&gt;0)*(('1 Scholarships'!$J$2:$J$60&lt;&gt;"Yes")+(L209="Yes")&gt;0)*((K209="")+ISNUMBER(SEARCH(","&amp;K209&amp;",",","&amp;SUBSTITUTE('1 Scholarships'!$P$2:$P$60," ","")&amp;","))&gt;0)*'1 Scholarships'!$F$2:$F$60)))</f>
        <v/>
      </c>
      <c r="O209" s="18"/>
      <c r="P209" s="18"/>
      <c r="Q209" s="18"/>
      <c r="R209" s="19"/>
      <c r="S209" s="19"/>
      <c r="T209" s="18"/>
      <c r="U209" s="18"/>
      <c r="V209" s="18"/>
    </row>
    <row r="210" customFormat="false" ht="15" hidden="false" customHeight="false" outlineLevel="0" collapsed="false">
      <c r="A210" s="18"/>
      <c r="B210" s="19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4" t="str">
        <f aca="false">IF(OR(I210="",J210=""),"",SUMPRODUCT((CODE(I210)&lt;=CODE('1 Scholarships'!$G$2:$G$60))*('1 Scholarships'!$A$2:$A$60&lt;&gt;"")*(('1 Scholarships'!$H$2:$H$60="")+ISNUMBER(SEARCH(","&amp;J210&amp;",",","&amp;SUBSTITUTE('1 Scholarships'!$H$2:$H$60," ","")&amp;","))&gt;0)*(('1 Scholarships'!$J$2:$J$60&lt;&gt;"Yes")+(L210="Yes")&gt;0)*((K210="")+ISNUMBER(SEARCH(","&amp;K210&amp;",",","&amp;SUBSTITUTE('1 Scholarships'!$P$2:$P$60," ","")&amp;","))&gt;0)))</f>
        <v/>
      </c>
      <c r="N210" s="20" t="str">
        <f aca="false">IF(OR(I210="",J210=""),"",SUMPRODUCT(MAX((CODE(I210)&lt;=CODE('1 Scholarships'!$G$2:$G$60))*('1 Scholarships'!$A$2:$A$60&lt;&gt;"")*(('1 Scholarships'!$H$2:$H$60="")+ISNUMBER(SEARCH(","&amp;J210&amp;",",","&amp;SUBSTITUTE('1 Scholarships'!$H$2:$H$60," ","")&amp;","))&gt;0)*(('1 Scholarships'!$J$2:$J$60&lt;&gt;"Yes")+(L210="Yes")&gt;0)*((K210="")+ISNUMBER(SEARCH(","&amp;K210&amp;",",","&amp;SUBSTITUTE('1 Scholarships'!$P$2:$P$60," ","")&amp;","))&gt;0)*'1 Scholarships'!$F$2:$F$60)))</f>
        <v/>
      </c>
      <c r="O210" s="18"/>
      <c r="P210" s="18"/>
      <c r="Q210" s="18"/>
      <c r="R210" s="19"/>
      <c r="S210" s="19"/>
      <c r="T210" s="18"/>
      <c r="U210" s="18"/>
      <c r="V210" s="18"/>
    </row>
    <row r="211" customFormat="false" ht="15" hidden="false" customHeight="false" outlineLevel="0" collapsed="false">
      <c r="A211" s="18"/>
      <c r="B211" s="19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4" t="str">
        <f aca="false">IF(OR(I211="",J211=""),"",SUMPRODUCT((CODE(I211)&lt;=CODE('1 Scholarships'!$G$2:$G$60))*('1 Scholarships'!$A$2:$A$60&lt;&gt;"")*(('1 Scholarships'!$H$2:$H$60="")+ISNUMBER(SEARCH(","&amp;J211&amp;",",","&amp;SUBSTITUTE('1 Scholarships'!$H$2:$H$60," ","")&amp;","))&gt;0)*(('1 Scholarships'!$J$2:$J$60&lt;&gt;"Yes")+(L211="Yes")&gt;0)*((K211="")+ISNUMBER(SEARCH(","&amp;K211&amp;",",","&amp;SUBSTITUTE('1 Scholarships'!$P$2:$P$60," ","")&amp;","))&gt;0)))</f>
        <v/>
      </c>
      <c r="N211" s="20" t="str">
        <f aca="false">IF(OR(I211="",J211=""),"",SUMPRODUCT(MAX((CODE(I211)&lt;=CODE('1 Scholarships'!$G$2:$G$60))*('1 Scholarships'!$A$2:$A$60&lt;&gt;"")*(('1 Scholarships'!$H$2:$H$60="")+ISNUMBER(SEARCH(","&amp;J211&amp;",",","&amp;SUBSTITUTE('1 Scholarships'!$H$2:$H$60," ","")&amp;","))&gt;0)*(('1 Scholarships'!$J$2:$J$60&lt;&gt;"Yes")+(L211="Yes")&gt;0)*((K211="")+ISNUMBER(SEARCH(","&amp;K211&amp;",",","&amp;SUBSTITUTE('1 Scholarships'!$P$2:$P$60," ","")&amp;","))&gt;0)*'1 Scholarships'!$F$2:$F$60)))</f>
        <v/>
      </c>
      <c r="O211" s="18"/>
      <c r="P211" s="18"/>
      <c r="Q211" s="18"/>
      <c r="R211" s="19"/>
      <c r="S211" s="19"/>
      <c r="T211" s="18"/>
      <c r="U211" s="18"/>
      <c r="V211" s="18"/>
    </row>
    <row r="212" customFormat="false" ht="15" hidden="false" customHeight="false" outlineLevel="0" collapsed="false">
      <c r="A212" s="18"/>
      <c r="B212" s="19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4" t="str">
        <f aca="false">IF(OR(I212="",J212=""),"",SUMPRODUCT((CODE(I212)&lt;=CODE('1 Scholarships'!$G$2:$G$60))*('1 Scholarships'!$A$2:$A$60&lt;&gt;"")*(('1 Scholarships'!$H$2:$H$60="")+ISNUMBER(SEARCH(","&amp;J212&amp;",",","&amp;SUBSTITUTE('1 Scholarships'!$H$2:$H$60," ","")&amp;","))&gt;0)*(('1 Scholarships'!$J$2:$J$60&lt;&gt;"Yes")+(L212="Yes")&gt;0)*((K212="")+ISNUMBER(SEARCH(","&amp;K212&amp;",",","&amp;SUBSTITUTE('1 Scholarships'!$P$2:$P$60," ","")&amp;","))&gt;0)))</f>
        <v/>
      </c>
      <c r="N212" s="20" t="str">
        <f aca="false">IF(OR(I212="",J212=""),"",SUMPRODUCT(MAX((CODE(I212)&lt;=CODE('1 Scholarships'!$G$2:$G$60))*('1 Scholarships'!$A$2:$A$60&lt;&gt;"")*(('1 Scholarships'!$H$2:$H$60="")+ISNUMBER(SEARCH(","&amp;J212&amp;",",","&amp;SUBSTITUTE('1 Scholarships'!$H$2:$H$60," ","")&amp;","))&gt;0)*(('1 Scholarships'!$J$2:$J$60&lt;&gt;"Yes")+(L212="Yes")&gt;0)*((K212="")+ISNUMBER(SEARCH(","&amp;K212&amp;",",","&amp;SUBSTITUTE('1 Scholarships'!$P$2:$P$60," ","")&amp;","))&gt;0)*'1 Scholarships'!$F$2:$F$60)))</f>
        <v/>
      </c>
      <c r="O212" s="18"/>
      <c r="P212" s="18"/>
      <c r="Q212" s="18"/>
      <c r="R212" s="19"/>
      <c r="S212" s="19"/>
      <c r="T212" s="18"/>
      <c r="U212" s="18"/>
      <c r="V212" s="18"/>
    </row>
    <row r="213" customFormat="false" ht="15" hidden="false" customHeight="false" outlineLevel="0" collapsed="false">
      <c r="A213" s="18"/>
      <c r="B213" s="19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4" t="str">
        <f aca="false">IF(OR(I213="",J213=""),"",SUMPRODUCT((CODE(I213)&lt;=CODE('1 Scholarships'!$G$2:$G$60))*('1 Scholarships'!$A$2:$A$60&lt;&gt;"")*(('1 Scholarships'!$H$2:$H$60="")+ISNUMBER(SEARCH(","&amp;J213&amp;",",","&amp;SUBSTITUTE('1 Scholarships'!$H$2:$H$60," ","")&amp;","))&gt;0)*(('1 Scholarships'!$J$2:$J$60&lt;&gt;"Yes")+(L213="Yes")&gt;0)*((K213="")+ISNUMBER(SEARCH(","&amp;K213&amp;",",","&amp;SUBSTITUTE('1 Scholarships'!$P$2:$P$60," ","")&amp;","))&gt;0)))</f>
        <v/>
      </c>
      <c r="N213" s="20" t="str">
        <f aca="false">IF(OR(I213="",J213=""),"",SUMPRODUCT(MAX((CODE(I213)&lt;=CODE('1 Scholarships'!$G$2:$G$60))*('1 Scholarships'!$A$2:$A$60&lt;&gt;"")*(('1 Scholarships'!$H$2:$H$60="")+ISNUMBER(SEARCH(","&amp;J213&amp;",",","&amp;SUBSTITUTE('1 Scholarships'!$H$2:$H$60," ","")&amp;","))&gt;0)*(('1 Scholarships'!$J$2:$J$60&lt;&gt;"Yes")+(L213="Yes")&gt;0)*((K213="")+ISNUMBER(SEARCH(","&amp;K213&amp;",",","&amp;SUBSTITUTE('1 Scholarships'!$P$2:$P$60," ","")&amp;","))&gt;0)*'1 Scholarships'!$F$2:$F$60)))</f>
        <v/>
      </c>
      <c r="O213" s="18"/>
      <c r="P213" s="18"/>
      <c r="Q213" s="18"/>
      <c r="R213" s="19"/>
      <c r="S213" s="19"/>
      <c r="T213" s="18"/>
      <c r="U213" s="18"/>
      <c r="V213" s="18"/>
    </row>
    <row r="214" customFormat="false" ht="15" hidden="false" customHeight="false" outlineLevel="0" collapsed="false">
      <c r="A214" s="18"/>
      <c r="B214" s="19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4" t="str">
        <f aca="false">IF(OR(I214="",J214=""),"",SUMPRODUCT((CODE(I214)&lt;=CODE('1 Scholarships'!$G$2:$G$60))*('1 Scholarships'!$A$2:$A$60&lt;&gt;"")*(('1 Scholarships'!$H$2:$H$60="")+ISNUMBER(SEARCH(","&amp;J214&amp;",",","&amp;SUBSTITUTE('1 Scholarships'!$H$2:$H$60," ","")&amp;","))&gt;0)*(('1 Scholarships'!$J$2:$J$60&lt;&gt;"Yes")+(L214="Yes")&gt;0)*((K214="")+ISNUMBER(SEARCH(","&amp;K214&amp;",",","&amp;SUBSTITUTE('1 Scholarships'!$P$2:$P$60," ","")&amp;","))&gt;0)))</f>
        <v/>
      </c>
      <c r="N214" s="20" t="str">
        <f aca="false">IF(OR(I214="",J214=""),"",SUMPRODUCT(MAX((CODE(I214)&lt;=CODE('1 Scholarships'!$G$2:$G$60))*('1 Scholarships'!$A$2:$A$60&lt;&gt;"")*(('1 Scholarships'!$H$2:$H$60="")+ISNUMBER(SEARCH(","&amp;J214&amp;",",","&amp;SUBSTITUTE('1 Scholarships'!$H$2:$H$60," ","")&amp;","))&gt;0)*(('1 Scholarships'!$J$2:$J$60&lt;&gt;"Yes")+(L214="Yes")&gt;0)*((K214="")+ISNUMBER(SEARCH(","&amp;K214&amp;",",","&amp;SUBSTITUTE('1 Scholarships'!$P$2:$P$60," ","")&amp;","))&gt;0)*'1 Scholarships'!$F$2:$F$60)))</f>
        <v/>
      </c>
      <c r="O214" s="18"/>
      <c r="P214" s="18"/>
      <c r="Q214" s="18"/>
      <c r="R214" s="19"/>
      <c r="S214" s="19"/>
      <c r="T214" s="18"/>
      <c r="U214" s="18"/>
      <c r="V214" s="18"/>
    </row>
    <row r="215" customFormat="false" ht="15" hidden="false" customHeight="false" outlineLevel="0" collapsed="false">
      <c r="A215" s="18"/>
      <c r="B215" s="19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4" t="str">
        <f aca="false">IF(OR(I215="",J215=""),"",SUMPRODUCT((CODE(I215)&lt;=CODE('1 Scholarships'!$G$2:$G$60))*('1 Scholarships'!$A$2:$A$60&lt;&gt;"")*(('1 Scholarships'!$H$2:$H$60="")+ISNUMBER(SEARCH(","&amp;J215&amp;",",","&amp;SUBSTITUTE('1 Scholarships'!$H$2:$H$60," ","")&amp;","))&gt;0)*(('1 Scholarships'!$J$2:$J$60&lt;&gt;"Yes")+(L215="Yes")&gt;0)*((K215="")+ISNUMBER(SEARCH(","&amp;K215&amp;",",","&amp;SUBSTITUTE('1 Scholarships'!$P$2:$P$60," ","")&amp;","))&gt;0)))</f>
        <v/>
      </c>
      <c r="N215" s="20" t="str">
        <f aca="false">IF(OR(I215="",J215=""),"",SUMPRODUCT(MAX((CODE(I215)&lt;=CODE('1 Scholarships'!$G$2:$G$60))*('1 Scholarships'!$A$2:$A$60&lt;&gt;"")*(('1 Scholarships'!$H$2:$H$60="")+ISNUMBER(SEARCH(","&amp;J215&amp;",",","&amp;SUBSTITUTE('1 Scholarships'!$H$2:$H$60," ","")&amp;","))&gt;0)*(('1 Scholarships'!$J$2:$J$60&lt;&gt;"Yes")+(L215="Yes")&gt;0)*((K215="")+ISNUMBER(SEARCH(","&amp;K215&amp;",",","&amp;SUBSTITUTE('1 Scholarships'!$P$2:$P$60," ","")&amp;","))&gt;0)*'1 Scholarships'!$F$2:$F$60)))</f>
        <v/>
      </c>
      <c r="O215" s="18"/>
      <c r="P215" s="18"/>
      <c r="Q215" s="18"/>
      <c r="R215" s="19"/>
      <c r="S215" s="19"/>
      <c r="T215" s="18"/>
      <c r="U215" s="18"/>
      <c r="V215" s="18"/>
    </row>
    <row r="216" customFormat="false" ht="15" hidden="false" customHeight="false" outlineLevel="0" collapsed="false">
      <c r="A216" s="18"/>
      <c r="B216" s="19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4" t="str">
        <f aca="false">IF(OR(I216="",J216=""),"",SUMPRODUCT((CODE(I216)&lt;=CODE('1 Scholarships'!$G$2:$G$60))*('1 Scholarships'!$A$2:$A$60&lt;&gt;"")*(('1 Scholarships'!$H$2:$H$60="")+ISNUMBER(SEARCH(","&amp;J216&amp;",",","&amp;SUBSTITUTE('1 Scholarships'!$H$2:$H$60," ","")&amp;","))&gt;0)*(('1 Scholarships'!$J$2:$J$60&lt;&gt;"Yes")+(L216="Yes")&gt;0)*((K216="")+ISNUMBER(SEARCH(","&amp;K216&amp;",",","&amp;SUBSTITUTE('1 Scholarships'!$P$2:$P$60," ","")&amp;","))&gt;0)))</f>
        <v/>
      </c>
      <c r="N216" s="20" t="str">
        <f aca="false">IF(OR(I216="",J216=""),"",SUMPRODUCT(MAX((CODE(I216)&lt;=CODE('1 Scholarships'!$G$2:$G$60))*('1 Scholarships'!$A$2:$A$60&lt;&gt;"")*(('1 Scholarships'!$H$2:$H$60="")+ISNUMBER(SEARCH(","&amp;J216&amp;",",","&amp;SUBSTITUTE('1 Scholarships'!$H$2:$H$60," ","")&amp;","))&gt;0)*(('1 Scholarships'!$J$2:$J$60&lt;&gt;"Yes")+(L216="Yes")&gt;0)*((K216="")+ISNUMBER(SEARCH(","&amp;K216&amp;",",","&amp;SUBSTITUTE('1 Scholarships'!$P$2:$P$60," ","")&amp;","))&gt;0)*'1 Scholarships'!$F$2:$F$60)))</f>
        <v/>
      </c>
      <c r="O216" s="18"/>
      <c r="P216" s="18"/>
      <c r="Q216" s="18"/>
      <c r="R216" s="19"/>
      <c r="S216" s="19"/>
      <c r="T216" s="18"/>
      <c r="U216" s="18"/>
      <c r="V216" s="18"/>
    </row>
    <row r="217" customFormat="false" ht="15" hidden="false" customHeight="false" outlineLevel="0" collapsed="false">
      <c r="A217" s="18"/>
      <c r="B217" s="19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4" t="str">
        <f aca="false">IF(OR(I217="",J217=""),"",SUMPRODUCT((CODE(I217)&lt;=CODE('1 Scholarships'!$G$2:$G$60))*('1 Scholarships'!$A$2:$A$60&lt;&gt;"")*(('1 Scholarships'!$H$2:$H$60="")+ISNUMBER(SEARCH(","&amp;J217&amp;",",","&amp;SUBSTITUTE('1 Scholarships'!$H$2:$H$60," ","")&amp;","))&gt;0)*(('1 Scholarships'!$J$2:$J$60&lt;&gt;"Yes")+(L217="Yes")&gt;0)*((K217="")+ISNUMBER(SEARCH(","&amp;K217&amp;",",","&amp;SUBSTITUTE('1 Scholarships'!$P$2:$P$60," ","")&amp;","))&gt;0)))</f>
        <v/>
      </c>
      <c r="N217" s="20" t="str">
        <f aca="false">IF(OR(I217="",J217=""),"",SUMPRODUCT(MAX((CODE(I217)&lt;=CODE('1 Scholarships'!$G$2:$G$60))*('1 Scholarships'!$A$2:$A$60&lt;&gt;"")*(('1 Scholarships'!$H$2:$H$60="")+ISNUMBER(SEARCH(","&amp;J217&amp;",",","&amp;SUBSTITUTE('1 Scholarships'!$H$2:$H$60," ","")&amp;","))&gt;0)*(('1 Scholarships'!$J$2:$J$60&lt;&gt;"Yes")+(L217="Yes")&gt;0)*((K217="")+ISNUMBER(SEARCH(","&amp;K217&amp;",",","&amp;SUBSTITUTE('1 Scholarships'!$P$2:$P$60," ","")&amp;","))&gt;0)*'1 Scholarships'!$F$2:$F$60)))</f>
        <v/>
      </c>
      <c r="O217" s="18"/>
      <c r="P217" s="18"/>
      <c r="Q217" s="18"/>
      <c r="R217" s="19"/>
      <c r="S217" s="19"/>
      <c r="T217" s="18"/>
      <c r="U217" s="18"/>
      <c r="V217" s="18"/>
    </row>
    <row r="218" customFormat="false" ht="15" hidden="false" customHeight="false" outlineLevel="0" collapsed="false">
      <c r="A218" s="18"/>
      <c r="B218" s="19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4" t="str">
        <f aca="false">IF(OR(I218="",J218=""),"",SUMPRODUCT((CODE(I218)&lt;=CODE('1 Scholarships'!$G$2:$G$60))*('1 Scholarships'!$A$2:$A$60&lt;&gt;"")*(('1 Scholarships'!$H$2:$H$60="")+ISNUMBER(SEARCH(","&amp;J218&amp;",",","&amp;SUBSTITUTE('1 Scholarships'!$H$2:$H$60," ","")&amp;","))&gt;0)*(('1 Scholarships'!$J$2:$J$60&lt;&gt;"Yes")+(L218="Yes")&gt;0)*((K218="")+ISNUMBER(SEARCH(","&amp;K218&amp;",",","&amp;SUBSTITUTE('1 Scholarships'!$P$2:$P$60," ","")&amp;","))&gt;0)))</f>
        <v/>
      </c>
      <c r="N218" s="20" t="str">
        <f aca="false">IF(OR(I218="",J218=""),"",SUMPRODUCT(MAX((CODE(I218)&lt;=CODE('1 Scholarships'!$G$2:$G$60))*('1 Scholarships'!$A$2:$A$60&lt;&gt;"")*(('1 Scholarships'!$H$2:$H$60="")+ISNUMBER(SEARCH(","&amp;J218&amp;",",","&amp;SUBSTITUTE('1 Scholarships'!$H$2:$H$60," ","")&amp;","))&gt;0)*(('1 Scholarships'!$J$2:$J$60&lt;&gt;"Yes")+(L218="Yes")&gt;0)*((K218="")+ISNUMBER(SEARCH(","&amp;K218&amp;",",","&amp;SUBSTITUTE('1 Scholarships'!$P$2:$P$60," ","")&amp;","))&gt;0)*'1 Scholarships'!$F$2:$F$60)))</f>
        <v/>
      </c>
      <c r="O218" s="18"/>
      <c r="P218" s="18"/>
      <c r="Q218" s="18"/>
      <c r="R218" s="19"/>
      <c r="S218" s="19"/>
      <c r="T218" s="18"/>
      <c r="U218" s="18"/>
      <c r="V218" s="18"/>
    </row>
    <row r="219" customFormat="false" ht="15" hidden="false" customHeight="false" outlineLevel="0" collapsed="false">
      <c r="A219" s="18"/>
      <c r="B219" s="19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4" t="str">
        <f aca="false">IF(OR(I219="",J219=""),"",SUMPRODUCT((CODE(I219)&lt;=CODE('1 Scholarships'!$G$2:$G$60))*('1 Scholarships'!$A$2:$A$60&lt;&gt;"")*(('1 Scholarships'!$H$2:$H$60="")+ISNUMBER(SEARCH(","&amp;J219&amp;",",","&amp;SUBSTITUTE('1 Scholarships'!$H$2:$H$60," ","")&amp;","))&gt;0)*(('1 Scholarships'!$J$2:$J$60&lt;&gt;"Yes")+(L219="Yes")&gt;0)*((K219="")+ISNUMBER(SEARCH(","&amp;K219&amp;",",","&amp;SUBSTITUTE('1 Scholarships'!$P$2:$P$60," ","")&amp;","))&gt;0)))</f>
        <v/>
      </c>
      <c r="N219" s="20" t="str">
        <f aca="false">IF(OR(I219="",J219=""),"",SUMPRODUCT(MAX((CODE(I219)&lt;=CODE('1 Scholarships'!$G$2:$G$60))*('1 Scholarships'!$A$2:$A$60&lt;&gt;"")*(('1 Scholarships'!$H$2:$H$60="")+ISNUMBER(SEARCH(","&amp;J219&amp;",",","&amp;SUBSTITUTE('1 Scholarships'!$H$2:$H$60," ","")&amp;","))&gt;0)*(('1 Scholarships'!$J$2:$J$60&lt;&gt;"Yes")+(L219="Yes")&gt;0)*((K219="")+ISNUMBER(SEARCH(","&amp;K219&amp;",",","&amp;SUBSTITUTE('1 Scholarships'!$P$2:$P$60," ","")&amp;","))&gt;0)*'1 Scholarships'!$F$2:$F$60)))</f>
        <v/>
      </c>
      <c r="O219" s="18"/>
      <c r="P219" s="18"/>
      <c r="Q219" s="18"/>
      <c r="R219" s="19"/>
      <c r="S219" s="19"/>
      <c r="T219" s="18"/>
      <c r="U219" s="18"/>
      <c r="V219" s="18"/>
    </row>
    <row r="220" customFormat="false" ht="15" hidden="false" customHeight="false" outlineLevel="0" collapsed="false">
      <c r="A220" s="18"/>
      <c r="B220" s="19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4" t="str">
        <f aca="false">IF(OR(I220="",J220=""),"",SUMPRODUCT((CODE(I220)&lt;=CODE('1 Scholarships'!$G$2:$G$60))*('1 Scholarships'!$A$2:$A$60&lt;&gt;"")*(('1 Scholarships'!$H$2:$H$60="")+ISNUMBER(SEARCH(","&amp;J220&amp;",",","&amp;SUBSTITUTE('1 Scholarships'!$H$2:$H$60," ","")&amp;","))&gt;0)*(('1 Scholarships'!$J$2:$J$60&lt;&gt;"Yes")+(L220="Yes")&gt;0)*((K220="")+ISNUMBER(SEARCH(","&amp;K220&amp;",",","&amp;SUBSTITUTE('1 Scholarships'!$P$2:$P$60," ","")&amp;","))&gt;0)))</f>
        <v/>
      </c>
      <c r="N220" s="20" t="str">
        <f aca="false">IF(OR(I220="",J220=""),"",SUMPRODUCT(MAX((CODE(I220)&lt;=CODE('1 Scholarships'!$G$2:$G$60))*('1 Scholarships'!$A$2:$A$60&lt;&gt;"")*(('1 Scholarships'!$H$2:$H$60="")+ISNUMBER(SEARCH(","&amp;J220&amp;",",","&amp;SUBSTITUTE('1 Scholarships'!$H$2:$H$60," ","")&amp;","))&gt;0)*(('1 Scholarships'!$J$2:$J$60&lt;&gt;"Yes")+(L220="Yes")&gt;0)*((K220="")+ISNUMBER(SEARCH(","&amp;K220&amp;",",","&amp;SUBSTITUTE('1 Scholarships'!$P$2:$P$60," ","")&amp;","))&gt;0)*'1 Scholarships'!$F$2:$F$60)))</f>
        <v/>
      </c>
      <c r="O220" s="18"/>
      <c r="P220" s="18"/>
      <c r="Q220" s="18"/>
      <c r="R220" s="19"/>
      <c r="S220" s="19"/>
      <c r="T220" s="18"/>
      <c r="U220" s="18"/>
      <c r="V220" s="18"/>
    </row>
    <row r="221" customFormat="false" ht="15" hidden="false" customHeight="false" outlineLevel="0" collapsed="false">
      <c r="A221" s="18"/>
      <c r="B221" s="19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4" t="str">
        <f aca="false">IF(OR(I221="",J221=""),"",SUMPRODUCT((CODE(I221)&lt;=CODE('1 Scholarships'!$G$2:$G$60))*('1 Scholarships'!$A$2:$A$60&lt;&gt;"")*(('1 Scholarships'!$H$2:$H$60="")+ISNUMBER(SEARCH(","&amp;J221&amp;",",","&amp;SUBSTITUTE('1 Scholarships'!$H$2:$H$60," ","")&amp;","))&gt;0)*(('1 Scholarships'!$J$2:$J$60&lt;&gt;"Yes")+(L221="Yes")&gt;0)*((K221="")+ISNUMBER(SEARCH(","&amp;K221&amp;",",","&amp;SUBSTITUTE('1 Scholarships'!$P$2:$P$60," ","")&amp;","))&gt;0)))</f>
        <v/>
      </c>
      <c r="N221" s="20" t="str">
        <f aca="false">IF(OR(I221="",J221=""),"",SUMPRODUCT(MAX((CODE(I221)&lt;=CODE('1 Scholarships'!$G$2:$G$60))*('1 Scholarships'!$A$2:$A$60&lt;&gt;"")*(('1 Scholarships'!$H$2:$H$60="")+ISNUMBER(SEARCH(","&amp;J221&amp;",",","&amp;SUBSTITUTE('1 Scholarships'!$H$2:$H$60," ","")&amp;","))&gt;0)*(('1 Scholarships'!$J$2:$J$60&lt;&gt;"Yes")+(L221="Yes")&gt;0)*((K221="")+ISNUMBER(SEARCH(","&amp;K221&amp;",",","&amp;SUBSTITUTE('1 Scholarships'!$P$2:$P$60," ","")&amp;","))&gt;0)*'1 Scholarships'!$F$2:$F$60)))</f>
        <v/>
      </c>
      <c r="O221" s="18"/>
      <c r="P221" s="18"/>
      <c r="Q221" s="18"/>
      <c r="R221" s="19"/>
      <c r="S221" s="19"/>
      <c r="T221" s="18"/>
      <c r="U221" s="18"/>
      <c r="V221" s="18"/>
    </row>
    <row r="222" customFormat="false" ht="15" hidden="false" customHeight="false" outlineLevel="0" collapsed="false">
      <c r="A222" s="18"/>
      <c r="B222" s="19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4" t="str">
        <f aca="false">IF(OR(I222="",J222=""),"",SUMPRODUCT((CODE(I222)&lt;=CODE('1 Scholarships'!$G$2:$G$60))*('1 Scholarships'!$A$2:$A$60&lt;&gt;"")*(('1 Scholarships'!$H$2:$H$60="")+ISNUMBER(SEARCH(","&amp;J222&amp;",",","&amp;SUBSTITUTE('1 Scholarships'!$H$2:$H$60," ","")&amp;","))&gt;0)*(('1 Scholarships'!$J$2:$J$60&lt;&gt;"Yes")+(L222="Yes")&gt;0)*((K222="")+ISNUMBER(SEARCH(","&amp;K222&amp;",",","&amp;SUBSTITUTE('1 Scholarships'!$P$2:$P$60," ","")&amp;","))&gt;0)))</f>
        <v/>
      </c>
      <c r="N222" s="20" t="str">
        <f aca="false">IF(OR(I222="",J222=""),"",SUMPRODUCT(MAX((CODE(I222)&lt;=CODE('1 Scholarships'!$G$2:$G$60))*('1 Scholarships'!$A$2:$A$60&lt;&gt;"")*(('1 Scholarships'!$H$2:$H$60="")+ISNUMBER(SEARCH(","&amp;J222&amp;",",","&amp;SUBSTITUTE('1 Scholarships'!$H$2:$H$60," ","")&amp;","))&gt;0)*(('1 Scholarships'!$J$2:$J$60&lt;&gt;"Yes")+(L222="Yes")&gt;0)*((K222="")+ISNUMBER(SEARCH(","&amp;K222&amp;",",","&amp;SUBSTITUTE('1 Scholarships'!$P$2:$P$60," ","")&amp;","))&gt;0)*'1 Scholarships'!$F$2:$F$60)))</f>
        <v/>
      </c>
      <c r="O222" s="18"/>
      <c r="P222" s="18"/>
      <c r="Q222" s="18"/>
      <c r="R222" s="19"/>
      <c r="S222" s="19"/>
      <c r="T222" s="18"/>
      <c r="U222" s="18"/>
      <c r="V222" s="18"/>
    </row>
    <row r="223" customFormat="false" ht="15" hidden="false" customHeight="false" outlineLevel="0" collapsed="false">
      <c r="A223" s="18"/>
      <c r="B223" s="19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4" t="str">
        <f aca="false">IF(OR(I223="",J223=""),"",SUMPRODUCT((CODE(I223)&lt;=CODE('1 Scholarships'!$G$2:$G$60))*('1 Scholarships'!$A$2:$A$60&lt;&gt;"")*(('1 Scholarships'!$H$2:$H$60="")+ISNUMBER(SEARCH(","&amp;J223&amp;",",","&amp;SUBSTITUTE('1 Scholarships'!$H$2:$H$60," ","")&amp;","))&gt;0)*(('1 Scholarships'!$J$2:$J$60&lt;&gt;"Yes")+(L223="Yes")&gt;0)*((K223="")+ISNUMBER(SEARCH(","&amp;K223&amp;",",","&amp;SUBSTITUTE('1 Scholarships'!$P$2:$P$60," ","")&amp;","))&gt;0)))</f>
        <v/>
      </c>
      <c r="N223" s="20" t="str">
        <f aca="false">IF(OR(I223="",J223=""),"",SUMPRODUCT(MAX((CODE(I223)&lt;=CODE('1 Scholarships'!$G$2:$G$60))*('1 Scholarships'!$A$2:$A$60&lt;&gt;"")*(('1 Scholarships'!$H$2:$H$60="")+ISNUMBER(SEARCH(","&amp;J223&amp;",",","&amp;SUBSTITUTE('1 Scholarships'!$H$2:$H$60," ","")&amp;","))&gt;0)*(('1 Scholarships'!$J$2:$J$60&lt;&gt;"Yes")+(L223="Yes")&gt;0)*((K223="")+ISNUMBER(SEARCH(","&amp;K223&amp;",",","&amp;SUBSTITUTE('1 Scholarships'!$P$2:$P$60," ","")&amp;","))&gt;0)*'1 Scholarships'!$F$2:$F$60)))</f>
        <v/>
      </c>
      <c r="O223" s="18"/>
      <c r="P223" s="18"/>
      <c r="Q223" s="18"/>
      <c r="R223" s="19"/>
      <c r="S223" s="19"/>
      <c r="T223" s="18"/>
      <c r="U223" s="18"/>
      <c r="V223" s="18"/>
    </row>
    <row r="224" customFormat="false" ht="15" hidden="false" customHeight="false" outlineLevel="0" collapsed="false">
      <c r="A224" s="18"/>
      <c r="B224" s="19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4" t="str">
        <f aca="false">IF(OR(I224="",J224=""),"",SUMPRODUCT((CODE(I224)&lt;=CODE('1 Scholarships'!$G$2:$G$60))*('1 Scholarships'!$A$2:$A$60&lt;&gt;"")*(('1 Scholarships'!$H$2:$H$60="")+ISNUMBER(SEARCH(","&amp;J224&amp;",",","&amp;SUBSTITUTE('1 Scholarships'!$H$2:$H$60," ","")&amp;","))&gt;0)*(('1 Scholarships'!$J$2:$J$60&lt;&gt;"Yes")+(L224="Yes")&gt;0)*((K224="")+ISNUMBER(SEARCH(","&amp;K224&amp;",",","&amp;SUBSTITUTE('1 Scholarships'!$P$2:$P$60," ","")&amp;","))&gt;0)))</f>
        <v/>
      </c>
      <c r="N224" s="20" t="str">
        <f aca="false">IF(OR(I224="",J224=""),"",SUMPRODUCT(MAX((CODE(I224)&lt;=CODE('1 Scholarships'!$G$2:$G$60))*('1 Scholarships'!$A$2:$A$60&lt;&gt;"")*(('1 Scholarships'!$H$2:$H$60="")+ISNUMBER(SEARCH(","&amp;J224&amp;",",","&amp;SUBSTITUTE('1 Scholarships'!$H$2:$H$60," ","")&amp;","))&gt;0)*(('1 Scholarships'!$J$2:$J$60&lt;&gt;"Yes")+(L224="Yes")&gt;0)*((K224="")+ISNUMBER(SEARCH(","&amp;K224&amp;",",","&amp;SUBSTITUTE('1 Scholarships'!$P$2:$P$60," ","")&amp;","))&gt;0)*'1 Scholarships'!$F$2:$F$60)))</f>
        <v/>
      </c>
      <c r="O224" s="18"/>
      <c r="P224" s="18"/>
      <c r="Q224" s="18"/>
      <c r="R224" s="19"/>
      <c r="S224" s="19"/>
      <c r="T224" s="18"/>
      <c r="U224" s="18"/>
      <c r="V224" s="18"/>
    </row>
    <row r="225" customFormat="false" ht="15" hidden="false" customHeight="false" outlineLevel="0" collapsed="false">
      <c r="A225" s="18"/>
      <c r="B225" s="19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4" t="str">
        <f aca="false">IF(OR(I225="",J225=""),"",SUMPRODUCT((CODE(I225)&lt;=CODE('1 Scholarships'!$G$2:$G$60))*('1 Scholarships'!$A$2:$A$60&lt;&gt;"")*(('1 Scholarships'!$H$2:$H$60="")+ISNUMBER(SEARCH(","&amp;J225&amp;",",","&amp;SUBSTITUTE('1 Scholarships'!$H$2:$H$60," ","")&amp;","))&gt;0)*(('1 Scholarships'!$J$2:$J$60&lt;&gt;"Yes")+(L225="Yes")&gt;0)*((K225="")+ISNUMBER(SEARCH(","&amp;K225&amp;",",","&amp;SUBSTITUTE('1 Scholarships'!$P$2:$P$60," ","")&amp;","))&gt;0)))</f>
        <v/>
      </c>
      <c r="N225" s="20" t="str">
        <f aca="false">IF(OR(I225="",J225=""),"",SUMPRODUCT(MAX((CODE(I225)&lt;=CODE('1 Scholarships'!$G$2:$G$60))*('1 Scholarships'!$A$2:$A$60&lt;&gt;"")*(('1 Scholarships'!$H$2:$H$60="")+ISNUMBER(SEARCH(","&amp;J225&amp;",",","&amp;SUBSTITUTE('1 Scholarships'!$H$2:$H$60," ","")&amp;","))&gt;0)*(('1 Scholarships'!$J$2:$J$60&lt;&gt;"Yes")+(L225="Yes")&gt;0)*((K225="")+ISNUMBER(SEARCH(","&amp;K225&amp;",",","&amp;SUBSTITUTE('1 Scholarships'!$P$2:$P$60," ","")&amp;","))&gt;0)*'1 Scholarships'!$F$2:$F$60)))</f>
        <v/>
      </c>
      <c r="O225" s="18"/>
      <c r="P225" s="18"/>
      <c r="Q225" s="18"/>
      <c r="R225" s="19"/>
      <c r="S225" s="19"/>
      <c r="T225" s="18"/>
      <c r="U225" s="18"/>
      <c r="V225" s="18"/>
    </row>
    <row r="226" customFormat="false" ht="15" hidden="false" customHeight="false" outlineLevel="0" collapsed="false">
      <c r="A226" s="18"/>
      <c r="B226" s="19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4" t="str">
        <f aca="false">IF(OR(I226="",J226=""),"",SUMPRODUCT((CODE(I226)&lt;=CODE('1 Scholarships'!$G$2:$G$60))*('1 Scholarships'!$A$2:$A$60&lt;&gt;"")*(('1 Scholarships'!$H$2:$H$60="")+ISNUMBER(SEARCH(","&amp;J226&amp;",",","&amp;SUBSTITUTE('1 Scholarships'!$H$2:$H$60," ","")&amp;","))&gt;0)*(('1 Scholarships'!$J$2:$J$60&lt;&gt;"Yes")+(L226="Yes")&gt;0)*((K226="")+ISNUMBER(SEARCH(","&amp;K226&amp;",",","&amp;SUBSTITUTE('1 Scholarships'!$P$2:$P$60," ","")&amp;","))&gt;0)))</f>
        <v/>
      </c>
      <c r="N226" s="20" t="str">
        <f aca="false">IF(OR(I226="",J226=""),"",SUMPRODUCT(MAX((CODE(I226)&lt;=CODE('1 Scholarships'!$G$2:$G$60))*('1 Scholarships'!$A$2:$A$60&lt;&gt;"")*(('1 Scholarships'!$H$2:$H$60="")+ISNUMBER(SEARCH(","&amp;J226&amp;",",","&amp;SUBSTITUTE('1 Scholarships'!$H$2:$H$60," ","")&amp;","))&gt;0)*(('1 Scholarships'!$J$2:$J$60&lt;&gt;"Yes")+(L226="Yes")&gt;0)*((K226="")+ISNUMBER(SEARCH(","&amp;K226&amp;",",","&amp;SUBSTITUTE('1 Scholarships'!$P$2:$P$60," ","")&amp;","))&gt;0)*'1 Scholarships'!$F$2:$F$60)))</f>
        <v/>
      </c>
      <c r="O226" s="18"/>
      <c r="P226" s="18"/>
      <c r="Q226" s="18"/>
      <c r="R226" s="19"/>
      <c r="S226" s="19"/>
      <c r="T226" s="18"/>
      <c r="U226" s="18"/>
      <c r="V226" s="18"/>
    </row>
    <row r="227" customFormat="false" ht="15" hidden="false" customHeight="false" outlineLevel="0" collapsed="false">
      <c r="A227" s="18"/>
      <c r="B227" s="19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4" t="str">
        <f aca="false">IF(OR(I227="",J227=""),"",SUMPRODUCT((CODE(I227)&lt;=CODE('1 Scholarships'!$G$2:$G$60))*('1 Scholarships'!$A$2:$A$60&lt;&gt;"")*(('1 Scholarships'!$H$2:$H$60="")+ISNUMBER(SEARCH(","&amp;J227&amp;",",","&amp;SUBSTITUTE('1 Scholarships'!$H$2:$H$60," ","")&amp;","))&gt;0)*(('1 Scholarships'!$J$2:$J$60&lt;&gt;"Yes")+(L227="Yes")&gt;0)*((K227="")+ISNUMBER(SEARCH(","&amp;K227&amp;",",","&amp;SUBSTITUTE('1 Scholarships'!$P$2:$P$60," ","")&amp;","))&gt;0)))</f>
        <v/>
      </c>
      <c r="N227" s="20" t="str">
        <f aca="false">IF(OR(I227="",J227=""),"",SUMPRODUCT(MAX((CODE(I227)&lt;=CODE('1 Scholarships'!$G$2:$G$60))*('1 Scholarships'!$A$2:$A$60&lt;&gt;"")*(('1 Scholarships'!$H$2:$H$60="")+ISNUMBER(SEARCH(","&amp;J227&amp;",",","&amp;SUBSTITUTE('1 Scholarships'!$H$2:$H$60," ","")&amp;","))&gt;0)*(('1 Scholarships'!$J$2:$J$60&lt;&gt;"Yes")+(L227="Yes")&gt;0)*((K227="")+ISNUMBER(SEARCH(","&amp;K227&amp;",",","&amp;SUBSTITUTE('1 Scholarships'!$P$2:$P$60," ","")&amp;","))&gt;0)*'1 Scholarships'!$F$2:$F$60)))</f>
        <v/>
      </c>
      <c r="O227" s="18"/>
      <c r="P227" s="18"/>
      <c r="Q227" s="18"/>
      <c r="R227" s="19"/>
      <c r="S227" s="19"/>
      <c r="T227" s="18"/>
      <c r="U227" s="18"/>
      <c r="V227" s="18"/>
    </row>
    <row r="228" customFormat="false" ht="15" hidden="false" customHeight="false" outlineLevel="0" collapsed="false">
      <c r="A228" s="18"/>
      <c r="B228" s="19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4" t="str">
        <f aca="false">IF(OR(I228="",J228=""),"",SUMPRODUCT((CODE(I228)&lt;=CODE('1 Scholarships'!$G$2:$G$60))*('1 Scholarships'!$A$2:$A$60&lt;&gt;"")*(('1 Scholarships'!$H$2:$H$60="")+ISNUMBER(SEARCH(","&amp;J228&amp;",",","&amp;SUBSTITUTE('1 Scholarships'!$H$2:$H$60," ","")&amp;","))&gt;0)*(('1 Scholarships'!$J$2:$J$60&lt;&gt;"Yes")+(L228="Yes")&gt;0)*((K228="")+ISNUMBER(SEARCH(","&amp;K228&amp;",",","&amp;SUBSTITUTE('1 Scholarships'!$P$2:$P$60," ","")&amp;","))&gt;0)))</f>
        <v/>
      </c>
      <c r="N228" s="20" t="str">
        <f aca="false">IF(OR(I228="",J228=""),"",SUMPRODUCT(MAX((CODE(I228)&lt;=CODE('1 Scholarships'!$G$2:$G$60))*('1 Scholarships'!$A$2:$A$60&lt;&gt;"")*(('1 Scholarships'!$H$2:$H$60="")+ISNUMBER(SEARCH(","&amp;J228&amp;",",","&amp;SUBSTITUTE('1 Scholarships'!$H$2:$H$60," ","")&amp;","))&gt;0)*(('1 Scholarships'!$J$2:$J$60&lt;&gt;"Yes")+(L228="Yes")&gt;0)*((K228="")+ISNUMBER(SEARCH(","&amp;K228&amp;",",","&amp;SUBSTITUTE('1 Scholarships'!$P$2:$P$60," ","")&amp;","))&gt;0)*'1 Scholarships'!$F$2:$F$60)))</f>
        <v/>
      </c>
      <c r="O228" s="18"/>
      <c r="P228" s="18"/>
      <c r="Q228" s="18"/>
      <c r="R228" s="19"/>
      <c r="S228" s="19"/>
      <c r="T228" s="18"/>
      <c r="U228" s="18"/>
      <c r="V228" s="18"/>
    </row>
    <row r="229" customFormat="false" ht="15" hidden="false" customHeight="false" outlineLevel="0" collapsed="false">
      <c r="A229" s="18"/>
      <c r="B229" s="19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4" t="str">
        <f aca="false">IF(OR(I229="",J229=""),"",SUMPRODUCT((CODE(I229)&lt;=CODE('1 Scholarships'!$G$2:$G$60))*('1 Scholarships'!$A$2:$A$60&lt;&gt;"")*(('1 Scholarships'!$H$2:$H$60="")+ISNUMBER(SEARCH(","&amp;J229&amp;",",","&amp;SUBSTITUTE('1 Scholarships'!$H$2:$H$60," ","")&amp;","))&gt;0)*(('1 Scholarships'!$J$2:$J$60&lt;&gt;"Yes")+(L229="Yes")&gt;0)*((K229="")+ISNUMBER(SEARCH(","&amp;K229&amp;",",","&amp;SUBSTITUTE('1 Scholarships'!$P$2:$P$60," ","")&amp;","))&gt;0)))</f>
        <v/>
      </c>
      <c r="N229" s="20" t="str">
        <f aca="false">IF(OR(I229="",J229=""),"",SUMPRODUCT(MAX((CODE(I229)&lt;=CODE('1 Scholarships'!$G$2:$G$60))*('1 Scholarships'!$A$2:$A$60&lt;&gt;"")*(('1 Scholarships'!$H$2:$H$60="")+ISNUMBER(SEARCH(","&amp;J229&amp;",",","&amp;SUBSTITUTE('1 Scholarships'!$H$2:$H$60," ","")&amp;","))&gt;0)*(('1 Scholarships'!$J$2:$J$60&lt;&gt;"Yes")+(L229="Yes")&gt;0)*((K229="")+ISNUMBER(SEARCH(","&amp;K229&amp;",",","&amp;SUBSTITUTE('1 Scholarships'!$P$2:$P$60," ","")&amp;","))&gt;0)*'1 Scholarships'!$F$2:$F$60)))</f>
        <v/>
      </c>
      <c r="O229" s="18"/>
      <c r="P229" s="18"/>
      <c r="Q229" s="18"/>
      <c r="R229" s="19"/>
      <c r="S229" s="19"/>
      <c r="T229" s="18"/>
      <c r="U229" s="18"/>
      <c r="V229" s="18"/>
    </row>
    <row r="230" customFormat="false" ht="15" hidden="false" customHeight="false" outlineLevel="0" collapsed="false">
      <c r="A230" s="18"/>
      <c r="B230" s="19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4" t="str">
        <f aca="false">IF(OR(I230="",J230=""),"",SUMPRODUCT((CODE(I230)&lt;=CODE('1 Scholarships'!$G$2:$G$60))*('1 Scholarships'!$A$2:$A$60&lt;&gt;"")*(('1 Scholarships'!$H$2:$H$60="")+ISNUMBER(SEARCH(","&amp;J230&amp;",",","&amp;SUBSTITUTE('1 Scholarships'!$H$2:$H$60," ","")&amp;","))&gt;0)*(('1 Scholarships'!$J$2:$J$60&lt;&gt;"Yes")+(L230="Yes")&gt;0)*((K230="")+ISNUMBER(SEARCH(","&amp;K230&amp;",",","&amp;SUBSTITUTE('1 Scholarships'!$P$2:$P$60," ","")&amp;","))&gt;0)))</f>
        <v/>
      </c>
      <c r="N230" s="20" t="str">
        <f aca="false">IF(OR(I230="",J230=""),"",SUMPRODUCT(MAX((CODE(I230)&lt;=CODE('1 Scholarships'!$G$2:$G$60))*('1 Scholarships'!$A$2:$A$60&lt;&gt;"")*(('1 Scholarships'!$H$2:$H$60="")+ISNUMBER(SEARCH(","&amp;J230&amp;",",","&amp;SUBSTITUTE('1 Scholarships'!$H$2:$H$60," ","")&amp;","))&gt;0)*(('1 Scholarships'!$J$2:$J$60&lt;&gt;"Yes")+(L230="Yes")&gt;0)*((K230="")+ISNUMBER(SEARCH(","&amp;K230&amp;",",","&amp;SUBSTITUTE('1 Scholarships'!$P$2:$P$60," ","")&amp;","))&gt;0)*'1 Scholarships'!$F$2:$F$60)))</f>
        <v/>
      </c>
      <c r="O230" s="18"/>
      <c r="P230" s="18"/>
      <c r="Q230" s="18"/>
      <c r="R230" s="19"/>
      <c r="S230" s="19"/>
      <c r="T230" s="18"/>
      <c r="U230" s="18"/>
      <c r="V230" s="18"/>
    </row>
    <row r="231" customFormat="false" ht="15" hidden="false" customHeight="false" outlineLevel="0" collapsed="false">
      <c r="A231" s="18"/>
      <c r="B231" s="19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4" t="str">
        <f aca="false">IF(OR(I231="",J231=""),"",SUMPRODUCT((CODE(I231)&lt;=CODE('1 Scholarships'!$G$2:$G$60))*('1 Scholarships'!$A$2:$A$60&lt;&gt;"")*(('1 Scholarships'!$H$2:$H$60="")+ISNUMBER(SEARCH(","&amp;J231&amp;",",","&amp;SUBSTITUTE('1 Scholarships'!$H$2:$H$60," ","")&amp;","))&gt;0)*(('1 Scholarships'!$J$2:$J$60&lt;&gt;"Yes")+(L231="Yes")&gt;0)*((K231="")+ISNUMBER(SEARCH(","&amp;K231&amp;",",","&amp;SUBSTITUTE('1 Scholarships'!$P$2:$P$60," ","")&amp;","))&gt;0)))</f>
        <v/>
      </c>
      <c r="N231" s="20" t="str">
        <f aca="false">IF(OR(I231="",J231=""),"",SUMPRODUCT(MAX((CODE(I231)&lt;=CODE('1 Scholarships'!$G$2:$G$60))*('1 Scholarships'!$A$2:$A$60&lt;&gt;"")*(('1 Scholarships'!$H$2:$H$60="")+ISNUMBER(SEARCH(","&amp;J231&amp;",",","&amp;SUBSTITUTE('1 Scholarships'!$H$2:$H$60," ","")&amp;","))&gt;0)*(('1 Scholarships'!$J$2:$J$60&lt;&gt;"Yes")+(L231="Yes")&gt;0)*((K231="")+ISNUMBER(SEARCH(","&amp;K231&amp;",",","&amp;SUBSTITUTE('1 Scholarships'!$P$2:$P$60," ","")&amp;","))&gt;0)*'1 Scholarships'!$F$2:$F$60)))</f>
        <v/>
      </c>
      <c r="O231" s="18"/>
      <c r="P231" s="18"/>
      <c r="Q231" s="18"/>
      <c r="R231" s="19"/>
      <c r="S231" s="19"/>
      <c r="T231" s="18"/>
      <c r="U231" s="18"/>
      <c r="V231" s="18"/>
    </row>
    <row r="232" customFormat="false" ht="15" hidden="false" customHeight="false" outlineLevel="0" collapsed="false">
      <c r="A232" s="18"/>
      <c r="B232" s="19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4" t="str">
        <f aca="false">IF(OR(I232="",J232=""),"",SUMPRODUCT((CODE(I232)&lt;=CODE('1 Scholarships'!$G$2:$G$60))*('1 Scholarships'!$A$2:$A$60&lt;&gt;"")*(('1 Scholarships'!$H$2:$H$60="")+ISNUMBER(SEARCH(","&amp;J232&amp;",",","&amp;SUBSTITUTE('1 Scholarships'!$H$2:$H$60," ","")&amp;","))&gt;0)*(('1 Scholarships'!$J$2:$J$60&lt;&gt;"Yes")+(L232="Yes")&gt;0)*((K232="")+ISNUMBER(SEARCH(","&amp;K232&amp;",",","&amp;SUBSTITUTE('1 Scholarships'!$P$2:$P$60," ","")&amp;","))&gt;0)))</f>
        <v/>
      </c>
      <c r="N232" s="20" t="str">
        <f aca="false">IF(OR(I232="",J232=""),"",SUMPRODUCT(MAX((CODE(I232)&lt;=CODE('1 Scholarships'!$G$2:$G$60))*('1 Scholarships'!$A$2:$A$60&lt;&gt;"")*(('1 Scholarships'!$H$2:$H$60="")+ISNUMBER(SEARCH(","&amp;J232&amp;",",","&amp;SUBSTITUTE('1 Scholarships'!$H$2:$H$60," ","")&amp;","))&gt;0)*(('1 Scholarships'!$J$2:$J$60&lt;&gt;"Yes")+(L232="Yes")&gt;0)*((K232="")+ISNUMBER(SEARCH(","&amp;K232&amp;",",","&amp;SUBSTITUTE('1 Scholarships'!$P$2:$P$60," ","")&amp;","))&gt;0)*'1 Scholarships'!$F$2:$F$60)))</f>
        <v/>
      </c>
      <c r="O232" s="18"/>
      <c r="P232" s="18"/>
      <c r="Q232" s="18"/>
      <c r="R232" s="19"/>
      <c r="S232" s="19"/>
      <c r="T232" s="18"/>
      <c r="U232" s="18"/>
      <c r="V232" s="18"/>
    </row>
    <row r="233" customFormat="false" ht="15" hidden="false" customHeight="false" outlineLevel="0" collapsed="false">
      <c r="A233" s="18"/>
      <c r="B233" s="19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4" t="str">
        <f aca="false">IF(OR(I233="",J233=""),"",SUMPRODUCT((CODE(I233)&lt;=CODE('1 Scholarships'!$G$2:$G$60))*('1 Scholarships'!$A$2:$A$60&lt;&gt;"")*(('1 Scholarships'!$H$2:$H$60="")+ISNUMBER(SEARCH(","&amp;J233&amp;",",","&amp;SUBSTITUTE('1 Scholarships'!$H$2:$H$60," ","")&amp;","))&gt;0)*(('1 Scholarships'!$J$2:$J$60&lt;&gt;"Yes")+(L233="Yes")&gt;0)*((K233="")+ISNUMBER(SEARCH(","&amp;K233&amp;",",","&amp;SUBSTITUTE('1 Scholarships'!$P$2:$P$60," ","")&amp;","))&gt;0)))</f>
        <v/>
      </c>
      <c r="N233" s="20" t="str">
        <f aca="false">IF(OR(I233="",J233=""),"",SUMPRODUCT(MAX((CODE(I233)&lt;=CODE('1 Scholarships'!$G$2:$G$60))*('1 Scholarships'!$A$2:$A$60&lt;&gt;"")*(('1 Scholarships'!$H$2:$H$60="")+ISNUMBER(SEARCH(","&amp;J233&amp;",",","&amp;SUBSTITUTE('1 Scholarships'!$H$2:$H$60," ","")&amp;","))&gt;0)*(('1 Scholarships'!$J$2:$J$60&lt;&gt;"Yes")+(L233="Yes")&gt;0)*((K233="")+ISNUMBER(SEARCH(","&amp;K233&amp;",",","&amp;SUBSTITUTE('1 Scholarships'!$P$2:$P$60," ","")&amp;","))&gt;0)*'1 Scholarships'!$F$2:$F$60)))</f>
        <v/>
      </c>
      <c r="O233" s="18"/>
      <c r="P233" s="18"/>
      <c r="Q233" s="18"/>
      <c r="R233" s="19"/>
      <c r="S233" s="19"/>
      <c r="T233" s="18"/>
      <c r="U233" s="18"/>
      <c r="V233" s="18"/>
    </row>
    <row r="234" customFormat="false" ht="15" hidden="false" customHeight="false" outlineLevel="0" collapsed="false">
      <c r="A234" s="18"/>
      <c r="B234" s="19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4" t="str">
        <f aca="false">IF(OR(I234="",J234=""),"",SUMPRODUCT((CODE(I234)&lt;=CODE('1 Scholarships'!$G$2:$G$60))*('1 Scholarships'!$A$2:$A$60&lt;&gt;"")*(('1 Scholarships'!$H$2:$H$60="")+ISNUMBER(SEARCH(","&amp;J234&amp;",",","&amp;SUBSTITUTE('1 Scholarships'!$H$2:$H$60," ","")&amp;","))&gt;0)*(('1 Scholarships'!$J$2:$J$60&lt;&gt;"Yes")+(L234="Yes")&gt;0)*((K234="")+ISNUMBER(SEARCH(","&amp;K234&amp;",",","&amp;SUBSTITUTE('1 Scholarships'!$P$2:$P$60," ","")&amp;","))&gt;0)))</f>
        <v/>
      </c>
      <c r="N234" s="20" t="str">
        <f aca="false">IF(OR(I234="",J234=""),"",SUMPRODUCT(MAX((CODE(I234)&lt;=CODE('1 Scholarships'!$G$2:$G$60))*('1 Scholarships'!$A$2:$A$60&lt;&gt;"")*(('1 Scholarships'!$H$2:$H$60="")+ISNUMBER(SEARCH(","&amp;J234&amp;",",","&amp;SUBSTITUTE('1 Scholarships'!$H$2:$H$60," ","")&amp;","))&gt;0)*(('1 Scholarships'!$J$2:$J$60&lt;&gt;"Yes")+(L234="Yes")&gt;0)*((K234="")+ISNUMBER(SEARCH(","&amp;K234&amp;",",","&amp;SUBSTITUTE('1 Scholarships'!$P$2:$P$60," ","")&amp;","))&gt;0)*'1 Scholarships'!$F$2:$F$60)))</f>
        <v/>
      </c>
      <c r="O234" s="18"/>
      <c r="P234" s="18"/>
      <c r="Q234" s="18"/>
      <c r="R234" s="19"/>
      <c r="S234" s="19"/>
      <c r="T234" s="18"/>
      <c r="U234" s="18"/>
      <c r="V234" s="18"/>
    </row>
    <row r="235" customFormat="false" ht="15" hidden="false" customHeight="false" outlineLevel="0" collapsed="false">
      <c r="A235" s="18"/>
      <c r="B235" s="19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4" t="str">
        <f aca="false">IF(OR(I235="",J235=""),"",SUMPRODUCT((CODE(I235)&lt;=CODE('1 Scholarships'!$G$2:$G$60))*('1 Scholarships'!$A$2:$A$60&lt;&gt;"")*(('1 Scholarships'!$H$2:$H$60="")+ISNUMBER(SEARCH(","&amp;J235&amp;",",","&amp;SUBSTITUTE('1 Scholarships'!$H$2:$H$60," ","")&amp;","))&gt;0)*(('1 Scholarships'!$J$2:$J$60&lt;&gt;"Yes")+(L235="Yes")&gt;0)*((K235="")+ISNUMBER(SEARCH(","&amp;K235&amp;",",","&amp;SUBSTITUTE('1 Scholarships'!$P$2:$P$60," ","")&amp;","))&gt;0)))</f>
        <v/>
      </c>
      <c r="N235" s="20" t="str">
        <f aca="false">IF(OR(I235="",J235=""),"",SUMPRODUCT(MAX((CODE(I235)&lt;=CODE('1 Scholarships'!$G$2:$G$60))*('1 Scholarships'!$A$2:$A$60&lt;&gt;"")*(('1 Scholarships'!$H$2:$H$60="")+ISNUMBER(SEARCH(","&amp;J235&amp;",",","&amp;SUBSTITUTE('1 Scholarships'!$H$2:$H$60," ","")&amp;","))&gt;0)*(('1 Scholarships'!$J$2:$J$60&lt;&gt;"Yes")+(L235="Yes")&gt;0)*((K235="")+ISNUMBER(SEARCH(","&amp;K235&amp;",",","&amp;SUBSTITUTE('1 Scholarships'!$P$2:$P$60," ","")&amp;","))&gt;0)*'1 Scholarships'!$F$2:$F$60)))</f>
        <v/>
      </c>
      <c r="O235" s="18"/>
      <c r="P235" s="18"/>
      <c r="Q235" s="18"/>
      <c r="R235" s="19"/>
      <c r="S235" s="19"/>
      <c r="T235" s="18"/>
      <c r="U235" s="18"/>
      <c r="V235" s="18"/>
    </row>
    <row r="236" customFormat="false" ht="15" hidden="false" customHeight="false" outlineLevel="0" collapsed="false">
      <c r="A236" s="18"/>
      <c r="B236" s="19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4" t="str">
        <f aca="false">IF(OR(I236="",J236=""),"",SUMPRODUCT((CODE(I236)&lt;=CODE('1 Scholarships'!$G$2:$G$60))*('1 Scholarships'!$A$2:$A$60&lt;&gt;"")*(('1 Scholarships'!$H$2:$H$60="")+ISNUMBER(SEARCH(","&amp;J236&amp;",",","&amp;SUBSTITUTE('1 Scholarships'!$H$2:$H$60," ","")&amp;","))&gt;0)*(('1 Scholarships'!$J$2:$J$60&lt;&gt;"Yes")+(L236="Yes")&gt;0)*((K236="")+ISNUMBER(SEARCH(","&amp;K236&amp;",",","&amp;SUBSTITUTE('1 Scholarships'!$P$2:$P$60," ","")&amp;","))&gt;0)))</f>
        <v/>
      </c>
      <c r="N236" s="20" t="str">
        <f aca="false">IF(OR(I236="",J236=""),"",SUMPRODUCT(MAX((CODE(I236)&lt;=CODE('1 Scholarships'!$G$2:$G$60))*('1 Scholarships'!$A$2:$A$60&lt;&gt;"")*(('1 Scholarships'!$H$2:$H$60="")+ISNUMBER(SEARCH(","&amp;J236&amp;",",","&amp;SUBSTITUTE('1 Scholarships'!$H$2:$H$60," ","")&amp;","))&gt;0)*(('1 Scholarships'!$J$2:$J$60&lt;&gt;"Yes")+(L236="Yes")&gt;0)*((K236="")+ISNUMBER(SEARCH(","&amp;K236&amp;",",","&amp;SUBSTITUTE('1 Scholarships'!$P$2:$P$60," ","")&amp;","))&gt;0)*'1 Scholarships'!$F$2:$F$60)))</f>
        <v/>
      </c>
      <c r="O236" s="18"/>
      <c r="P236" s="18"/>
      <c r="Q236" s="18"/>
      <c r="R236" s="19"/>
      <c r="S236" s="19"/>
      <c r="T236" s="18"/>
      <c r="U236" s="18"/>
      <c r="V236" s="18"/>
    </row>
    <row r="237" customFormat="false" ht="15" hidden="false" customHeight="false" outlineLevel="0" collapsed="false">
      <c r="A237" s="18"/>
      <c r="B237" s="19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4" t="str">
        <f aca="false">IF(OR(I237="",J237=""),"",SUMPRODUCT((CODE(I237)&lt;=CODE('1 Scholarships'!$G$2:$G$60))*('1 Scholarships'!$A$2:$A$60&lt;&gt;"")*(('1 Scholarships'!$H$2:$H$60="")+ISNUMBER(SEARCH(","&amp;J237&amp;",",","&amp;SUBSTITUTE('1 Scholarships'!$H$2:$H$60," ","")&amp;","))&gt;0)*(('1 Scholarships'!$J$2:$J$60&lt;&gt;"Yes")+(L237="Yes")&gt;0)*((K237="")+ISNUMBER(SEARCH(","&amp;K237&amp;",",","&amp;SUBSTITUTE('1 Scholarships'!$P$2:$P$60," ","")&amp;","))&gt;0)))</f>
        <v/>
      </c>
      <c r="N237" s="20" t="str">
        <f aca="false">IF(OR(I237="",J237=""),"",SUMPRODUCT(MAX((CODE(I237)&lt;=CODE('1 Scholarships'!$G$2:$G$60))*('1 Scholarships'!$A$2:$A$60&lt;&gt;"")*(('1 Scholarships'!$H$2:$H$60="")+ISNUMBER(SEARCH(","&amp;J237&amp;",",","&amp;SUBSTITUTE('1 Scholarships'!$H$2:$H$60," ","")&amp;","))&gt;0)*(('1 Scholarships'!$J$2:$J$60&lt;&gt;"Yes")+(L237="Yes")&gt;0)*((K237="")+ISNUMBER(SEARCH(","&amp;K237&amp;",",","&amp;SUBSTITUTE('1 Scholarships'!$P$2:$P$60," ","")&amp;","))&gt;0)*'1 Scholarships'!$F$2:$F$60)))</f>
        <v/>
      </c>
      <c r="O237" s="18"/>
      <c r="P237" s="18"/>
      <c r="Q237" s="18"/>
      <c r="R237" s="19"/>
      <c r="S237" s="19"/>
      <c r="T237" s="18"/>
      <c r="U237" s="18"/>
      <c r="V237" s="18"/>
    </row>
    <row r="238" customFormat="false" ht="15" hidden="false" customHeight="false" outlineLevel="0" collapsed="false">
      <c r="A238" s="18"/>
      <c r="B238" s="19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4" t="str">
        <f aca="false">IF(OR(I238="",J238=""),"",SUMPRODUCT((CODE(I238)&lt;=CODE('1 Scholarships'!$G$2:$G$60))*('1 Scholarships'!$A$2:$A$60&lt;&gt;"")*(('1 Scholarships'!$H$2:$H$60="")+ISNUMBER(SEARCH(","&amp;J238&amp;",",","&amp;SUBSTITUTE('1 Scholarships'!$H$2:$H$60," ","")&amp;","))&gt;0)*(('1 Scholarships'!$J$2:$J$60&lt;&gt;"Yes")+(L238="Yes")&gt;0)*((K238="")+ISNUMBER(SEARCH(","&amp;K238&amp;",",","&amp;SUBSTITUTE('1 Scholarships'!$P$2:$P$60," ","")&amp;","))&gt;0)))</f>
        <v/>
      </c>
      <c r="N238" s="20" t="str">
        <f aca="false">IF(OR(I238="",J238=""),"",SUMPRODUCT(MAX((CODE(I238)&lt;=CODE('1 Scholarships'!$G$2:$G$60))*('1 Scholarships'!$A$2:$A$60&lt;&gt;"")*(('1 Scholarships'!$H$2:$H$60="")+ISNUMBER(SEARCH(","&amp;J238&amp;",",","&amp;SUBSTITUTE('1 Scholarships'!$H$2:$H$60," ","")&amp;","))&gt;0)*(('1 Scholarships'!$J$2:$J$60&lt;&gt;"Yes")+(L238="Yes")&gt;0)*((K238="")+ISNUMBER(SEARCH(","&amp;K238&amp;",",","&amp;SUBSTITUTE('1 Scholarships'!$P$2:$P$60," ","")&amp;","))&gt;0)*'1 Scholarships'!$F$2:$F$60)))</f>
        <v/>
      </c>
      <c r="O238" s="18"/>
      <c r="P238" s="18"/>
      <c r="Q238" s="18"/>
      <c r="R238" s="19"/>
      <c r="S238" s="19"/>
      <c r="T238" s="18"/>
      <c r="U238" s="18"/>
      <c r="V238" s="18"/>
    </row>
    <row r="239" customFormat="false" ht="15" hidden="false" customHeight="false" outlineLevel="0" collapsed="false">
      <c r="A239" s="18"/>
      <c r="B239" s="19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4" t="str">
        <f aca="false">IF(OR(I239="",J239=""),"",SUMPRODUCT((CODE(I239)&lt;=CODE('1 Scholarships'!$G$2:$G$60))*('1 Scholarships'!$A$2:$A$60&lt;&gt;"")*(('1 Scholarships'!$H$2:$H$60="")+ISNUMBER(SEARCH(","&amp;J239&amp;",",","&amp;SUBSTITUTE('1 Scholarships'!$H$2:$H$60," ","")&amp;","))&gt;0)*(('1 Scholarships'!$J$2:$J$60&lt;&gt;"Yes")+(L239="Yes")&gt;0)*((K239="")+ISNUMBER(SEARCH(","&amp;K239&amp;",",","&amp;SUBSTITUTE('1 Scholarships'!$P$2:$P$60," ","")&amp;","))&gt;0)))</f>
        <v/>
      </c>
      <c r="N239" s="20" t="str">
        <f aca="false">IF(OR(I239="",J239=""),"",SUMPRODUCT(MAX((CODE(I239)&lt;=CODE('1 Scholarships'!$G$2:$G$60))*('1 Scholarships'!$A$2:$A$60&lt;&gt;"")*(('1 Scholarships'!$H$2:$H$60="")+ISNUMBER(SEARCH(","&amp;J239&amp;",",","&amp;SUBSTITUTE('1 Scholarships'!$H$2:$H$60," ","")&amp;","))&gt;0)*(('1 Scholarships'!$J$2:$J$60&lt;&gt;"Yes")+(L239="Yes")&gt;0)*((K239="")+ISNUMBER(SEARCH(","&amp;K239&amp;",",","&amp;SUBSTITUTE('1 Scholarships'!$P$2:$P$60," ","")&amp;","))&gt;0)*'1 Scholarships'!$F$2:$F$60)))</f>
        <v/>
      </c>
      <c r="O239" s="18"/>
      <c r="P239" s="18"/>
      <c r="Q239" s="18"/>
      <c r="R239" s="19"/>
      <c r="S239" s="19"/>
      <c r="T239" s="18"/>
      <c r="U239" s="18"/>
      <c r="V239" s="18"/>
    </row>
    <row r="240" customFormat="false" ht="15" hidden="false" customHeight="false" outlineLevel="0" collapsed="false">
      <c r="A240" s="18"/>
      <c r="B240" s="19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4" t="str">
        <f aca="false">IF(OR(I240="",J240=""),"",SUMPRODUCT((CODE(I240)&lt;=CODE('1 Scholarships'!$G$2:$G$60))*('1 Scholarships'!$A$2:$A$60&lt;&gt;"")*(('1 Scholarships'!$H$2:$H$60="")+ISNUMBER(SEARCH(","&amp;J240&amp;",",","&amp;SUBSTITUTE('1 Scholarships'!$H$2:$H$60," ","")&amp;","))&gt;0)*(('1 Scholarships'!$J$2:$J$60&lt;&gt;"Yes")+(L240="Yes")&gt;0)*((K240="")+ISNUMBER(SEARCH(","&amp;K240&amp;",",","&amp;SUBSTITUTE('1 Scholarships'!$P$2:$P$60," ","")&amp;","))&gt;0)))</f>
        <v/>
      </c>
      <c r="N240" s="20" t="str">
        <f aca="false">IF(OR(I240="",J240=""),"",SUMPRODUCT(MAX((CODE(I240)&lt;=CODE('1 Scholarships'!$G$2:$G$60))*('1 Scholarships'!$A$2:$A$60&lt;&gt;"")*(('1 Scholarships'!$H$2:$H$60="")+ISNUMBER(SEARCH(","&amp;J240&amp;",",","&amp;SUBSTITUTE('1 Scholarships'!$H$2:$H$60," ","")&amp;","))&gt;0)*(('1 Scholarships'!$J$2:$J$60&lt;&gt;"Yes")+(L240="Yes")&gt;0)*((K240="")+ISNUMBER(SEARCH(","&amp;K240&amp;",",","&amp;SUBSTITUTE('1 Scholarships'!$P$2:$P$60," ","")&amp;","))&gt;0)*'1 Scholarships'!$F$2:$F$60)))</f>
        <v/>
      </c>
      <c r="O240" s="18"/>
      <c r="P240" s="18"/>
      <c r="Q240" s="18"/>
      <c r="R240" s="19"/>
      <c r="S240" s="19"/>
      <c r="T240" s="18"/>
      <c r="U240" s="18"/>
      <c r="V240" s="18"/>
    </row>
    <row r="241" customFormat="false" ht="15" hidden="false" customHeight="false" outlineLevel="0" collapsed="false">
      <c r="A241" s="18"/>
      <c r="B241" s="19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4" t="str">
        <f aca="false">IF(OR(I241="",J241=""),"",SUMPRODUCT((CODE(I241)&lt;=CODE('1 Scholarships'!$G$2:$G$60))*('1 Scholarships'!$A$2:$A$60&lt;&gt;"")*(('1 Scholarships'!$H$2:$H$60="")+ISNUMBER(SEARCH(","&amp;J241&amp;",",","&amp;SUBSTITUTE('1 Scholarships'!$H$2:$H$60," ","")&amp;","))&gt;0)*(('1 Scholarships'!$J$2:$J$60&lt;&gt;"Yes")+(L241="Yes")&gt;0)*((K241="")+ISNUMBER(SEARCH(","&amp;K241&amp;",",","&amp;SUBSTITUTE('1 Scholarships'!$P$2:$P$60," ","")&amp;","))&gt;0)))</f>
        <v/>
      </c>
      <c r="N241" s="20" t="str">
        <f aca="false">IF(OR(I241="",J241=""),"",SUMPRODUCT(MAX((CODE(I241)&lt;=CODE('1 Scholarships'!$G$2:$G$60))*('1 Scholarships'!$A$2:$A$60&lt;&gt;"")*(('1 Scholarships'!$H$2:$H$60="")+ISNUMBER(SEARCH(","&amp;J241&amp;",",","&amp;SUBSTITUTE('1 Scholarships'!$H$2:$H$60," ","")&amp;","))&gt;0)*(('1 Scholarships'!$J$2:$J$60&lt;&gt;"Yes")+(L241="Yes")&gt;0)*((K241="")+ISNUMBER(SEARCH(","&amp;K241&amp;",",","&amp;SUBSTITUTE('1 Scholarships'!$P$2:$P$60," ","")&amp;","))&gt;0)*'1 Scholarships'!$F$2:$F$60)))</f>
        <v/>
      </c>
      <c r="O241" s="18"/>
      <c r="P241" s="18"/>
      <c r="Q241" s="18"/>
      <c r="R241" s="19"/>
      <c r="S241" s="19"/>
      <c r="T241" s="18"/>
      <c r="U241" s="18"/>
      <c r="V241" s="18"/>
    </row>
    <row r="242" customFormat="false" ht="15" hidden="false" customHeight="false" outlineLevel="0" collapsed="false">
      <c r="A242" s="18"/>
      <c r="B242" s="19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4" t="str">
        <f aca="false">IF(OR(I242="",J242=""),"",SUMPRODUCT((CODE(I242)&lt;=CODE('1 Scholarships'!$G$2:$G$60))*('1 Scholarships'!$A$2:$A$60&lt;&gt;"")*(('1 Scholarships'!$H$2:$H$60="")+ISNUMBER(SEARCH(","&amp;J242&amp;",",","&amp;SUBSTITUTE('1 Scholarships'!$H$2:$H$60," ","")&amp;","))&gt;0)*(('1 Scholarships'!$J$2:$J$60&lt;&gt;"Yes")+(L242="Yes")&gt;0)*((K242="")+ISNUMBER(SEARCH(","&amp;K242&amp;",",","&amp;SUBSTITUTE('1 Scholarships'!$P$2:$P$60," ","")&amp;","))&gt;0)))</f>
        <v/>
      </c>
      <c r="N242" s="20" t="str">
        <f aca="false">IF(OR(I242="",J242=""),"",SUMPRODUCT(MAX((CODE(I242)&lt;=CODE('1 Scholarships'!$G$2:$G$60))*('1 Scholarships'!$A$2:$A$60&lt;&gt;"")*(('1 Scholarships'!$H$2:$H$60="")+ISNUMBER(SEARCH(","&amp;J242&amp;",",","&amp;SUBSTITUTE('1 Scholarships'!$H$2:$H$60," ","")&amp;","))&gt;0)*(('1 Scholarships'!$J$2:$J$60&lt;&gt;"Yes")+(L242="Yes")&gt;0)*((K242="")+ISNUMBER(SEARCH(","&amp;K242&amp;",",","&amp;SUBSTITUTE('1 Scholarships'!$P$2:$P$60," ","")&amp;","))&gt;0)*'1 Scholarships'!$F$2:$F$60)))</f>
        <v/>
      </c>
      <c r="O242" s="18"/>
      <c r="P242" s="18"/>
      <c r="Q242" s="18"/>
      <c r="R242" s="19"/>
      <c r="S242" s="19"/>
      <c r="T242" s="18"/>
      <c r="U242" s="18"/>
      <c r="V242" s="18"/>
    </row>
    <row r="243" customFormat="false" ht="15" hidden="false" customHeight="false" outlineLevel="0" collapsed="false">
      <c r="A243" s="18"/>
      <c r="B243" s="19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4" t="str">
        <f aca="false">IF(OR(I243="",J243=""),"",SUMPRODUCT((CODE(I243)&lt;=CODE('1 Scholarships'!$G$2:$G$60))*('1 Scholarships'!$A$2:$A$60&lt;&gt;"")*(('1 Scholarships'!$H$2:$H$60="")+ISNUMBER(SEARCH(","&amp;J243&amp;",",","&amp;SUBSTITUTE('1 Scholarships'!$H$2:$H$60," ","")&amp;","))&gt;0)*(('1 Scholarships'!$J$2:$J$60&lt;&gt;"Yes")+(L243="Yes")&gt;0)*((K243="")+ISNUMBER(SEARCH(","&amp;K243&amp;",",","&amp;SUBSTITUTE('1 Scholarships'!$P$2:$P$60," ","")&amp;","))&gt;0)))</f>
        <v/>
      </c>
      <c r="N243" s="20" t="str">
        <f aca="false">IF(OR(I243="",J243=""),"",SUMPRODUCT(MAX((CODE(I243)&lt;=CODE('1 Scholarships'!$G$2:$G$60))*('1 Scholarships'!$A$2:$A$60&lt;&gt;"")*(('1 Scholarships'!$H$2:$H$60="")+ISNUMBER(SEARCH(","&amp;J243&amp;",",","&amp;SUBSTITUTE('1 Scholarships'!$H$2:$H$60," ","")&amp;","))&gt;0)*(('1 Scholarships'!$J$2:$J$60&lt;&gt;"Yes")+(L243="Yes")&gt;0)*((K243="")+ISNUMBER(SEARCH(","&amp;K243&amp;",",","&amp;SUBSTITUTE('1 Scholarships'!$P$2:$P$60," ","")&amp;","))&gt;0)*'1 Scholarships'!$F$2:$F$60)))</f>
        <v/>
      </c>
      <c r="O243" s="18"/>
      <c r="P243" s="18"/>
      <c r="Q243" s="18"/>
      <c r="R243" s="19"/>
      <c r="S243" s="19"/>
      <c r="T243" s="18"/>
      <c r="U243" s="18"/>
      <c r="V243" s="18"/>
    </row>
    <row r="244" customFormat="false" ht="15" hidden="false" customHeight="false" outlineLevel="0" collapsed="false">
      <c r="A244" s="18"/>
      <c r="B244" s="19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4" t="str">
        <f aca="false">IF(OR(I244="",J244=""),"",SUMPRODUCT((CODE(I244)&lt;=CODE('1 Scholarships'!$G$2:$G$60))*('1 Scholarships'!$A$2:$A$60&lt;&gt;"")*(('1 Scholarships'!$H$2:$H$60="")+ISNUMBER(SEARCH(","&amp;J244&amp;",",","&amp;SUBSTITUTE('1 Scholarships'!$H$2:$H$60," ","")&amp;","))&gt;0)*(('1 Scholarships'!$J$2:$J$60&lt;&gt;"Yes")+(L244="Yes")&gt;0)*((K244="")+ISNUMBER(SEARCH(","&amp;K244&amp;",",","&amp;SUBSTITUTE('1 Scholarships'!$P$2:$P$60," ","")&amp;","))&gt;0)))</f>
        <v/>
      </c>
      <c r="N244" s="20" t="str">
        <f aca="false">IF(OR(I244="",J244=""),"",SUMPRODUCT(MAX((CODE(I244)&lt;=CODE('1 Scholarships'!$G$2:$G$60))*('1 Scholarships'!$A$2:$A$60&lt;&gt;"")*(('1 Scholarships'!$H$2:$H$60="")+ISNUMBER(SEARCH(","&amp;J244&amp;",",","&amp;SUBSTITUTE('1 Scholarships'!$H$2:$H$60," ","")&amp;","))&gt;0)*(('1 Scholarships'!$J$2:$J$60&lt;&gt;"Yes")+(L244="Yes")&gt;0)*((K244="")+ISNUMBER(SEARCH(","&amp;K244&amp;",",","&amp;SUBSTITUTE('1 Scholarships'!$P$2:$P$60," ","")&amp;","))&gt;0)*'1 Scholarships'!$F$2:$F$60)))</f>
        <v/>
      </c>
      <c r="O244" s="18"/>
      <c r="P244" s="18"/>
      <c r="Q244" s="18"/>
      <c r="R244" s="19"/>
      <c r="S244" s="19"/>
      <c r="T244" s="18"/>
      <c r="U244" s="18"/>
      <c r="V244" s="18"/>
    </row>
    <row r="245" customFormat="false" ht="15" hidden="false" customHeight="false" outlineLevel="0" collapsed="false">
      <c r="A245" s="18"/>
      <c r="B245" s="19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4" t="str">
        <f aca="false">IF(OR(I245="",J245=""),"",SUMPRODUCT((CODE(I245)&lt;=CODE('1 Scholarships'!$G$2:$G$60))*('1 Scholarships'!$A$2:$A$60&lt;&gt;"")*(('1 Scholarships'!$H$2:$H$60="")+ISNUMBER(SEARCH(","&amp;J245&amp;",",","&amp;SUBSTITUTE('1 Scholarships'!$H$2:$H$60," ","")&amp;","))&gt;0)*(('1 Scholarships'!$J$2:$J$60&lt;&gt;"Yes")+(L245="Yes")&gt;0)*((K245="")+ISNUMBER(SEARCH(","&amp;K245&amp;",",","&amp;SUBSTITUTE('1 Scholarships'!$P$2:$P$60," ","")&amp;","))&gt;0)))</f>
        <v/>
      </c>
      <c r="N245" s="20" t="str">
        <f aca="false">IF(OR(I245="",J245=""),"",SUMPRODUCT(MAX((CODE(I245)&lt;=CODE('1 Scholarships'!$G$2:$G$60))*('1 Scholarships'!$A$2:$A$60&lt;&gt;"")*(('1 Scholarships'!$H$2:$H$60="")+ISNUMBER(SEARCH(","&amp;J245&amp;",",","&amp;SUBSTITUTE('1 Scholarships'!$H$2:$H$60," ","")&amp;","))&gt;0)*(('1 Scholarships'!$J$2:$J$60&lt;&gt;"Yes")+(L245="Yes")&gt;0)*((K245="")+ISNUMBER(SEARCH(","&amp;K245&amp;",",","&amp;SUBSTITUTE('1 Scholarships'!$P$2:$P$60," ","")&amp;","))&gt;0)*'1 Scholarships'!$F$2:$F$60)))</f>
        <v/>
      </c>
      <c r="O245" s="18"/>
      <c r="P245" s="18"/>
      <c r="Q245" s="18"/>
      <c r="R245" s="19"/>
      <c r="S245" s="19"/>
      <c r="T245" s="18"/>
      <c r="U245" s="18"/>
      <c r="V245" s="18"/>
    </row>
    <row r="246" customFormat="false" ht="15" hidden="false" customHeight="false" outlineLevel="0" collapsed="false">
      <c r="A246" s="18"/>
      <c r="B246" s="19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4" t="str">
        <f aca="false">IF(OR(I246="",J246=""),"",SUMPRODUCT((CODE(I246)&lt;=CODE('1 Scholarships'!$G$2:$G$60))*('1 Scholarships'!$A$2:$A$60&lt;&gt;"")*(('1 Scholarships'!$H$2:$H$60="")+ISNUMBER(SEARCH(","&amp;J246&amp;",",","&amp;SUBSTITUTE('1 Scholarships'!$H$2:$H$60," ","")&amp;","))&gt;0)*(('1 Scholarships'!$J$2:$J$60&lt;&gt;"Yes")+(L246="Yes")&gt;0)*((K246="")+ISNUMBER(SEARCH(","&amp;K246&amp;",",","&amp;SUBSTITUTE('1 Scholarships'!$P$2:$P$60," ","")&amp;","))&gt;0)))</f>
        <v/>
      </c>
      <c r="N246" s="20" t="str">
        <f aca="false">IF(OR(I246="",J246=""),"",SUMPRODUCT(MAX((CODE(I246)&lt;=CODE('1 Scholarships'!$G$2:$G$60))*('1 Scholarships'!$A$2:$A$60&lt;&gt;"")*(('1 Scholarships'!$H$2:$H$60="")+ISNUMBER(SEARCH(","&amp;J246&amp;",",","&amp;SUBSTITUTE('1 Scholarships'!$H$2:$H$60," ","")&amp;","))&gt;0)*(('1 Scholarships'!$J$2:$J$60&lt;&gt;"Yes")+(L246="Yes")&gt;0)*((K246="")+ISNUMBER(SEARCH(","&amp;K246&amp;",",","&amp;SUBSTITUTE('1 Scholarships'!$P$2:$P$60," ","")&amp;","))&gt;0)*'1 Scholarships'!$F$2:$F$60)))</f>
        <v/>
      </c>
      <c r="O246" s="18"/>
      <c r="P246" s="18"/>
      <c r="Q246" s="18"/>
      <c r="R246" s="19"/>
      <c r="S246" s="19"/>
      <c r="T246" s="18"/>
      <c r="U246" s="18"/>
      <c r="V246" s="18"/>
    </row>
    <row r="247" customFormat="false" ht="15" hidden="false" customHeight="false" outlineLevel="0" collapsed="false">
      <c r="A247" s="18"/>
      <c r="B247" s="19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4" t="str">
        <f aca="false">IF(OR(I247="",J247=""),"",SUMPRODUCT((CODE(I247)&lt;=CODE('1 Scholarships'!$G$2:$G$60))*('1 Scholarships'!$A$2:$A$60&lt;&gt;"")*(('1 Scholarships'!$H$2:$H$60="")+ISNUMBER(SEARCH(","&amp;J247&amp;",",","&amp;SUBSTITUTE('1 Scholarships'!$H$2:$H$60," ","")&amp;","))&gt;0)*(('1 Scholarships'!$J$2:$J$60&lt;&gt;"Yes")+(L247="Yes")&gt;0)*((K247="")+ISNUMBER(SEARCH(","&amp;K247&amp;",",","&amp;SUBSTITUTE('1 Scholarships'!$P$2:$P$60," ","")&amp;","))&gt;0)))</f>
        <v/>
      </c>
      <c r="N247" s="20" t="str">
        <f aca="false">IF(OR(I247="",J247=""),"",SUMPRODUCT(MAX((CODE(I247)&lt;=CODE('1 Scholarships'!$G$2:$G$60))*('1 Scholarships'!$A$2:$A$60&lt;&gt;"")*(('1 Scholarships'!$H$2:$H$60="")+ISNUMBER(SEARCH(","&amp;J247&amp;",",","&amp;SUBSTITUTE('1 Scholarships'!$H$2:$H$60," ","")&amp;","))&gt;0)*(('1 Scholarships'!$J$2:$J$60&lt;&gt;"Yes")+(L247="Yes")&gt;0)*((K247="")+ISNUMBER(SEARCH(","&amp;K247&amp;",",","&amp;SUBSTITUTE('1 Scholarships'!$P$2:$P$60," ","")&amp;","))&gt;0)*'1 Scholarships'!$F$2:$F$60)))</f>
        <v/>
      </c>
      <c r="O247" s="18"/>
      <c r="P247" s="18"/>
      <c r="Q247" s="18"/>
      <c r="R247" s="19"/>
      <c r="S247" s="19"/>
      <c r="T247" s="18"/>
      <c r="U247" s="18"/>
      <c r="V247" s="18"/>
    </row>
    <row r="248" customFormat="false" ht="15" hidden="false" customHeight="false" outlineLevel="0" collapsed="false">
      <c r="A248" s="18"/>
      <c r="B248" s="19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4" t="str">
        <f aca="false">IF(OR(I248="",J248=""),"",SUMPRODUCT((CODE(I248)&lt;=CODE('1 Scholarships'!$G$2:$G$60))*('1 Scholarships'!$A$2:$A$60&lt;&gt;"")*(('1 Scholarships'!$H$2:$H$60="")+ISNUMBER(SEARCH(","&amp;J248&amp;",",","&amp;SUBSTITUTE('1 Scholarships'!$H$2:$H$60," ","")&amp;","))&gt;0)*(('1 Scholarships'!$J$2:$J$60&lt;&gt;"Yes")+(L248="Yes")&gt;0)*((K248="")+ISNUMBER(SEARCH(","&amp;K248&amp;",",","&amp;SUBSTITUTE('1 Scholarships'!$P$2:$P$60," ","")&amp;","))&gt;0)))</f>
        <v/>
      </c>
      <c r="N248" s="20" t="str">
        <f aca="false">IF(OR(I248="",J248=""),"",SUMPRODUCT(MAX((CODE(I248)&lt;=CODE('1 Scholarships'!$G$2:$G$60))*('1 Scholarships'!$A$2:$A$60&lt;&gt;"")*(('1 Scholarships'!$H$2:$H$60="")+ISNUMBER(SEARCH(","&amp;J248&amp;",",","&amp;SUBSTITUTE('1 Scholarships'!$H$2:$H$60," ","")&amp;","))&gt;0)*(('1 Scholarships'!$J$2:$J$60&lt;&gt;"Yes")+(L248="Yes")&gt;0)*((K248="")+ISNUMBER(SEARCH(","&amp;K248&amp;",",","&amp;SUBSTITUTE('1 Scholarships'!$P$2:$P$60," ","")&amp;","))&gt;0)*'1 Scholarships'!$F$2:$F$60)))</f>
        <v/>
      </c>
      <c r="O248" s="18"/>
      <c r="P248" s="18"/>
      <c r="Q248" s="18"/>
      <c r="R248" s="19"/>
      <c r="S248" s="19"/>
      <c r="T248" s="18"/>
      <c r="U248" s="18"/>
      <c r="V248" s="18"/>
    </row>
    <row r="249" customFormat="false" ht="15" hidden="false" customHeight="false" outlineLevel="0" collapsed="false">
      <c r="A249" s="18"/>
      <c r="B249" s="19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4" t="str">
        <f aca="false">IF(OR(I249="",J249=""),"",SUMPRODUCT((CODE(I249)&lt;=CODE('1 Scholarships'!$G$2:$G$60))*('1 Scholarships'!$A$2:$A$60&lt;&gt;"")*(('1 Scholarships'!$H$2:$H$60="")+ISNUMBER(SEARCH(","&amp;J249&amp;",",","&amp;SUBSTITUTE('1 Scholarships'!$H$2:$H$60," ","")&amp;","))&gt;0)*(('1 Scholarships'!$J$2:$J$60&lt;&gt;"Yes")+(L249="Yes")&gt;0)*((K249="")+ISNUMBER(SEARCH(","&amp;K249&amp;",",","&amp;SUBSTITUTE('1 Scholarships'!$P$2:$P$60," ","")&amp;","))&gt;0)))</f>
        <v/>
      </c>
      <c r="N249" s="20" t="str">
        <f aca="false">IF(OR(I249="",J249=""),"",SUMPRODUCT(MAX((CODE(I249)&lt;=CODE('1 Scholarships'!$G$2:$G$60))*('1 Scholarships'!$A$2:$A$60&lt;&gt;"")*(('1 Scholarships'!$H$2:$H$60="")+ISNUMBER(SEARCH(","&amp;J249&amp;",",","&amp;SUBSTITUTE('1 Scholarships'!$H$2:$H$60," ","")&amp;","))&gt;0)*(('1 Scholarships'!$J$2:$J$60&lt;&gt;"Yes")+(L249="Yes")&gt;0)*((K249="")+ISNUMBER(SEARCH(","&amp;K249&amp;",",","&amp;SUBSTITUTE('1 Scholarships'!$P$2:$P$60," ","")&amp;","))&gt;0)*'1 Scholarships'!$F$2:$F$60)))</f>
        <v/>
      </c>
      <c r="O249" s="18"/>
      <c r="P249" s="18"/>
      <c r="Q249" s="18"/>
      <c r="R249" s="19"/>
      <c r="S249" s="19"/>
      <c r="T249" s="18"/>
      <c r="U249" s="18"/>
      <c r="V249" s="18"/>
    </row>
    <row r="250" customFormat="false" ht="15" hidden="false" customHeight="false" outlineLevel="0" collapsed="false">
      <c r="A250" s="18"/>
      <c r="B250" s="19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4" t="str">
        <f aca="false">IF(OR(I250="",J250=""),"",SUMPRODUCT((CODE(I250)&lt;=CODE('1 Scholarships'!$G$2:$G$60))*('1 Scholarships'!$A$2:$A$60&lt;&gt;"")*(('1 Scholarships'!$H$2:$H$60="")+ISNUMBER(SEARCH(","&amp;J250&amp;",",","&amp;SUBSTITUTE('1 Scholarships'!$H$2:$H$60," ","")&amp;","))&gt;0)*(('1 Scholarships'!$J$2:$J$60&lt;&gt;"Yes")+(L250="Yes")&gt;0)*((K250="")+ISNUMBER(SEARCH(","&amp;K250&amp;",",","&amp;SUBSTITUTE('1 Scholarships'!$P$2:$P$60," ","")&amp;","))&gt;0)))</f>
        <v/>
      </c>
      <c r="N250" s="20" t="str">
        <f aca="false">IF(OR(I250="",J250=""),"",SUMPRODUCT(MAX((CODE(I250)&lt;=CODE('1 Scholarships'!$G$2:$G$60))*('1 Scholarships'!$A$2:$A$60&lt;&gt;"")*(('1 Scholarships'!$H$2:$H$60="")+ISNUMBER(SEARCH(","&amp;J250&amp;",",","&amp;SUBSTITUTE('1 Scholarships'!$H$2:$H$60," ","")&amp;","))&gt;0)*(('1 Scholarships'!$J$2:$J$60&lt;&gt;"Yes")+(L250="Yes")&gt;0)*((K250="")+ISNUMBER(SEARCH(","&amp;K250&amp;",",","&amp;SUBSTITUTE('1 Scholarships'!$P$2:$P$60," ","")&amp;","))&gt;0)*'1 Scholarships'!$F$2:$F$60)))</f>
        <v/>
      </c>
      <c r="O250" s="18"/>
      <c r="P250" s="18"/>
      <c r="Q250" s="18"/>
      <c r="R250" s="19"/>
      <c r="S250" s="19"/>
      <c r="T250" s="18"/>
      <c r="U250" s="18"/>
      <c r="V250" s="18"/>
    </row>
    <row r="251" customFormat="false" ht="15" hidden="false" customHeight="false" outlineLevel="0" collapsed="false">
      <c r="A251" s="18"/>
      <c r="B251" s="19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4" t="str">
        <f aca="false">IF(OR(I251="",J251=""),"",SUMPRODUCT((CODE(I251)&lt;=CODE('1 Scholarships'!$G$2:$G$60))*('1 Scholarships'!$A$2:$A$60&lt;&gt;"")*(('1 Scholarships'!$H$2:$H$60="")+ISNUMBER(SEARCH(","&amp;J251&amp;",",","&amp;SUBSTITUTE('1 Scholarships'!$H$2:$H$60," ","")&amp;","))&gt;0)*(('1 Scholarships'!$J$2:$J$60&lt;&gt;"Yes")+(L251="Yes")&gt;0)*((K251="")+ISNUMBER(SEARCH(","&amp;K251&amp;",",","&amp;SUBSTITUTE('1 Scholarships'!$P$2:$P$60," ","")&amp;","))&gt;0)))</f>
        <v/>
      </c>
      <c r="N251" s="20" t="str">
        <f aca="false">IF(OR(I251="",J251=""),"",SUMPRODUCT(MAX((CODE(I251)&lt;=CODE('1 Scholarships'!$G$2:$G$60))*('1 Scholarships'!$A$2:$A$60&lt;&gt;"")*(('1 Scholarships'!$H$2:$H$60="")+ISNUMBER(SEARCH(","&amp;J251&amp;",",","&amp;SUBSTITUTE('1 Scholarships'!$H$2:$H$60," ","")&amp;","))&gt;0)*(('1 Scholarships'!$J$2:$J$60&lt;&gt;"Yes")+(L251="Yes")&gt;0)*((K251="")+ISNUMBER(SEARCH(","&amp;K251&amp;",",","&amp;SUBSTITUTE('1 Scholarships'!$P$2:$P$60," ","")&amp;","))&gt;0)*'1 Scholarships'!$F$2:$F$60)))</f>
        <v/>
      </c>
      <c r="O251" s="18"/>
      <c r="P251" s="18"/>
      <c r="Q251" s="18"/>
      <c r="R251" s="19"/>
      <c r="S251" s="19"/>
      <c r="T251" s="18"/>
      <c r="U251" s="18"/>
      <c r="V251" s="18"/>
    </row>
    <row r="252" customFormat="false" ht="15" hidden="false" customHeight="false" outlineLevel="0" collapsed="false">
      <c r="A252" s="18"/>
      <c r="B252" s="19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4" t="str">
        <f aca="false">IF(OR(I252="",J252=""),"",SUMPRODUCT((CODE(I252)&lt;=CODE('1 Scholarships'!$G$2:$G$60))*('1 Scholarships'!$A$2:$A$60&lt;&gt;"")*(('1 Scholarships'!$H$2:$H$60="")+ISNUMBER(SEARCH(","&amp;J252&amp;",",","&amp;SUBSTITUTE('1 Scholarships'!$H$2:$H$60," ","")&amp;","))&gt;0)*(('1 Scholarships'!$J$2:$J$60&lt;&gt;"Yes")+(L252="Yes")&gt;0)*((K252="")+ISNUMBER(SEARCH(","&amp;K252&amp;",",","&amp;SUBSTITUTE('1 Scholarships'!$P$2:$P$60," ","")&amp;","))&gt;0)))</f>
        <v/>
      </c>
      <c r="N252" s="20" t="str">
        <f aca="false">IF(OR(I252="",J252=""),"",SUMPRODUCT(MAX((CODE(I252)&lt;=CODE('1 Scholarships'!$G$2:$G$60))*('1 Scholarships'!$A$2:$A$60&lt;&gt;"")*(('1 Scholarships'!$H$2:$H$60="")+ISNUMBER(SEARCH(","&amp;J252&amp;",",","&amp;SUBSTITUTE('1 Scholarships'!$H$2:$H$60," ","")&amp;","))&gt;0)*(('1 Scholarships'!$J$2:$J$60&lt;&gt;"Yes")+(L252="Yes")&gt;0)*((K252="")+ISNUMBER(SEARCH(","&amp;K252&amp;",",","&amp;SUBSTITUTE('1 Scholarships'!$P$2:$P$60," ","")&amp;","))&gt;0)*'1 Scholarships'!$F$2:$F$60)))</f>
        <v/>
      </c>
      <c r="O252" s="18"/>
      <c r="P252" s="18"/>
      <c r="Q252" s="18"/>
      <c r="R252" s="19"/>
      <c r="S252" s="19"/>
      <c r="T252" s="18"/>
      <c r="U252" s="18"/>
      <c r="V252" s="18"/>
    </row>
    <row r="253" customFormat="false" ht="15" hidden="false" customHeight="false" outlineLevel="0" collapsed="false">
      <c r="A253" s="18"/>
      <c r="B253" s="19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4" t="str">
        <f aca="false">IF(OR(I253="",J253=""),"",SUMPRODUCT((CODE(I253)&lt;=CODE('1 Scholarships'!$G$2:$G$60))*('1 Scholarships'!$A$2:$A$60&lt;&gt;"")*(('1 Scholarships'!$H$2:$H$60="")+ISNUMBER(SEARCH(","&amp;J253&amp;",",","&amp;SUBSTITUTE('1 Scholarships'!$H$2:$H$60," ","")&amp;","))&gt;0)*(('1 Scholarships'!$J$2:$J$60&lt;&gt;"Yes")+(L253="Yes")&gt;0)*((K253="")+ISNUMBER(SEARCH(","&amp;K253&amp;",",","&amp;SUBSTITUTE('1 Scholarships'!$P$2:$P$60," ","")&amp;","))&gt;0)))</f>
        <v/>
      </c>
      <c r="N253" s="20" t="str">
        <f aca="false">IF(OR(I253="",J253=""),"",SUMPRODUCT(MAX((CODE(I253)&lt;=CODE('1 Scholarships'!$G$2:$G$60))*('1 Scholarships'!$A$2:$A$60&lt;&gt;"")*(('1 Scholarships'!$H$2:$H$60="")+ISNUMBER(SEARCH(","&amp;J253&amp;",",","&amp;SUBSTITUTE('1 Scholarships'!$H$2:$H$60," ","")&amp;","))&gt;0)*(('1 Scholarships'!$J$2:$J$60&lt;&gt;"Yes")+(L253="Yes")&gt;0)*((K253="")+ISNUMBER(SEARCH(","&amp;K253&amp;",",","&amp;SUBSTITUTE('1 Scholarships'!$P$2:$P$60," ","")&amp;","))&gt;0)*'1 Scholarships'!$F$2:$F$60)))</f>
        <v/>
      </c>
      <c r="O253" s="18"/>
      <c r="P253" s="18"/>
      <c r="Q253" s="18"/>
      <c r="R253" s="19"/>
      <c r="S253" s="19"/>
      <c r="T253" s="18"/>
      <c r="U253" s="18"/>
      <c r="V253" s="18"/>
    </row>
    <row r="254" customFormat="false" ht="15" hidden="false" customHeight="false" outlineLevel="0" collapsed="false">
      <c r="A254" s="18"/>
      <c r="B254" s="19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4" t="str">
        <f aca="false">IF(OR(I254="",J254=""),"",SUMPRODUCT((CODE(I254)&lt;=CODE('1 Scholarships'!$G$2:$G$60))*('1 Scholarships'!$A$2:$A$60&lt;&gt;"")*(('1 Scholarships'!$H$2:$H$60="")+ISNUMBER(SEARCH(","&amp;J254&amp;",",","&amp;SUBSTITUTE('1 Scholarships'!$H$2:$H$60," ","")&amp;","))&gt;0)*(('1 Scholarships'!$J$2:$J$60&lt;&gt;"Yes")+(L254="Yes")&gt;0)*((K254="")+ISNUMBER(SEARCH(","&amp;K254&amp;",",","&amp;SUBSTITUTE('1 Scholarships'!$P$2:$P$60," ","")&amp;","))&gt;0)))</f>
        <v/>
      </c>
      <c r="N254" s="20" t="str">
        <f aca="false">IF(OR(I254="",J254=""),"",SUMPRODUCT(MAX((CODE(I254)&lt;=CODE('1 Scholarships'!$G$2:$G$60))*('1 Scholarships'!$A$2:$A$60&lt;&gt;"")*(('1 Scholarships'!$H$2:$H$60="")+ISNUMBER(SEARCH(","&amp;J254&amp;",",","&amp;SUBSTITUTE('1 Scholarships'!$H$2:$H$60," ","")&amp;","))&gt;0)*(('1 Scholarships'!$J$2:$J$60&lt;&gt;"Yes")+(L254="Yes")&gt;0)*((K254="")+ISNUMBER(SEARCH(","&amp;K254&amp;",",","&amp;SUBSTITUTE('1 Scholarships'!$P$2:$P$60," ","")&amp;","))&gt;0)*'1 Scholarships'!$F$2:$F$60)))</f>
        <v/>
      </c>
      <c r="O254" s="18"/>
      <c r="P254" s="18"/>
      <c r="Q254" s="18"/>
      <c r="R254" s="19"/>
      <c r="S254" s="19"/>
      <c r="T254" s="18"/>
      <c r="U254" s="18"/>
      <c r="V254" s="18"/>
    </row>
    <row r="255" customFormat="false" ht="15" hidden="false" customHeight="false" outlineLevel="0" collapsed="false">
      <c r="A255" s="18"/>
      <c r="B255" s="19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4" t="str">
        <f aca="false">IF(OR(I255="",J255=""),"",SUMPRODUCT((CODE(I255)&lt;=CODE('1 Scholarships'!$G$2:$G$60))*('1 Scholarships'!$A$2:$A$60&lt;&gt;"")*(('1 Scholarships'!$H$2:$H$60="")+ISNUMBER(SEARCH(","&amp;J255&amp;",",","&amp;SUBSTITUTE('1 Scholarships'!$H$2:$H$60," ","")&amp;","))&gt;0)*(('1 Scholarships'!$J$2:$J$60&lt;&gt;"Yes")+(L255="Yes")&gt;0)*((K255="")+ISNUMBER(SEARCH(","&amp;K255&amp;",",","&amp;SUBSTITUTE('1 Scholarships'!$P$2:$P$60," ","")&amp;","))&gt;0)))</f>
        <v/>
      </c>
      <c r="N255" s="20" t="str">
        <f aca="false">IF(OR(I255="",J255=""),"",SUMPRODUCT(MAX((CODE(I255)&lt;=CODE('1 Scholarships'!$G$2:$G$60))*('1 Scholarships'!$A$2:$A$60&lt;&gt;"")*(('1 Scholarships'!$H$2:$H$60="")+ISNUMBER(SEARCH(","&amp;J255&amp;",",","&amp;SUBSTITUTE('1 Scholarships'!$H$2:$H$60," ","")&amp;","))&gt;0)*(('1 Scholarships'!$J$2:$J$60&lt;&gt;"Yes")+(L255="Yes")&gt;0)*((K255="")+ISNUMBER(SEARCH(","&amp;K255&amp;",",","&amp;SUBSTITUTE('1 Scholarships'!$P$2:$P$60," ","")&amp;","))&gt;0)*'1 Scholarships'!$F$2:$F$60)))</f>
        <v/>
      </c>
      <c r="O255" s="18"/>
      <c r="P255" s="18"/>
      <c r="Q255" s="18"/>
      <c r="R255" s="19"/>
      <c r="S255" s="19"/>
      <c r="T255" s="18"/>
      <c r="U255" s="18"/>
      <c r="V255" s="18"/>
    </row>
    <row r="256" customFormat="false" ht="15" hidden="false" customHeight="false" outlineLevel="0" collapsed="false">
      <c r="A256" s="18"/>
      <c r="B256" s="19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4" t="str">
        <f aca="false">IF(OR(I256="",J256=""),"",SUMPRODUCT((CODE(I256)&lt;=CODE('1 Scholarships'!$G$2:$G$60))*('1 Scholarships'!$A$2:$A$60&lt;&gt;"")*(('1 Scholarships'!$H$2:$H$60="")+ISNUMBER(SEARCH(","&amp;J256&amp;",",","&amp;SUBSTITUTE('1 Scholarships'!$H$2:$H$60," ","")&amp;","))&gt;0)*(('1 Scholarships'!$J$2:$J$60&lt;&gt;"Yes")+(L256="Yes")&gt;0)*((K256="")+ISNUMBER(SEARCH(","&amp;K256&amp;",",","&amp;SUBSTITUTE('1 Scholarships'!$P$2:$P$60," ","")&amp;","))&gt;0)))</f>
        <v/>
      </c>
      <c r="N256" s="20" t="str">
        <f aca="false">IF(OR(I256="",J256=""),"",SUMPRODUCT(MAX((CODE(I256)&lt;=CODE('1 Scholarships'!$G$2:$G$60))*('1 Scholarships'!$A$2:$A$60&lt;&gt;"")*(('1 Scholarships'!$H$2:$H$60="")+ISNUMBER(SEARCH(","&amp;J256&amp;",",","&amp;SUBSTITUTE('1 Scholarships'!$H$2:$H$60," ","")&amp;","))&gt;0)*(('1 Scholarships'!$J$2:$J$60&lt;&gt;"Yes")+(L256="Yes")&gt;0)*((K256="")+ISNUMBER(SEARCH(","&amp;K256&amp;",",","&amp;SUBSTITUTE('1 Scholarships'!$P$2:$P$60," ","")&amp;","))&gt;0)*'1 Scholarships'!$F$2:$F$60)))</f>
        <v/>
      </c>
      <c r="O256" s="18"/>
      <c r="P256" s="18"/>
      <c r="Q256" s="18"/>
      <c r="R256" s="19"/>
      <c r="S256" s="19"/>
      <c r="T256" s="18"/>
      <c r="U256" s="18"/>
      <c r="V256" s="18"/>
    </row>
    <row r="257" customFormat="false" ht="15" hidden="false" customHeight="false" outlineLevel="0" collapsed="false">
      <c r="A257" s="18"/>
      <c r="B257" s="19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4" t="str">
        <f aca="false">IF(OR(I257="",J257=""),"",SUMPRODUCT((CODE(I257)&lt;=CODE('1 Scholarships'!$G$2:$G$60))*('1 Scholarships'!$A$2:$A$60&lt;&gt;"")*(('1 Scholarships'!$H$2:$H$60="")+ISNUMBER(SEARCH(","&amp;J257&amp;",",","&amp;SUBSTITUTE('1 Scholarships'!$H$2:$H$60," ","")&amp;","))&gt;0)*(('1 Scholarships'!$J$2:$J$60&lt;&gt;"Yes")+(L257="Yes")&gt;0)*((K257="")+ISNUMBER(SEARCH(","&amp;K257&amp;",",","&amp;SUBSTITUTE('1 Scholarships'!$P$2:$P$60," ","")&amp;","))&gt;0)))</f>
        <v/>
      </c>
      <c r="N257" s="20" t="str">
        <f aca="false">IF(OR(I257="",J257=""),"",SUMPRODUCT(MAX((CODE(I257)&lt;=CODE('1 Scholarships'!$G$2:$G$60))*('1 Scholarships'!$A$2:$A$60&lt;&gt;"")*(('1 Scholarships'!$H$2:$H$60="")+ISNUMBER(SEARCH(","&amp;J257&amp;",",","&amp;SUBSTITUTE('1 Scholarships'!$H$2:$H$60," ","")&amp;","))&gt;0)*(('1 Scholarships'!$J$2:$J$60&lt;&gt;"Yes")+(L257="Yes")&gt;0)*((K257="")+ISNUMBER(SEARCH(","&amp;K257&amp;",",","&amp;SUBSTITUTE('1 Scholarships'!$P$2:$P$60," ","")&amp;","))&gt;0)*'1 Scholarships'!$F$2:$F$60)))</f>
        <v/>
      </c>
      <c r="O257" s="18"/>
      <c r="P257" s="18"/>
      <c r="Q257" s="18"/>
      <c r="R257" s="19"/>
      <c r="S257" s="19"/>
      <c r="T257" s="18"/>
      <c r="U257" s="18"/>
      <c r="V257" s="18"/>
    </row>
    <row r="258" customFormat="false" ht="15" hidden="false" customHeight="false" outlineLevel="0" collapsed="false">
      <c r="A258" s="18"/>
      <c r="B258" s="19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4" t="str">
        <f aca="false">IF(OR(I258="",J258=""),"",SUMPRODUCT((CODE(I258)&lt;=CODE('1 Scholarships'!$G$2:$G$60))*('1 Scholarships'!$A$2:$A$60&lt;&gt;"")*(('1 Scholarships'!$H$2:$H$60="")+ISNUMBER(SEARCH(","&amp;J258&amp;",",","&amp;SUBSTITUTE('1 Scholarships'!$H$2:$H$60," ","")&amp;","))&gt;0)*(('1 Scholarships'!$J$2:$J$60&lt;&gt;"Yes")+(L258="Yes")&gt;0)*((K258="")+ISNUMBER(SEARCH(","&amp;K258&amp;",",","&amp;SUBSTITUTE('1 Scholarships'!$P$2:$P$60," ","")&amp;","))&gt;0)))</f>
        <v/>
      </c>
      <c r="N258" s="20" t="str">
        <f aca="false">IF(OR(I258="",J258=""),"",SUMPRODUCT(MAX((CODE(I258)&lt;=CODE('1 Scholarships'!$G$2:$G$60))*('1 Scholarships'!$A$2:$A$60&lt;&gt;"")*(('1 Scholarships'!$H$2:$H$60="")+ISNUMBER(SEARCH(","&amp;J258&amp;",",","&amp;SUBSTITUTE('1 Scholarships'!$H$2:$H$60," ","")&amp;","))&gt;0)*(('1 Scholarships'!$J$2:$J$60&lt;&gt;"Yes")+(L258="Yes")&gt;0)*((K258="")+ISNUMBER(SEARCH(","&amp;K258&amp;",",","&amp;SUBSTITUTE('1 Scholarships'!$P$2:$P$60," ","")&amp;","))&gt;0)*'1 Scholarships'!$F$2:$F$60)))</f>
        <v/>
      </c>
      <c r="O258" s="18"/>
      <c r="P258" s="18"/>
      <c r="Q258" s="18"/>
      <c r="R258" s="19"/>
      <c r="S258" s="19"/>
      <c r="T258" s="18"/>
      <c r="U258" s="18"/>
      <c r="V258" s="18"/>
    </row>
    <row r="259" customFormat="false" ht="15" hidden="false" customHeight="false" outlineLevel="0" collapsed="false">
      <c r="A259" s="18"/>
      <c r="B259" s="19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4" t="str">
        <f aca="false">IF(OR(I259="",J259=""),"",SUMPRODUCT((CODE(I259)&lt;=CODE('1 Scholarships'!$G$2:$G$60))*('1 Scholarships'!$A$2:$A$60&lt;&gt;"")*(('1 Scholarships'!$H$2:$H$60="")+ISNUMBER(SEARCH(","&amp;J259&amp;",",","&amp;SUBSTITUTE('1 Scholarships'!$H$2:$H$60," ","")&amp;","))&gt;0)*(('1 Scholarships'!$J$2:$J$60&lt;&gt;"Yes")+(L259="Yes")&gt;0)*((K259="")+ISNUMBER(SEARCH(","&amp;K259&amp;",",","&amp;SUBSTITUTE('1 Scholarships'!$P$2:$P$60," ","")&amp;","))&gt;0)))</f>
        <v/>
      </c>
      <c r="N259" s="20" t="str">
        <f aca="false">IF(OR(I259="",J259=""),"",SUMPRODUCT(MAX((CODE(I259)&lt;=CODE('1 Scholarships'!$G$2:$G$60))*('1 Scholarships'!$A$2:$A$60&lt;&gt;"")*(('1 Scholarships'!$H$2:$H$60="")+ISNUMBER(SEARCH(","&amp;J259&amp;",",","&amp;SUBSTITUTE('1 Scholarships'!$H$2:$H$60," ","")&amp;","))&gt;0)*(('1 Scholarships'!$J$2:$J$60&lt;&gt;"Yes")+(L259="Yes")&gt;0)*((K259="")+ISNUMBER(SEARCH(","&amp;K259&amp;",",","&amp;SUBSTITUTE('1 Scholarships'!$P$2:$P$60," ","")&amp;","))&gt;0)*'1 Scholarships'!$F$2:$F$60)))</f>
        <v/>
      </c>
      <c r="O259" s="18"/>
      <c r="P259" s="18"/>
      <c r="Q259" s="18"/>
      <c r="R259" s="19"/>
      <c r="S259" s="19"/>
      <c r="T259" s="18"/>
      <c r="U259" s="18"/>
      <c r="V259" s="18"/>
    </row>
    <row r="260" customFormat="false" ht="15" hidden="false" customHeight="false" outlineLevel="0" collapsed="false">
      <c r="A260" s="18"/>
      <c r="B260" s="19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4" t="str">
        <f aca="false">IF(OR(I260="",J260=""),"",SUMPRODUCT((CODE(I260)&lt;=CODE('1 Scholarships'!$G$2:$G$60))*('1 Scholarships'!$A$2:$A$60&lt;&gt;"")*(('1 Scholarships'!$H$2:$H$60="")+ISNUMBER(SEARCH(","&amp;J260&amp;",",","&amp;SUBSTITUTE('1 Scholarships'!$H$2:$H$60," ","")&amp;","))&gt;0)*(('1 Scholarships'!$J$2:$J$60&lt;&gt;"Yes")+(L260="Yes")&gt;0)*((K260="")+ISNUMBER(SEARCH(","&amp;K260&amp;",",","&amp;SUBSTITUTE('1 Scholarships'!$P$2:$P$60," ","")&amp;","))&gt;0)))</f>
        <v/>
      </c>
      <c r="N260" s="20" t="str">
        <f aca="false">IF(OR(I260="",J260=""),"",SUMPRODUCT(MAX((CODE(I260)&lt;=CODE('1 Scholarships'!$G$2:$G$60))*('1 Scholarships'!$A$2:$A$60&lt;&gt;"")*(('1 Scholarships'!$H$2:$H$60="")+ISNUMBER(SEARCH(","&amp;J260&amp;",",","&amp;SUBSTITUTE('1 Scholarships'!$H$2:$H$60," ","")&amp;","))&gt;0)*(('1 Scholarships'!$J$2:$J$60&lt;&gt;"Yes")+(L260="Yes")&gt;0)*((K260="")+ISNUMBER(SEARCH(","&amp;K260&amp;",",","&amp;SUBSTITUTE('1 Scholarships'!$P$2:$P$60," ","")&amp;","))&gt;0)*'1 Scholarships'!$F$2:$F$60)))</f>
        <v/>
      </c>
      <c r="O260" s="18"/>
      <c r="P260" s="18"/>
      <c r="Q260" s="18"/>
      <c r="R260" s="19"/>
      <c r="S260" s="19"/>
      <c r="T260" s="18"/>
      <c r="U260" s="18"/>
      <c r="V260" s="18"/>
    </row>
    <row r="261" customFormat="false" ht="15" hidden="false" customHeight="false" outlineLevel="0" collapsed="false">
      <c r="A261" s="18"/>
      <c r="B261" s="19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4" t="str">
        <f aca="false">IF(OR(I261="",J261=""),"",SUMPRODUCT((CODE(I261)&lt;=CODE('1 Scholarships'!$G$2:$G$60))*('1 Scholarships'!$A$2:$A$60&lt;&gt;"")*(('1 Scholarships'!$H$2:$H$60="")+ISNUMBER(SEARCH(","&amp;J261&amp;",",","&amp;SUBSTITUTE('1 Scholarships'!$H$2:$H$60," ","")&amp;","))&gt;0)*(('1 Scholarships'!$J$2:$J$60&lt;&gt;"Yes")+(L261="Yes")&gt;0)*((K261="")+ISNUMBER(SEARCH(","&amp;K261&amp;",",","&amp;SUBSTITUTE('1 Scholarships'!$P$2:$P$60," ","")&amp;","))&gt;0)))</f>
        <v/>
      </c>
      <c r="N261" s="20" t="str">
        <f aca="false">IF(OR(I261="",J261=""),"",SUMPRODUCT(MAX((CODE(I261)&lt;=CODE('1 Scholarships'!$G$2:$G$60))*('1 Scholarships'!$A$2:$A$60&lt;&gt;"")*(('1 Scholarships'!$H$2:$H$60="")+ISNUMBER(SEARCH(","&amp;J261&amp;",",","&amp;SUBSTITUTE('1 Scholarships'!$H$2:$H$60," ","")&amp;","))&gt;0)*(('1 Scholarships'!$J$2:$J$60&lt;&gt;"Yes")+(L261="Yes")&gt;0)*((K261="")+ISNUMBER(SEARCH(","&amp;K261&amp;",",","&amp;SUBSTITUTE('1 Scholarships'!$P$2:$P$60," ","")&amp;","))&gt;0)*'1 Scholarships'!$F$2:$F$60)))</f>
        <v/>
      </c>
      <c r="O261" s="18"/>
      <c r="P261" s="18"/>
      <c r="Q261" s="18"/>
      <c r="R261" s="19"/>
      <c r="S261" s="19"/>
      <c r="T261" s="18"/>
      <c r="U261" s="18"/>
      <c r="V261" s="18"/>
    </row>
    <row r="262" customFormat="false" ht="15" hidden="false" customHeight="false" outlineLevel="0" collapsed="false">
      <c r="A262" s="18"/>
      <c r="B262" s="19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4" t="str">
        <f aca="false">IF(OR(I262="",J262=""),"",SUMPRODUCT((CODE(I262)&lt;=CODE('1 Scholarships'!$G$2:$G$60))*('1 Scholarships'!$A$2:$A$60&lt;&gt;"")*(('1 Scholarships'!$H$2:$H$60="")+ISNUMBER(SEARCH(","&amp;J262&amp;",",","&amp;SUBSTITUTE('1 Scholarships'!$H$2:$H$60," ","")&amp;","))&gt;0)*(('1 Scholarships'!$J$2:$J$60&lt;&gt;"Yes")+(L262="Yes")&gt;0)*((K262="")+ISNUMBER(SEARCH(","&amp;K262&amp;",",","&amp;SUBSTITUTE('1 Scholarships'!$P$2:$P$60," ","")&amp;","))&gt;0)))</f>
        <v/>
      </c>
      <c r="N262" s="20" t="str">
        <f aca="false">IF(OR(I262="",J262=""),"",SUMPRODUCT(MAX((CODE(I262)&lt;=CODE('1 Scholarships'!$G$2:$G$60))*('1 Scholarships'!$A$2:$A$60&lt;&gt;"")*(('1 Scholarships'!$H$2:$H$60="")+ISNUMBER(SEARCH(","&amp;J262&amp;",",","&amp;SUBSTITUTE('1 Scholarships'!$H$2:$H$60," ","")&amp;","))&gt;0)*(('1 Scholarships'!$J$2:$J$60&lt;&gt;"Yes")+(L262="Yes")&gt;0)*((K262="")+ISNUMBER(SEARCH(","&amp;K262&amp;",",","&amp;SUBSTITUTE('1 Scholarships'!$P$2:$P$60," ","")&amp;","))&gt;0)*'1 Scholarships'!$F$2:$F$60)))</f>
        <v/>
      </c>
      <c r="O262" s="18"/>
      <c r="P262" s="18"/>
      <c r="Q262" s="18"/>
      <c r="R262" s="19"/>
      <c r="S262" s="19"/>
      <c r="T262" s="18"/>
      <c r="U262" s="18"/>
      <c r="V262" s="18"/>
    </row>
    <row r="263" customFormat="false" ht="15" hidden="false" customHeight="false" outlineLevel="0" collapsed="false">
      <c r="A263" s="18"/>
      <c r="B263" s="19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4" t="str">
        <f aca="false">IF(OR(I263="",J263=""),"",SUMPRODUCT((CODE(I263)&lt;=CODE('1 Scholarships'!$G$2:$G$60))*('1 Scholarships'!$A$2:$A$60&lt;&gt;"")*(('1 Scholarships'!$H$2:$H$60="")+ISNUMBER(SEARCH(","&amp;J263&amp;",",","&amp;SUBSTITUTE('1 Scholarships'!$H$2:$H$60," ","")&amp;","))&gt;0)*(('1 Scholarships'!$J$2:$J$60&lt;&gt;"Yes")+(L263="Yes")&gt;0)*((K263="")+ISNUMBER(SEARCH(","&amp;K263&amp;",",","&amp;SUBSTITUTE('1 Scholarships'!$P$2:$P$60," ","")&amp;","))&gt;0)))</f>
        <v/>
      </c>
      <c r="N263" s="20" t="str">
        <f aca="false">IF(OR(I263="",J263=""),"",SUMPRODUCT(MAX((CODE(I263)&lt;=CODE('1 Scholarships'!$G$2:$G$60))*('1 Scholarships'!$A$2:$A$60&lt;&gt;"")*(('1 Scholarships'!$H$2:$H$60="")+ISNUMBER(SEARCH(","&amp;J263&amp;",",","&amp;SUBSTITUTE('1 Scholarships'!$H$2:$H$60," ","")&amp;","))&gt;0)*(('1 Scholarships'!$J$2:$J$60&lt;&gt;"Yes")+(L263="Yes")&gt;0)*((K263="")+ISNUMBER(SEARCH(","&amp;K263&amp;",",","&amp;SUBSTITUTE('1 Scholarships'!$P$2:$P$60," ","")&amp;","))&gt;0)*'1 Scholarships'!$F$2:$F$60)))</f>
        <v/>
      </c>
      <c r="O263" s="18"/>
      <c r="P263" s="18"/>
      <c r="Q263" s="18"/>
      <c r="R263" s="19"/>
      <c r="S263" s="19"/>
      <c r="T263" s="18"/>
      <c r="U263" s="18"/>
      <c r="V263" s="18"/>
    </row>
    <row r="264" customFormat="false" ht="15" hidden="false" customHeight="false" outlineLevel="0" collapsed="false">
      <c r="A264" s="18"/>
      <c r="B264" s="19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4" t="str">
        <f aca="false">IF(OR(I264="",J264=""),"",SUMPRODUCT((CODE(I264)&lt;=CODE('1 Scholarships'!$G$2:$G$60))*('1 Scholarships'!$A$2:$A$60&lt;&gt;"")*(('1 Scholarships'!$H$2:$H$60="")+ISNUMBER(SEARCH(","&amp;J264&amp;",",","&amp;SUBSTITUTE('1 Scholarships'!$H$2:$H$60," ","")&amp;","))&gt;0)*(('1 Scholarships'!$J$2:$J$60&lt;&gt;"Yes")+(L264="Yes")&gt;0)*((K264="")+ISNUMBER(SEARCH(","&amp;K264&amp;",",","&amp;SUBSTITUTE('1 Scholarships'!$P$2:$P$60," ","")&amp;","))&gt;0)))</f>
        <v/>
      </c>
      <c r="N264" s="20" t="str">
        <f aca="false">IF(OR(I264="",J264=""),"",SUMPRODUCT(MAX((CODE(I264)&lt;=CODE('1 Scholarships'!$G$2:$G$60))*('1 Scholarships'!$A$2:$A$60&lt;&gt;"")*(('1 Scholarships'!$H$2:$H$60="")+ISNUMBER(SEARCH(","&amp;J264&amp;",",","&amp;SUBSTITUTE('1 Scholarships'!$H$2:$H$60," ","")&amp;","))&gt;0)*(('1 Scholarships'!$J$2:$J$60&lt;&gt;"Yes")+(L264="Yes")&gt;0)*((K264="")+ISNUMBER(SEARCH(","&amp;K264&amp;",",","&amp;SUBSTITUTE('1 Scholarships'!$P$2:$P$60," ","")&amp;","))&gt;0)*'1 Scholarships'!$F$2:$F$60)))</f>
        <v/>
      </c>
      <c r="O264" s="18"/>
      <c r="P264" s="18"/>
      <c r="Q264" s="18"/>
      <c r="R264" s="19"/>
      <c r="S264" s="19"/>
      <c r="T264" s="18"/>
      <c r="U264" s="18"/>
      <c r="V264" s="18"/>
    </row>
    <row r="265" customFormat="false" ht="15" hidden="false" customHeight="false" outlineLevel="0" collapsed="false">
      <c r="A265" s="18"/>
      <c r="B265" s="19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4" t="str">
        <f aca="false">IF(OR(I265="",J265=""),"",SUMPRODUCT((CODE(I265)&lt;=CODE('1 Scholarships'!$G$2:$G$60))*('1 Scholarships'!$A$2:$A$60&lt;&gt;"")*(('1 Scholarships'!$H$2:$H$60="")+ISNUMBER(SEARCH(","&amp;J265&amp;",",","&amp;SUBSTITUTE('1 Scholarships'!$H$2:$H$60," ","")&amp;","))&gt;0)*(('1 Scholarships'!$J$2:$J$60&lt;&gt;"Yes")+(L265="Yes")&gt;0)*((K265="")+ISNUMBER(SEARCH(","&amp;K265&amp;",",","&amp;SUBSTITUTE('1 Scholarships'!$P$2:$P$60," ","")&amp;","))&gt;0)))</f>
        <v/>
      </c>
      <c r="N265" s="20" t="str">
        <f aca="false">IF(OR(I265="",J265=""),"",SUMPRODUCT(MAX((CODE(I265)&lt;=CODE('1 Scholarships'!$G$2:$G$60))*('1 Scholarships'!$A$2:$A$60&lt;&gt;"")*(('1 Scholarships'!$H$2:$H$60="")+ISNUMBER(SEARCH(","&amp;J265&amp;",",","&amp;SUBSTITUTE('1 Scholarships'!$H$2:$H$60," ","")&amp;","))&gt;0)*(('1 Scholarships'!$J$2:$J$60&lt;&gt;"Yes")+(L265="Yes")&gt;0)*((K265="")+ISNUMBER(SEARCH(","&amp;K265&amp;",",","&amp;SUBSTITUTE('1 Scholarships'!$P$2:$P$60," ","")&amp;","))&gt;0)*'1 Scholarships'!$F$2:$F$60)))</f>
        <v/>
      </c>
      <c r="O265" s="18"/>
      <c r="P265" s="18"/>
      <c r="Q265" s="18"/>
      <c r="R265" s="19"/>
      <c r="S265" s="19"/>
      <c r="T265" s="18"/>
      <c r="U265" s="18"/>
      <c r="V265" s="18"/>
    </row>
    <row r="266" customFormat="false" ht="15" hidden="false" customHeight="false" outlineLevel="0" collapsed="false">
      <c r="A266" s="18"/>
      <c r="B266" s="19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4" t="str">
        <f aca="false">IF(OR(I266="",J266=""),"",SUMPRODUCT((CODE(I266)&lt;=CODE('1 Scholarships'!$G$2:$G$60))*('1 Scholarships'!$A$2:$A$60&lt;&gt;"")*(('1 Scholarships'!$H$2:$H$60="")+ISNUMBER(SEARCH(","&amp;J266&amp;",",","&amp;SUBSTITUTE('1 Scholarships'!$H$2:$H$60," ","")&amp;","))&gt;0)*(('1 Scholarships'!$J$2:$J$60&lt;&gt;"Yes")+(L266="Yes")&gt;0)*((K266="")+ISNUMBER(SEARCH(","&amp;K266&amp;",",","&amp;SUBSTITUTE('1 Scholarships'!$P$2:$P$60," ","")&amp;","))&gt;0)))</f>
        <v/>
      </c>
      <c r="N266" s="20" t="str">
        <f aca="false">IF(OR(I266="",J266=""),"",SUMPRODUCT(MAX((CODE(I266)&lt;=CODE('1 Scholarships'!$G$2:$G$60))*('1 Scholarships'!$A$2:$A$60&lt;&gt;"")*(('1 Scholarships'!$H$2:$H$60="")+ISNUMBER(SEARCH(","&amp;J266&amp;",",","&amp;SUBSTITUTE('1 Scholarships'!$H$2:$H$60," ","")&amp;","))&gt;0)*(('1 Scholarships'!$J$2:$J$60&lt;&gt;"Yes")+(L266="Yes")&gt;0)*((K266="")+ISNUMBER(SEARCH(","&amp;K266&amp;",",","&amp;SUBSTITUTE('1 Scholarships'!$P$2:$P$60," ","")&amp;","))&gt;0)*'1 Scholarships'!$F$2:$F$60)))</f>
        <v/>
      </c>
      <c r="O266" s="18"/>
      <c r="P266" s="18"/>
      <c r="Q266" s="18"/>
      <c r="R266" s="19"/>
      <c r="S266" s="19"/>
      <c r="T266" s="18"/>
      <c r="U266" s="18"/>
      <c r="V266" s="18"/>
    </row>
    <row r="267" customFormat="false" ht="15" hidden="false" customHeight="false" outlineLevel="0" collapsed="false">
      <c r="A267" s="18"/>
      <c r="B267" s="19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4" t="str">
        <f aca="false">IF(OR(I267="",J267=""),"",SUMPRODUCT((CODE(I267)&lt;=CODE('1 Scholarships'!$G$2:$G$60))*('1 Scholarships'!$A$2:$A$60&lt;&gt;"")*(('1 Scholarships'!$H$2:$H$60="")+ISNUMBER(SEARCH(","&amp;J267&amp;",",","&amp;SUBSTITUTE('1 Scholarships'!$H$2:$H$60," ","")&amp;","))&gt;0)*(('1 Scholarships'!$J$2:$J$60&lt;&gt;"Yes")+(L267="Yes")&gt;0)*((K267="")+ISNUMBER(SEARCH(","&amp;K267&amp;",",","&amp;SUBSTITUTE('1 Scholarships'!$P$2:$P$60," ","")&amp;","))&gt;0)))</f>
        <v/>
      </c>
      <c r="N267" s="20" t="str">
        <f aca="false">IF(OR(I267="",J267=""),"",SUMPRODUCT(MAX((CODE(I267)&lt;=CODE('1 Scholarships'!$G$2:$G$60))*('1 Scholarships'!$A$2:$A$60&lt;&gt;"")*(('1 Scholarships'!$H$2:$H$60="")+ISNUMBER(SEARCH(","&amp;J267&amp;",",","&amp;SUBSTITUTE('1 Scholarships'!$H$2:$H$60," ","")&amp;","))&gt;0)*(('1 Scholarships'!$J$2:$J$60&lt;&gt;"Yes")+(L267="Yes")&gt;0)*((K267="")+ISNUMBER(SEARCH(","&amp;K267&amp;",",","&amp;SUBSTITUTE('1 Scholarships'!$P$2:$P$60," ","")&amp;","))&gt;0)*'1 Scholarships'!$F$2:$F$60)))</f>
        <v/>
      </c>
      <c r="O267" s="18"/>
      <c r="P267" s="18"/>
      <c r="Q267" s="18"/>
      <c r="R267" s="19"/>
      <c r="S267" s="19"/>
      <c r="T267" s="18"/>
      <c r="U267" s="18"/>
      <c r="V267" s="18"/>
    </row>
    <row r="268" customFormat="false" ht="15" hidden="false" customHeight="false" outlineLevel="0" collapsed="false">
      <c r="A268" s="18"/>
      <c r="B268" s="19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4" t="str">
        <f aca="false">IF(OR(I268="",J268=""),"",SUMPRODUCT((CODE(I268)&lt;=CODE('1 Scholarships'!$G$2:$G$60))*('1 Scholarships'!$A$2:$A$60&lt;&gt;"")*(('1 Scholarships'!$H$2:$H$60="")+ISNUMBER(SEARCH(","&amp;J268&amp;",",","&amp;SUBSTITUTE('1 Scholarships'!$H$2:$H$60," ","")&amp;","))&gt;0)*(('1 Scholarships'!$J$2:$J$60&lt;&gt;"Yes")+(L268="Yes")&gt;0)*((K268="")+ISNUMBER(SEARCH(","&amp;K268&amp;",",","&amp;SUBSTITUTE('1 Scholarships'!$P$2:$P$60," ","")&amp;","))&gt;0)))</f>
        <v/>
      </c>
      <c r="N268" s="20" t="str">
        <f aca="false">IF(OR(I268="",J268=""),"",SUMPRODUCT(MAX((CODE(I268)&lt;=CODE('1 Scholarships'!$G$2:$G$60))*('1 Scholarships'!$A$2:$A$60&lt;&gt;"")*(('1 Scholarships'!$H$2:$H$60="")+ISNUMBER(SEARCH(","&amp;J268&amp;",",","&amp;SUBSTITUTE('1 Scholarships'!$H$2:$H$60," ","")&amp;","))&gt;0)*(('1 Scholarships'!$J$2:$J$60&lt;&gt;"Yes")+(L268="Yes")&gt;0)*((K268="")+ISNUMBER(SEARCH(","&amp;K268&amp;",",","&amp;SUBSTITUTE('1 Scholarships'!$P$2:$P$60," ","")&amp;","))&gt;0)*'1 Scholarships'!$F$2:$F$60)))</f>
        <v/>
      </c>
      <c r="O268" s="18"/>
      <c r="P268" s="18"/>
      <c r="Q268" s="18"/>
      <c r="R268" s="19"/>
      <c r="S268" s="19"/>
      <c r="T268" s="18"/>
      <c r="U268" s="18"/>
      <c r="V268" s="18"/>
    </row>
    <row r="269" customFormat="false" ht="15" hidden="false" customHeight="false" outlineLevel="0" collapsed="false">
      <c r="A269" s="18"/>
      <c r="B269" s="19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4" t="str">
        <f aca="false">IF(OR(I269="",J269=""),"",SUMPRODUCT((CODE(I269)&lt;=CODE('1 Scholarships'!$G$2:$G$60))*('1 Scholarships'!$A$2:$A$60&lt;&gt;"")*(('1 Scholarships'!$H$2:$H$60="")+ISNUMBER(SEARCH(","&amp;J269&amp;",",","&amp;SUBSTITUTE('1 Scholarships'!$H$2:$H$60," ","")&amp;","))&gt;0)*(('1 Scholarships'!$J$2:$J$60&lt;&gt;"Yes")+(L269="Yes")&gt;0)*((K269="")+ISNUMBER(SEARCH(","&amp;K269&amp;",",","&amp;SUBSTITUTE('1 Scholarships'!$P$2:$P$60," ","")&amp;","))&gt;0)))</f>
        <v/>
      </c>
      <c r="N269" s="20" t="str">
        <f aca="false">IF(OR(I269="",J269=""),"",SUMPRODUCT(MAX((CODE(I269)&lt;=CODE('1 Scholarships'!$G$2:$G$60))*('1 Scholarships'!$A$2:$A$60&lt;&gt;"")*(('1 Scholarships'!$H$2:$H$60="")+ISNUMBER(SEARCH(","&amp;J269&amp;",",","&amp;SUBSTITUTE('1 Scholarships'!$H$2:$H$60," ","")&amp;","))&gt;0)*(('1 Scholarships'!$J$2:$J$60&lt;&gt;"Yes")+(L269="Yes")&gt;0)*((K269="")+ISNUMBER(SEARCH(","&amp;K269&amp;",",","&amp;SUBSTITUTE('1 Scholarships'!$P$2:$P$60," ","")&amp;","))&gt;0)*'1 Scholarships'!$F$2:$F$60)))</f>
        <v/>
      </c>
      <c r="O269" s="18"/>
      <c r="P269" s="18"/>
      <c r="Q269" s="18"/>
      <c r="R269" s="19"/>
      <c r="S269" s="19"/>
      <c r="T269" s="18"/>
      <c r="U269" s="18"/>
      <c r="V269" s="18"/>
    </row>
    <row r="270" customFormat="false" ht="15" hidden="false" customHeight="false" outlineLevel="0" collapsed="false">
      <c r="A270" s="18"/>
      <c r="B270" s="19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4" t="str">
        <f aca="false">IF(OR(I270="",J270=""),"",SUMPRODUCT((CODE(I270)&lt;=CODE('1 Scholarships'!$G$2:$G$60))*('1 Scholarships'!$A$2:$A$60&lt;&gt;"")*(('1 Scholarships'!$H$2:$H$60="")+ISNUMBER(SEARCH(","&amp;J270&amp;",",","&amp;SUBSTITUTE('1 Scholarships'!$H$2:$H$60," ","")&amp;","))&gt;0)*(('1 Scholarships'!$J$2:$J$60&lt;&gt;"Yes")+(L270="Yes")&gt;0)*((K270="")+ISNUMBER(SEARCH(","&amp;K270&amp;",",","&amp;SUBSTITUTE('1 Scholarships'!$P$2:$P$60," ","")&amp;","))&gt;0)))</f>
        <v/>
      </c>
      <c r="N270" s="20" t="str">
        <f aca="false">IF(OR(I270="",J270=""),"",SUMPRODUCT(MAX((CODE(I270)&lt;=CODE('1 Scholarships'!$G$2:$G$60))*('1 Scholarships'!$A$2:$A$60&lt;&gt;"")*(('1 Scholarships'!$H$2:$H$60="")+ISNUMBER(SEARCH(","&amp;J270&amp;",",","&amp;SUBSTITUTE('1 Scholarships'!$H$2:$H$60," ","")&amp;","))&gt;0)*(('1 Scholarships'!$J$2:$J$60&lt;&gt;"Yes")+(L270="Yes")&gt;0)*((K270="")+ISNUMBER(SEARCH(","&amp;K270&amp;",",","&amp;SUBSTITUTE('1 Scholarships'!$P$2:$P$60," ","")&amp;","))&gt;0)*'1 Scholarships'!$F$2:$F$60)))</f>
        <v/>
      </c>
      <c r="O270" s="18"/>
      <c r="P270" s="18"/>
      <c r="Q270" s="18"/>
      <c r="R270" s="19"/>
      <c r="S270" s="19"/>
      <c r="T270" s="18"/>
      <c r="U270" s="18"/>
      <c r="V270" s="18"/>
    </row>
    <row r="271" customFormat="false" ht="15" hidden="false" customHeight="false" outlineLevel="0" collapsed="false">
      <c r="A271" s="18"/>
      <c r="B271" s="19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4" t="str">
        <f aca="false">IF(OR(I271="",J271=""),"",SUMPRODUCT((CODE(I271)&lt;=CODE('1 Scholarships'!$G$2:$G$60))*('1 Scholarships'!$A$2:$A$60&lt;&gt;"")*(('1 Scholarships'!$H$2:$H$60="")+ISNUMBER(SEARCH(","&amp;J271&amp;",",","&amp;SUBSTITUTE('1 Scholarships'!$H$2:$H$60," ","")&amp;","))&gt;0)*(('1 Scholarships'!$J$2:$J$60&lt;&gt;"Yes")+(L271="Yes")&gt;0)*((K271="")+ISNUMBER(SEARCH(","&amp;K271&amp;",",","&amp;SUBSTITUTE('1 Scholarships'!$P$2:$P$60," ","")&amp;","))&gt;0)))</f>
        <v/>
      </c>
      <c r="N271" s="20" t="str">
        <f aca="false">IF(OR(I271="",J271=""),"",SUMPRODUCT(MAX((CODE(I271)&lt;=CODE('1 Scholarships'!$G$2:$G$60))*('1 Scholarships'!$A$2:$A$60&lt;&gt;"")*(('1 Scholarships'!$H$2:$H$60="")+ISNUMBER(SEARCH(","&amp;J271&amp;",",","&amp;SUBSTITUTE('1 Scholarships'!$H$2:$H$60," ","")&amp;","))&gt;0)*(('1 Scholarships'!$J$2:$J$60&lt;&gt;"Yes")+(L271="Yes")&gt;0)*((K271="")+ISNUMBER(SEARCH(","&amp;K271&amp;",",","&amp;SUBSTITUTE('1 Scholarships'!$P$2:$P$60," ","")&amp;","))&gt;0)*'1 Scholarships'!$F$2:$F$60)))</f>
        <v/>
      </c>
      <c r="O271" s="18"/>
      <c r="P271" s="18"/>
      <c r="Q271" s="18"/>
      <c r="R271" s="19"/>
      <c r="S271" s="19"/>
      <c r="T271" s="18"/>
      <c r="U271" s="18"/>
      <c r="V271" s="18"/>
    </row>
    <row r="272" customFormat="false" ht="15" hidden="false" customHeight="false" outlineLevel="0" collapsed="false">
      <c r="A272" s="18"/>
      <c r="B272" s="19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4" t="str">
        <f aca="false">IF(OR(I272="",J272=""),"",SUMPRODUCT((CODE(I272)&lt;=CODE('1 Scholarships'!$G$2:$G$60))*('1 Scholarships'!$A$2:$A$60&lt;&gt;"")*(('1 Scholarships'!$H$2:$H$60="")+ISNUMBER(SEARCH(","&amp;J272&amp;",",","&amp;SUBSTITUTE('1 Scholarships'!$H$2:$H$60," ","")&amp;","))&gt;0)*(('1 Scholarships'!$J$2:$J$60&lt;&gt;"Yes")+(L272="Yes")&gt;0)*((K272="")+ISNUMBER(SEARCH(","&amp;K272&amp;",",","&amp;SUBSTITUTE('1 Scholarships'!$P$2:$P$60," ","")&amp;","))&gt;0)))</f>
        <v/>
      </c>
      <c r="N272" s="20" t="str">
        <f aca="false">IF(OR(I272="",J272=""),"",SUMPRODUCT(MAX((CODE(I272)&lt;=CODE('1 Scholarships'!$G$2:$G$60))*('1 Scholarships'!$A$2:$A$60&lt;&gt;"")*(('1 Scholarships'!$H$2:$H$60="")+ISNUMBER(SEARCH(","&amp;J272&amp;",",","&amp;SUBSTITUTE('1 Scholarships'!$H$2:$H$60," ","")&amp;","))&gt;0)*(('1 Scholarships'!$J$2:$J$60&lt;&gt;"Yes")+(L272="Yes")&gt;0)*((K272="")+ISNUMBER(SEARCH(","&amp;K272&amp;",",","&amp;SUBSTITUTE('1 Scholarships'!$P$2:$P$60," ","")&amp;","))&gt;0)*'1 Scholarships'!$F$2:$F$60)))</f>
        <v/>
      </c>
      <c r="O272" s="18"/>
      <c r="P272" s="18"/>
      <c r="Q272" s="18"/>
      <c r="R272" s="19"/>
      <c r="S272" s="19"/>
      <c r="T272" s="18"/>
      <c r="U272" s="18"/>
      <c r="V272" s="18"/>
    </row>
    <row r="273" customFormat="false" ht="15" hidden="false" customHeight="false" outlineLevel="0" collapsed="false">
      <c r="A273" s="18"/>
      <c r="B273" s="19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4" t="str">
        <f aca="false">IF(OR(I273="",J273=""),"",SUMPRODUCT((CODE(I273)&lt;=CODE('1 Scholarships'!$G$2:$G$60))*('1 Scholarships'!$A$2:$A$60&lt;&gt;"")*(('1 Scholarships'!$H$2:$H$60="")+ISNUMBER(SEARCH(","&amp;J273&amp;",",","&amp;SUBSTITUTE('1 Scholarships'!$H$2:$H$60," ","")&amp;","))&gt;0)*(('1 Scholarships'!$J$2:$J$60&lt;&gt;"Yes")+(L273="Yes")&gt;0)*((K273="")+ISNUMBER(SEARCH(","&amp;K273&amp;",",","&amp;SUBSTITUTE('1 Scholarships'!$P$2:$P$60," ","")&amp;","))&gt;0)))</f>
        <v/>
      </c>
      <c r="N273" s="20" t="str">
        <f aca="false">IF(OR(I273="",J273=""),"",SUMPRODUCT(MAX((CODE(I273)&lt;=CODE('1 Scholarships'!$G$2:$G$60))*('1 Scholarships'!$A$2:$A$60&lt;&gt;"")*(('1 Scholarships'!$H$2:$H$60="")+ISNUMBER(SEARCH(","&amp;J273&amp;",",","&amp;SUBSTITUTE('1 Scholarships'!$H$2:$H$60," ","")&amp;","))&gt;0)*(('1 Scholarships'!$J$2:$J$60&lt;&gt;"Yes")+(L273="Yes")&gt;0)*((K273="")+ISNUMBER(SEARCH(","&amp;K273&amp;",",","&amp;SUBSTITUTE('1 Scholarships'!$P$2:$P$60," ","")&amp;","))&gt;0)*'1 Scholarships'!$F$2:$F$60)))</f>
        <v/>
      </c>
      <c r="O273" s="18"/>
      <c r="P273" s="18"/>
      <c r="Q273" s="18"/>
      <c r="R273" s="19"/>
      <c r="S273" s="19"/>
      <c r="T273" s="18"/>
      <c r="U273" s="18"/>
      <c r="V273" s="18"/>
    </row>
    <row r="274" customFormat="false" ht="15" hidden="false" customHeight="false" outlineLevel="0" collapsed="false">
      <c r="A274" s="18"/>
      <c r="B274" s="19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4" t="str">
        <f aca="false">IF(OR(I274="",J274=""),"",SUMPRODUCT((CODE(I274)&lt;=CODE('1 Scholarships'!$G$2:$G$60))*('1 Scholarships'!$A$2:$A$60&lt;&gt;"")*(('1 Scholarships'!$H$2:$H$60="")+ISNUMBER(SEARCH(","&amp;J274&amp;",",","&amp;SUBSTITUTE('1 Scholarships'!$H$2:$H$60," ","")&amp;","))&gt;0)*(('1 Scholarships'!$J$2:$J$60&lt;&gt;"Yes")+(L274="Yes")&gt;0)*((K274="")+ISNUMBER(SEARCH(","&amp;K274&amp;",",","&amp;SUBSTITUTE('1 Scholarships'!$P$2:$P$60," ","")&amp;","))&gt;0)))</f>
        <v/>
      </c>
      <c r="N274" s="20" t="str">
        <f aca="false">IF(OR(I274="",J274=""),"",SUMPRODUCT(MAX((CODE(I274)&lt;=CODE('1 Scholarships'!$G$2:$G$60))*('1 Scholarships'!$A$2:$A$60&lt;&gt;"")*(('1 Scholarships'!$H$2:$H$60="")+ISNUMBER(SEARCH(","&amp;J274&amp;",",","&amp;SUBSTITUTE('1 Scholarships'!$H$2:$H$60," ","")&amp;","))&gt;0)*(('1 Scholarships'!$J$2:$J$60&lt;&gt;"Yes")+(L274="Yes")&gt;0)*((K274="")+ISNUMBER(SEARCH(","&amp;K274&amp;",",","&amp;SUBSTITUTE('1 Scholarships'!$P$2:$P$60," ","")&amp;","))&gt;0)*'1 Scholarships'!$F$2:$F$60)))</f>
        <v/>
      </c>
      <c r="O274" s="18"/>
      <c r="P274" s="18"/>
      <c r="Q274" s="18"/>
      <c r="R274" s="19"/>
      <c r="S274" s="19"/>
      <c r="T274" s="18"/>
      <c r="U274" s="18"/>
      <c r="V274" s="18"/>
    </row>
    <row r="275" customFormat="false" ht="15" hidden="false" customHeight="false" outlineLevel="0" collapsed="false">
      <c r="A275" s="18"/>
      <c r="B275" s="19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4" t="str">
        <f aca="false">IF(OR(I275="",J275=""),"",SUMPRODUCT((CODE(I275)&lt;=CODE('1 Scholarships'!$G$2:$G$60))*('1 Scholarships'!$A$2:$A$60&lt;&gt;"")*(('1 Scholarships'!$H$2:$H$60="")+ISNUMBER(SEARCH(","&amp;J275&amp;",",","&amp;SUBSTITUTE('1 Scholarships'!$H$2:$H$60," ","")&amp;","))&gt;0)*(('1 Scholarships'!$J$2:$J$60&lt;&gt;"Yes")+(L275="Yes")&gt;0)*((K275="")+ISNUMBER(SEARCH(","&amp;K275&amp;",",","&amp;SUBSTITUTE('1 Scholarships'!$P$2:$P$60," ","")&amp;","))&gt;0)))</f>
        <v/>
      </c>
      <c r="N275" s="20" t="str">
        <f aca="false">IF(OR(I275="",J275=""),"",SUMPRODUCT(MAX((CODE(I275)&lt;=CODE('1 Scholarships'!$G$2:$G$60))*('1 Scholarships'!$A$2:$A$60&lt;&gt;"")*(('1 Scholarships'!$H$2:$H$60="")+ISNUMBER(SEARCH(","&amp;J275&amp;",",","&amp;SUBSTITUTE('1 Scholarships'!$H$2:$H$60," ","")&amp;","))&gt;0)*(('1 Scholarships'!$J$2:$J$60&lt;&gt;"Yes")+(L275="Yes")&gt;0)*((K275="")+ISNUMBER(SEARCH(","&amp;K275&amp;",",","&amp;SUBSTITUTE('1 Scholarships'!$P$2:$P$60," ","")&amp;","))&gt;0)*'1 Scholarships'!$F$2:$F$60)))</f>
        <v/>
      </c>
      <c r="O275" s="18"/>
      <c r="P275" s="18"/>
      <c r="Q275" s="18"/>
      <c r="R275" s="19"/>
      <c r="S275" s="19"/>
      <c r="T275" s="18"/>
      <c r="U275" s="18"/>
      <c r="V275" s="18"/>
    </row>
    <row r="276" customFormat="false" ht="15" hidden="false" customHeight="false" outlineLevel="0" collapsed="false">
      <c r="A276" s="18"/>
      <c r="B276" s="19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4" t="str">
        <f aca="false">IF(OR(I276="",J276=""),"",SUMPRODUCT((CODE(I276)&lt;=CODE('1 Scholarships'!$G$2:$G$60))*('1 Scholarships'!$A$2:$A$60&lt;&gt;"")*(('1 Scholarships'!$H$2:$H$60="")+ISNUMBER(SEARCH(","&amp;J276&amp;",",","&amp;SUBSTITUTE('1 Scholarships'!$H$2:$H$60," ","")&amp;","))&gt;0)*(('1 Scholarships'!$J$2:$J$60&lt;&gt;"Yes")+(L276="Yes")&gt;0)*((K276="")+ISNUMBER(SEARCH(","&amp;K276&amp;",",","&amp;SUBSTITUTE('1 Scholarships'!$P$2:$P$60," ","")&amp;","))&gt;0)))</f>
        <v/>
      </c>
      <c r="N276" s="20" t="str">
        <f aca="false">IF(OR(I276="",J276=""),"",SUMPRODUCT(MAX((CODE(I276)&lt;=CODE('1 Scholarships'!$G$2:$G$60))*('1 Scholarships'!$A$2:$A$60&lt;&gt;"")*(('1 Scholarships'!$H$2:$H$60="")+ISNUMBER(SEARCH(","&amp;J276&amp;",",","&amp;SUBSTITUTE('1 Scholarships'!$H$2:$H$60," ","")&amp;","))&gt;0)*(('1 Scholarships'!$J$2:$J$60&lt;&gt;"Yes")+(L276="Yes")&gt;0)*((K276="")+ISNUMBER(SEARCH(","&amp;K276&amp;",",","&amp;SUBSTITUTE('1 Scholarships'!$P$2:$P$60," ","")&amp;","))&gt;0)*'1 Scholarships'!$F$2:$F$60)))</f>
        <v/>
      </c>
      <c r="O276" s="18"/>
      <c r="P276" s="18"/>
      <c r="Q276" s="18"/>
      <c r="R276" s="19"/>
      <c r="S276" s="19"/>
      <c r="T276" s="18"/>
      <c r="U276" s="18"/>
      <c r="V276" s="18"/>
    </row>
    <row r="277" customFormat="false" ht="15" hidden="false" customHeight="false" outlineLevel="0" collapsed="false">
      <c r="A277" s="18"/>
      <c r="B277" s="19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4" t="str">
        <f aca="false">IF(OR(I277="",J277=""),"",SUMPRODUCT((CODE(I277)&lt;=CODE('1 Scholarships'!$G$2:$G$60))*('1 Scholarships'!$A$2:$A$60&lt;&gt;"")*(('1 Scholarships'!$H$2:$H$60="")+ISNUMBER(SEARCH(","&amp;J277&amp;",",","&amp;SUBSTITUTE('1 Scholarships'!$H$2:$H$60," ","")&amp;","))&gt;0)*(('1 Scholarships'!$J$2:$J$60&lt;&gt;"Yes")+(L277="Yes")&gt;0)*((K277="")+ISNUMBER(SEARCH(","&amp;K277&amp;",",","&amp;SUBSTITUTE('1 Scholarships'!$P$2:$P$60," ","")&amp;","))&gt;0)))</f>
        <v/>
      </c>
      <c r="N277" s="20" t="str">
        <f aca="false">IF(OR(I277="",J277=""),"",SUMPRODUCT(MAX((CODE(I277)&lt;=CODE('1 Scholarships'!$G$2:$G$60))*('1 Scholarships'!$A$2:$A$60&lt;&gt;"")*(('1 Scholarships'!$H$2:$H$60="")+ISNUMBER(SEARCH(","&amp;J277&amp;",",","&amp;SUBSTITUTE('1 Scholarships'!$H$2:$H$60," ","")&amp;","))&gt;0)*(('1 Scholarships'!$J$2:$J$60&lt;&gt;"Yes")+(L277="Yes")&gt;0)*((K277="")+ISNUMBER(SEARCH(","&amp;K277&amp;",",","&amp;SUBSTITUTE('1 Scholarships'!$P$2:$P$60," ","")&amp;","))&gt;0)*'1 Scholarships'!$F$2:$F$60)))</f>
        <v/>
      </c>
      <c r="O277" s="18"/>
      <c r="P277" s="18"/>
      <c r="Q277" s="18"/>
      <c r="R277" s="19"/>
      <c r="S277" s="19"/>
      <c r="T277" s="18"/>
      <c r="U277" s="18"/>
      <c r="V277" s="18"/>
    </row>
    <row r="278" customFormat="false" ht="15" hidden="false" customHeight="false" outlineLevel="0" collapsed="false">
      <c r="A278" s="18"/>
      <c r="B278" s="19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4" t="str">
        <f aca="false">IF(OR(I278="",J278=""),"",SUMPRODUCT((CODE(I278)&lt;=CODE('1 Scholarships'!$G$2:$G$60))*('1 Scholarships'!$A$2:$A$60&lt;&gt;"")*(('1 Scholarships'!$H$2:$H$60="")+ISNUMBER(SEARCH(","&amp;J278&amp;",",","&amp;SUBSTITUTE('1 Scholarships'!$H$2:$H$60," ","")&amp;","))&gt;0)*(('1 Scholarships'!$J$2:$J$60&lt;&gt;"Yes")+(L278="Yes")&gt;0)*((K278="")+ISNUMBER(SEARCH(","&amp;K278&amp;",",","&amp;SUBSTITUTE('1 Scholarships'!$P$2:$P$60," ","")&amp;","))&gt;0)))</f>
        <v/>
      </c>
      <c r="N278" s="20" t="str">
        <f aca="false">IF(OR(I278="",J278=""),"",SUMPRODUCT(MAX((CODE(I278)&lt;=CODE('1 Scholarships'!$G$2:$G$60))*('1 Scholarships'!$A$2:$A$60&lt;&gt;"")*(('1 Scholarships'!$H$2:$H$60="")+ISNUMBER(SEARCH(","&amp;J278&amp;",",","&amp;SUBSTITUTE('1 Scholarships'!$H$2:$H$60," ","")&amp;","))&gt;0)*(('1 Scholarships'!$J$2:$J$60&lt;&gt;"Yes")+(L278="Yes")&gt;0)*((K278="")+ISNUMBER(SEARCH(","&amp;K278&amp;",",","&amp;SUBSTITUTE('1 Scholarships'!$P$2:$P$60," ","")&amp;","))&gt;0)*'1 Scholarships'!$F$2:$F$60)))</f>
        <v/>
      </c>
      <c r="O278" s="18"/>
      <c r="P278" s="18"/>
      <c r="Q278" s="18"/>
      <c r="R278" s="19"/>
      <c r="S278" s="19"/>
      <c r="T278" s="18"/>
      <c r="U278" s="18"/>
      <c r="V278" s="18"/>
    </row>
    <row r="279" customFormat="false" ht="15" hidden="false" customHeight="false" outlineLevel="0" collapsed="false">
      <c r="A279" s="18"/>
      <c r="B279" s="19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4" t="str">
        <f aca="false">IF(OR(I279="",J279=""),"",SUMPRODUCT((CODE(I279)&lt;=CODE('1 Scholarships'!$G$2:$G$60))*('1 Scholarships'!$A$2:$A$60&lt;&gt;"")*(('1 Scholarships'!$H$2:$H$60="")+ISNUMBER(SEARCH(","&amp;J279&amp;",",","&amp;SUBSTITUTE('1 Scholarships'!$H$2:$H$60," ","")&amp;","))&gt;0)*(('1 Scholarships'!$J$2:$J$60&lt;&gt;"Yes")+(L279="Yes")&gt;0)*((K279="")+ISNUMBER(SEARCH(","&amp;K279&amp;",",","&amp;SUBSTITUTE('1 Scholarships'!$P$2:$P$60," ","")&amp;","))&gt;0)))</f>
        <v/>
      </c>
      <c r="N279" s="20" t="str">
        <f aca="false">IF(OR(I279="",J279=""),"",SUMPRODUCT(MAX((CODE(I279)&lt;=CODE('1 Scholarships'!$G$2:$G$60))*('1 Scholarships'!$A$2:$A$60&lt;&gt;"")*(('1 Scholarships'!$H$2:$H$60="")+ISNUMBER(SEARCH(","&amp;J279&amp;",",","&amp;SUBSTITUTE('1 Scholarships'!$H$2:$H$60," ","")&amp;","))&gt;0)*(('1 Scholarships'!$J$2:$J$60&lt;&gt;"Yes")+(L279="Yes")&gt;0)*((K279="")+ISNUMBER(SEARCH(","&amp;K279&amp;",",","&amp;SUBSTITUTE('1 Scholarships'!$P$2:$P$60," ","")&amp;","))&gt;0)*'1 Scholarships'!$F$2:$F$60)))</f>
        <v/>
      </c>
      <c r="O279" s="18"/>
      <c r="P279" s="18"/>
      <c r="Q279" s="18"/>
      <c r="R279" s="19"/>
      <c r="S279" s="19"/>
      <c r="T279" s="18"/>
      <c r="U279" s="18"/>
      <c r="V279" s="18"/>
    </row>
    <row r="280" customFormat="false" ht="15" hidden="false" customHeight="false" outlineLevel="0" collapsed="false">
      <c r="A280" s="18"/>
      <c r="B280" s="19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4" t="str">
        <f aca="false">IF(OR(I280="",J280=""),"",SUMPRODUCT((CODE(I280)&lt;=CODE('1 Scholarships'!$G$2:$G$60))*('1 Scholarships'!$A$2:$A$60&lt;&gt;"")*(('1 Scholarships'!$H$2:$H$60="")+ISNUMBER(SEARCH(","&amp;J280&amp;",",","&amp;SUBSTITUTE('1 Scholarships'!$H$2:$H$60," ","")&amp;","))&gt;0)*(('1 Scholarships'!$J$2:$J$60&lt;&gt;"Yes")+(L280="Yes")&gt;0)*((K280="")+ISNUMBER(SEARCH(","&amp;K280&amp;",",","&amp;SUBSTITUTE('1 Scholarships'!$P$2:$P$60," ","")&amp;","))&gt;0)))</f>
        <v/>
      </c>
      <c r="N280" s="20" t="str">
        <f aca="false">IF(OR(I280="",J280=""),"",SUMPRODUCT(MAX((CODE(I280)&lt;=CODE('1 Scholarships'!$G$2:$G$60))*('1 Scholarships'!$A$2:$A$60&lt;&gt;"")*(('1 Scholarships'!$H$2:$H$60="")+ISNUMBER(SEARCH(","&amp;J280&amp;",",","&amp;SUBSTITUTE('1 Scholarships'!$H$2:$H$60," ","")&amp;","))&gt;0)*(('1 Scholarships'!$J$2:$J$60&lt;&gt;"Yes")+(L280="Yes")&gt;0)*((K280="")+ISNUMBER(SEARCH(","&amp;K280&amp;",",","&amp;SUBSTITUTE('1 Scholarships'!$P$2:$P$60," ","")&amp;","))&gt;0)*'1 Scholarships'!$F$2:$F$60)))</f>
        <v/>
      </c>
      <c r="O280" s="18"/>
      <c r="P280" s="18"/>
      <c r="Q280" s="18"/>
      <c r="R280" s="19"/>
      <c r="S280" s="19"/>
      <c r="T280" s="18"/>
      <c r="U280" s="18"/>
      <c r="V280" s="18"/>
    </row>
    <row r="281" customFormat="false" ht="15" hidden="false" customHeight="false" outlineLevel="0" collapsed="false">
      <c r="A281" s="18"/>
      <c r="B281" s="19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4" t="str">
        <f aca="false">IF(OR(I281="",J281=""),"",SUMPRODUCT((CODE(I281)&lt;=CODE('1 Scholarships'!$G$2:$G$60))*('1 Scholarships'!$A$2:$A$60&lt;&gt;"")*(('1 Scholarships'!$H$2:$H$60="")+ISNUMBER(SEARCH(","&amp;J281&amp;",",","&amp;SUBSTITUTE('1 Scholarships'!$H$2:$H$60," ","")&amp;","))&gt;0)*(('1 Scholarships'!$J$2:$J$60&lt;&gt;"Yes")+(L281="Yes")&gt;0)*((K281="")+ISNUMBER(SEARCH(","&amp;K281&amp;",",","&amp;SUBSTITUTE('1 Scholarships'!$P$2:$P$60," ","")&amp;","))&gt;0)))</f>
        <v/>
      </c>
      <c r="N281" s="20" t="str">
        <f aca="false">IF(OR(I281="",J281=""),"",SUMPRODUCT(MAX((CODE(I281)&lt;=CODE('1 Scholarships'!$G$2:$G$60))*('1 Scholarships'!$A$2:$A$60&lt;&gt;"")*(('1 Scholarships'!$H$2:$H$60="")+ISNUMBER(SEARCH(","&amp;J281&amp;",",","&amp;SUBSTITUTE('1 Scholarships'!$H$2:$H$60," ","")&amp;","))&gt;0)*(('1 Scholarships'!$J$2:$J$60&lt;&gt;"Yes")+(L281="Yes")&gt;0)*((K281="")+ISNUMBER(SEARCH(","&amp;K281&amp;",",","&amp;SUBSTITUTE('1 Scholarships'!$P$2:$P$60," ","")&amp;","))&gt;0)*'1 Scholarships'!$F$2:$F$60)))</f>
        <v/>
      </c>
      <c r="O281" s="18"/>
      <c r="P281" s="18"/>
      <c r="Q281" s="18"/>
      <c r="R281" s="19"/>
      <c r="S281" s="19"/>
      <c r="T281" s="18"/>
      <c r="U281" s="18"/>
      <c r="V281" s="18"/>
    </row>
    <row r="282" customFormat="false" ht="15" hidden="false" customHeight="false" outlineLevel="0" collapsed="false">
      <c r="A282" s="18"/>
      <c r="B282" s="19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4" t="str">
        <f aca="false">IF(OR(I282="",J282=""),"",SUMPRODUCT((CODE(I282)&lt;=CODE('1 Scholarships'!$G$2:$G$60))*('1 Scholarships'!$A$2:$A$60&lt;&gt;"")*(('1 Scholarships'!$H$2:$H$60="")+ISNUMBER(SEARCH(","&amp;J282&amp;",",","&amp;SUBSTITUTE('1 Scholarships'!$H$2:$H$60," ","")&amp;","))&gt;0)*(('1 Scholarships'!$J$2:$J$60&lt;&gt;"Yes")+(L282="Yes")&gt;0)*((K282="")+ISNUMBER(SEARCH(","&amp;K282&amp;",",","&amp;SUBSTITUTE('1 Scholarships'!$P$2:$P$60," ","")&amp;","))&gt;0)))</f>
        <v/>
      </c>
      <c r="N282" s="20" t="str">
        <f aca="false">IF(OR(I282="",J282=""),"",SUMPRODUCT(MAX((CODE(I282)&lt;=CODE('1 Scholarships'!$G$2:$G$60))*('1 Scholarships'!$A$2:$A$60&lt;&gt;"")*(('1 Scholarships'!$H$2:$H$60="")+ISNUMBER(SEARCH(","&amp;J282&amp;",",","&amp;SUBSTITUTE('1 Scholarships'!$H$2:$H$60," ","")&amp;","))&gt;0)*(('1 Scholarships'!$J$2:$J$60&lt;&gt;"Yes")+(L282="Yes")&gt;0)*((K282="")+ISNUMBER(SEARCH(","&amp;K282&amp;",",","&amp;SUBSTITUTE('1 Scholarships'!$P$2:$P$60," ","")&amp;","))&gt;0)*'1 Scholarships'!$F$2:$F$60)))</f>
        <v/>
      </c>
      <c r="O282" s="18"/>
      <c r="P282" s="18"/>
      <c r="Q282" s="18"/>
      <c r="R282" s="19"/>
      <c r="S282" s="19"/>
      <c r="T282" s="18"/>
      <c r="U282" s="18"/>
      <c r="V282" s="18"/>
    </row>
    <row r="283" customFormat="false" ht="15" hidden="false" customHeight="false" outlineLevel="0" collapsed="false">
      <c r="A283" s="18"/>
      <c r="B283" s="19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4" t="str">
        <f aca="false">IF(OR(I283="",J283=""),"",SUMPRODUCT((CODE(I283)&lt;=CODE('1 Scholarships'!$G$2:$G$60))*('1 Scholarships'!$A$2:$A$60&lt;&gt;"")*(('1 Scholarships'!$H$2:$H$60="")+ISNUMBER(SEARCH(","&amp;J283&amp;",",","&amp;SUBSTITUTE('1 Scholarships'!$H$2:$H$60," ","")&amp;","))&gt;0)*(('1 Scholarships'!$J$2:$J$60&lt;&gt;"Yes")+(L283="Yes")&gt;0)*((K283="")+ISNUMBER(SEARCH(","&amp;K283&amp;",",","&amp;SUBSTITUTE('1 Scholarships'!$P$2:$P$60," ","")&amp;","))&gt;0)))</f>
        <v/>
      </c>
      <c r="N283" s="20" t="str">
        <f aca="false">IF(OR(I283="",J283=""),"",SUMPRODUCT(MAX((CODE(I283)&lt;=CODE('1 Scholarships'!$G$2:$G$60))*('1 Scholarships'!$A$2:$A$60&lt;&gt;"")*(('1 Scholarships'!$H$2:$H$60="")+ISNUMBER(SEARCH(","&amp;J283&amp;",",","&amp;SUBSTITUTE('1 Scholarships'!$H$2:$H$60," ","")&amp;","))&gt;0)*(('1 Scholarships'!$J$2:$J$60&lt;&gt;"Yes")+(L283="Yes")&gt;0)*((K283="")+ISNUMBER(SEARCH(","&amp;K283&amp;",",","&amp;SUBSTITUTE('1 Scholarships'!$P$2:$P$60," ","")&amp;","))&gt;0)*'1 Scholarships'!$F$2:$F$60)))</f>
        <v/>
      </c>
      <c r="O283" s="18"/>
      <c r="P283" s="18"/>
      <c r="Q283" s="18"/>
      <c r="R283" s="19"/>
      <c r="S283" s="19"/>
      <c r="T283" s="18"/>
      <c r="U283" s="18"/>
      <c r="V283" s="18"/>
    </row>
    <row r="284" customFormat="false" ht="15" hidden="false" customHeight="false" outlineLevel="0" collapsed="false">
      <c r="A284" s="18"/>
      <c r="B284" s="19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4" t="str">
        <f aca="false">IF(OR(I284="",J284=""),"",SUMPRODUCT((CODE(I284)&lt;=CODE('1 Scholarships'!$G$2:$G$60))*('1 Scholarships'!$A$2:$A$60&lt;&gt;"")*(('1 Scholarships'!$H$2:$H$60="")+ISNUMBER(SEARCH(","&amp;J284&amp;",",","&amp;SUBSTITUTE('1 Scholarships'!$H$2:$H$60," ","")&amp;","))&gt;0)*(('1 Scholarships'!$J$2:$J$60&lt;&gt;"Yes")+(L284="Yes")&gt;0)*((K284="")+ISNUMBER(SEARCH(","&amp;K284&amp;",",","&amp;SUBSTITUTE('1 Scholarships'!$P$2:$P$60," ","")&amp;","))&gt;0)))</f>
        <v/>
      </c>
      <c r="N284" s="20" t="str">
        <f aca="false">IF(OR(I284="",J284=""),"",SUMPRODUCT(MAX((CODE(I284)&lt;=CODE('1 Scholarships'!$G$2:$G$60))*('1 Scholarships'!$A$2:$A$60&lt;&gt;"")*(('1 Scholarships'!$H$2:$H$60="")+ISNUMBER(SEARCH(","&amp;J284&amp;",",","&amp;SUBSTITUTE('1 Scholarships'!$H$2:$H$60," ","")&amp;","))&gt;0)*(('1 Scholarships'!$J$2:$J$60&lt;&gt;"Yes")+(L284="Yes")&gt;0)*((K284="")+ISNUMBER(SEARCH(","&amp;K284&amp;",",","&amp;SUBSTITUTE('1 Scholarships'!$P$2:$P$60," ","")&amp;","))&gt;0)*'1 Scholarships'!$F$2:$F$60)))</f>
        <v/>
      </c>
      <c r="O284" s="18"/>
      <c r="P284" s="18"/>
      <c r="Q284" s="18"/>
      <c r="R284" s="19"/>
      <c r="S284" s="19"/>
      <c r="T284" s="18"/>
      <c r="U284" s="18"/>
      <c r="V284" s="18"/>
    </row>
    <row r="285" customFormat="false" ht="15" hidden="false" customHeight="false" outlineLevel="0" collapsed="false">
      <c r="A285" s="18"/>
      <c r="B285" s="19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4" t="str">
        <f aca="false">IF(OR(I285="",J285=""),"",SUMPRODUCT((CODE(I285)&lt;=CODE('1 Scholarships'!$G$2:$G$60))*('1 Scholarships'!$A$2:$A$60&lt;&gt;"")*(('1 Scholarships'!$H$2:$H$60="")+ISNUMBER(SEARCH(","&amp;J285&amp;",",","&amp;SUBSTITUTE('1 Scholarships'!$H$2:$H$60," ","")&amp;","))&gt;0)*(('1 Scholarships'!$J$2:$J$60&lt;&gt;"Yes")+(L285="Yes")&gt;0)*((K285="")+ISNUMBER(SEARCH(","&amp;K285&amp;",",","&amp;SUBSTITUTE('1 Scholarships'!$P$2:$P$60," ","")&amp;","))&gt;0)))</f>
        <v/>
      </c>
      <c r="N285" s="20" t="str">
        <f aca="false">IF(OR(I285="",J285=""),"",SUMPRODUCT(MAX((CODE(I285)&lt;=CODE('1 Scholarships'!$G$2:$G$60))*('1 Scholarships'!$A$2:$A$60&lt;&gt;"")*(('1 Scholarships'!$H$2:$H$60="")+ISNUMBER(SEARCH(","&amp;J285&amp;",",","&amp;SUBSTITUTE('1 Scholarships'!$H$2:$H$60," ","")&amp;","))&gt;0)*(('1 Scholarships'!$J$2:$J$60&lt;&gt;"Yes")+(L285="Yes")&gt;0)*((K285="")+ISNUMBER(SEARCH(","&amp;K285&amp;",",","&amp;SUBSTITUTE('1 Scholarships'!$P$2:$P$60," ","")&amp;","))&gt;0)*'1 Scholarships'!$F$2:$F$60)))</f>
        <v/>
      </c>
      <c r="O285" s="18"/>
      <c r="P285" s="18"/>
      <c r="Q285" s="18"/>
      <c r="R285" s="19"/>
      <c r="S285" s="19"/>
      <c r="T285" s="18"/>
      <c r="U285" s="18"/>
      <c r="V285" s="18"/>
    </row>
    <row r="286" customFormat="false" ht="15" hidden="false" customHeight="false" outlineLevel="0" collapsed="false">
      <c r="A286" s="18"/>
      <c r="B286" s="19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4" t="str">
        <f aca="false">IF(OR(I286="",J286=""),"",SUMPRODUCT((CODE(I286)&lt;=CODE('1 Scholarships'!$G$2:$G$60))*('1 Scholarships'!$A$2:$A$60&lt;&gt;"")*(('1 Scholarships'!$H$2:$H$60="")+ISNUMBER(SEARCH(","&amp;J286&amp;",",","&amp;SUBSTITUTE('1 Scholarships'!$H$2:$H$60," ","")&amp;","))&gt;0)*(('1 Scholarships'!$J$2:$J$60&lt;&gt;"Yes")+(L286="Yes")&gt;0)*((K286="")+ISNUMBER(SEARCH(","&amp;K286&amp;",",","&amp;SUBSTITUTE('1 Scholarships'!$P$2:$P$60," ","")&amp;","))&gt;0)))</f>
        <v/>
      </c>
      <c r="N286" s="20" t="str">
        <f aca="false">IF(OR(I286="",J286=""),"",SUMPRODUCT(MAX((CODE(I286)&lt;=CODE('1 Scholarships'!$G$2:$G$60))*('1 Scholarships'!$A$2:$A$60&lt;&gt;"")*(('1 Scholarships'!$H$2:$H$60="")+ISNUMBER(SEARCH(","&amp;J286&amp;",",","&amp;SUBSTITUTE('1 Scholarships'!$H$2:$H$60," ","")&amp;","))&gt;0)*(('1 Scholarships'!$J$2:$J$60&lt;&gt;"Yes")+(L286="Yes")&gt;0)*((K286="")+ISNUMBER(SEARCH(","&amp;K286&amp;",",","&amp;SUBSTITUTE('1 Scholarships'!$P$2:$P$60," ","")&amp;","))&gt;0)*'1 Scholarships'!$F$2:$F$60)))</f>
        <v/>
      </c>
      <c r="O286" s="18"/>
      <c r="P286" s="18"/>
      <c r="Q286" s="18"/>
      <c r="R286" s="19"/>
      <c r="S286" s="19"/>
      <c r="T286" s="18"/>
      <c r="U286" s="18"/>
      <c r="V286" s="18"/>
    </row>
    <row r="287" customFormat="false" ht="15" hidden="false" customHeight="false" outlineLevel="0" collapsed="false">
      <c r="A287" s="18"/>
      <c r="B287" s="19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4" t="str">
        <f aca="false">IF(OR(I287="",J287=""),"",SUMPRODUCT((CODE(I287)&lt;=CODE('1 Scholarships'!$G$2:$G$60))*('1 Scholarships'!$A$2:$A$60&lt;&gt;"")*(('1 Scholarships'!$H$2:$H$60="")+ISNUMBER(SEARCH(","&amp;J287&amp;",",","&amp;SUBSTITUTE('1 Scholarships'!$H$2:$H$60," ","")&amp;","))&gt;0)*(('1 Scholarships'!$J$2:$J$60&lt;&gt;"Yes")+(L287="Yes")&gt;0)*((K287="")+ISNUMBER(SEARCH(","&amp;K287&amp;",",","&amp;SUBSTITUTE('1 Scholarships'!$P$2:$P$60," ","")&amp;","))&gt;0)))</f>
        <v/>
      </c>
      <c r="N287" s="20" t="str">
        <f aca="false">IF(OR(I287="",J287=""),"",SUMPRODUCT(MAX((CODE(I287)&lt;=CODE('1 Scholarships'!$G$2:$G$60))*('1 Scholarships'!$A$2:$A$60&lt;&gt;"")*(('1 Scholarships'!$H$2:$H$60="")+ISNUMBER(SEARCH(","&amp;J287&amp;",",","&amp;SUBSTITUTE('1 Scholarships'!$H$2:$H$60," ","")&amp;","))&gt;0)*(('1 Scholarships'!$J$2:$J$60&lt;&gt;"Yes")+(L287="Yes")&gt;0)*((K287="")+ISNUMBER(SEARCH(","&amp;K287&amp;",",","&amp;SUBSTITUTE('1 Scholarships'!$P$2:$P$60," ","")&amp;","))&gt;0)*'1 Scholarships'!$F$2:$F$60)))</f>
        <v/>
      </c>
      <c r="O287" s="18"/>
      <c r="P287" s="18"/>
      <c r="Q287" s="18"/>
      <c r="R287" s="19"/>
      <c r="S287" s="19"/>
      <c r="T287" s="18"/>
      <c r="U287" s="18"/>
      <c r="V287" s="18"/>
    </row>
    <row r="288" customFormat="false" ht="15" hidden="false" customHeight="false" outlineLevel="0" collapsed="false">
      <c r="A288" s="18"/>
      <c r="B288" s="19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4" t="str">
        <f aca="false">IF(OR(I288="",J288=""),"",SUMPRODUCT((CODE(I288)&lt;=CODE('1 Scholarships'!$G$2:$G$60))*('1 Scholarships'!$A$2:$A$60&lt;&gt;"")*(('1 Scholarships'!$H$2:$H$60="")+ISNUMBER(SEARCH(","&amp;J288&amp;",",","&amp;SUBSTITUTE('1 Scholarships'!$H$2:$H$60," ","")&amp;","))&gt;0)*(('1 Scholarships'!$J$2:$J$60&lt;&gt;"Yes")+(L288="Yes")&gt;0)*((K288="")+ISNUMBER(SEARCH(","&amp;K288&amp;",",","&amp;SUBSTITUTE('1 Scholarships'!$P$2:$P$60," ","")&amp;","))&gt;0)))</f>
        <v/>
      </c>
      <c r="N288" s="20" t="str">
        <f aca="false">IF(OR(I288="",J288=""),"",SUMPRODUCT(MAX((CODE(I288)&lt;=CODE('1 Scholarships'!$G$2:$G$60))*('1 Scholarships'!$A$2:$A$60&lt;&gt;"")*(('1 Scholarships'!$H$2:$H$60="")+ISNUMBER(SEARCH(","&amp;J288&amp;",",","&amp;SUBSTITUTE('1 Scholarships'!$H$2:$H$60," ","")&amp;","))&gt;0)*(('1 Scholarships'!$J$2:$J$60&lt;&gt;"Yes")+(L288="Yes")&gt;0)*((K288="")+ISNUMBER(SEARCH(","&amp;K288&amp;",",","&amp;SUBSTITUTE('1 Scholarships'!$P$2:$P$60," ","")&amp;","))&gt;0)*'1 Scholarships'!$F$2:$F$60)))</f>
        <v/>
      </c>
      <c r="O288" s="18"/>
      <c r="P288" s="18"/>
      <c r="Q288" s="18"/>
      <c r="R288" s="19"/>
      <c r="S288" s="19"/>
      <c r="T288" s="18"/>
      <c r="U288" s="18"/>
      <c r="V288" s="18"/>
    </row>
    <row r="289" customFormat="false" ht="15" hidden="false" customHeight="false" outlineLevel="0" collapsed="false">
      <c r="A289" s="18"/>
      <c r="B289" s="19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4" t="str">
        <f aca="false">IF(OR(I289="",J289=""),"",SUMPRODUCT((CODE(I289)&lt;=CODE('1 Scholarships'!$G$2:$G$60))*('1 Scholarships'!$A$2:$A$60&lt;&gt;"")*(('1 Scholarships'!$H$2:$H$60="")+ISNUMBER(SEARCH(","&amp;J289&amp;",",","&amp;SUBSTITUTE('1 Scholarships'!$H$2:$H$60," ","")&amp;","))&gt;0)*(('1 Scholarships'!$J$2:$J$60&lt;&gt;"Yes")+(L289="Yes")&gt;0)*((K289="")+ISNUMBER(SEARCH(","&amp;K289&amp;",",","&amp;SUBSTITUTE('1 Scholarships'!$P$2:$P$60," ","")&amp;","))&gt;0)))</f>
        <v/>
      </c>
      <c r="N289" s="20" t="str">
        <f aca="false">IF(OR(I289="",J289=""),"",SUMPRODUCT(MAX((CODE(I289)&lt;=CODE('1 Scholarships'!$G$2:$G$60))*('1 Scholarships'!$A$2:$A$60&lt;&gt;"")*(('1 Scholarships'!$H$2:$H$60="")+ISNUMBER(SEARCH(","&amp;J289&amp;",",","&amp;SUBSTITUTE('1 Scholarships'!$H$2:$H$60," ","")&amp;","))&gt;0)*(('1 Scholarships'!$J$2:$J$60&lt;&gt;"Yes")+(L289="Yes")&gt;0)*((K289="")+ISNUMBER(SEARCH(","&amp;K289&amp;",",","&amp;SUBSTITUTE('1 Scholarships'!$P$2:$P$60," ","")&amp;","))&gt;0)*'1 Scholarships'!$F$2:$F$60)))</f>
        <v/>
      </c>
      <c r="O289" s="18"/>
      <c r="P289" s="18"/>
      <c r="Q289" s="18"/>
      <c r="R289" s="19"/>
      <c r="S289" s="19"/>
      <c r="T289" s="18"/>
      <c r="U289" s="18"/>
      <c r="V289" s="18"/>
    </row>
    <row r="290" customFormat="false" ht="15" hidden="false" customHeight="false" outlineLevel="0" collapsed="false">
      <c r="A290" s="18"/>
      <c r="B290" s="19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4" t="str">
        <f aca="false">IF(OR(I290="",J290=""),"",SUMPRODUCT((CODE(I290)&lt;=CODE('1 Scholarships'!$G$2:$G$60))*('1 Scholarships'!$A$2:$A$60&lt;&gt;"")*(('1 Scholarships'!$H$2:$H$60="")+ISNUMBER(SEARCH(","&amp;J290&amp;",",","&amp;SUBSTITUTE('1 Scholarships'!$H$2:$H$60," ","")&amp;","))&gt;0)*(('1 Scholarships'!$J$2:$J$60&lt;&gt;"Yes")+(L290="Yes")&gt;0)*((K290="")+ISNUMBER(SEARCH(","&amp;K290&amp;",",","&amp;SUBSTITUTE('1 Scholarships'!$P$2:$P$60," ","")&amp;","))&gt;0)))</f>
        <v/>
      </c>
      <c r="N290" s="20" t="str">
        <f aca="false">IF(OR(I290="",J290=""),"",SUMPRODUCT(MAX((CODE(I290)&lt;=CODE('1 Scholarships'!$G$2:$G$60))*('1 Scholarships'!$A$2:$A$60&lt;&gt;"")*(('1 Scholarships'!$H$2:$H$60="")+ISNUMBER(SEARCH(","&amp;J290&amp;",",","&amp;SUBSTITUTE('1 Scholarships'!$H$2:$H$60," ","")&amp;","))&gt;0)*(('1 Scholarships'!$J$2:$J$60&lt;&gt;"Yes")+(L290="Yes")&gt;0)*((K290="")+ISNUMBER(SEARCH(","&amp;K290&amp;",",","&amp;SUBSTITUTE('1 Scholarships'!$P$2:$P$60," ","")&amp;","))&gt;0)*'1 Scholarships'!$F$2:$F$60)))</f>
        <v/>
      </c>
      <c r="O290" s="18"/>
      <c r="P290" s="18"/>
      <c r="Q290" s="18"/>
      <c r="R290" s="19"/>
      <c r="S290" s="19"/>
      <c r="T290" s="18"/>
      <c r="U290" s="18"/>
      <c r="V290" s="18"/>
    </row>
    <row r="291" customFormat="false" ht="15" hidden="false" customHeight="false" outlineLevel="0" collapsed="false">
      <c r="A291" s="18"/>
      <c r="B291" s="19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4" t="str">
        <f aca="false">IF(OR(I291="",J291=""),"",SUMPRODUCT((CODE(I291)&lt;=CODE('1 Scholarships'!$G$2:$G$60))*('1 Scholarships'!$A$2:$A$60&lt;&gt;"")*(('1 Scholarships'!$H$2:$H$60="")+ISNUMBER(SEARCH(","&amp;J291&amp;",",","&amp;SUBSTITUTE('1 Scholarships'!$H$2:$H$60," ","")&amp;","))&gt;0)*(('1 Scholarships'!$J$2:$J$60&lt;&gt;"Yes")+(L291="Yes")&gt;0)*((K291="")+ISNUMBER(SEARCH(","&amp;K291&amp;",",","&amp;SUBSTITUTE('1 Scholarships'!$P$2:$P$60," ","")&amp;","))&gt;0)))</f>
        <v/>
      </c>
      <c r="N291" s="20" t="str">
        <f aca="false">IF(OR(I291="",J291=""),"",SUMPRODUCT(MAX((CODE(I291)&lt;=CODE('1 Scholarships'!$G$2:$G$60))*('1 Scholarships'!$A$2:$A$60&lt;&gt;"")*(('1 Scholarships'!$H$2:$H$60="")+ISNUMBER(SEARCH(","&amp;J291&amp;",",","&amp;SUBSTITUTE('1 Scholarships'!$H$2:$H$60," ","")&amp;","))&gt;0)*(('1 Scholarships'!$J$2:$J$60&lt;&gt;"Yes")+(L291="Yes")&gt;0)*((K291="")+ISNUMBER(SEARCH(","&amp;K291&amp;",",","&amp;SUBSTITUTE('1 Scholarships'!$P$2:$P$60," ","")&amp;","))&gt;0)*'1 Scholarships'!$F$2:$F$60)))</f>
        <v/>
      </c>
      <c r="O291" s="18"/>
      <c r="P291" s="18"/>
      <c r="Q291" s="18"/>
      <c r="R291" s="19"/>
      <c r="S291" s="19"/>
      <c r="T291" s="18"/>
      <c r="U291" s="18"/>
      <c r="V291" s="18"/>
    </row>
    <row r="292" customFormat="false" ht="15" hidden="false" customHeight="false" outlineLevel="0" collapsed="false">
      <c r="A292" s="18"/>
      <c r="B292" s="19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4" t="str">
        <f aca="false">IF(OR(I292="",J292=""),"",SUMPRODUCT((CODE(I292)&lt;=CODE('1 Scholarships'!$G$2:$G$60))*('1 Scholarships'!$A$2:$A$60&lt;&gt;"")*(('1 Scholarships'!$H$2:$H$60="")+ISNUMBER(SEARCH(","&amp;J292&amp;",",","&amp;SUBSTITUTE('1 Scholarships'!$H$2:$H$60," ","")&amp;","))&gt;0)*(('1 Scholarships'!$J$2:$J$60&lt;&gt;"Yes")+(L292="Yes")&gt;0)*((K292="")+ISNUMBER(SEARCH(","&amp;K292&amp;",",","&amp;SUBSTITUTE('1 Scholarships'!$P$2:$P$60," ","")&amp;","))&gt;0)))</f>
        <v/>
      </c>
      <c r="N292" s="20" t="str">
        <f aca="false">IF(OR(I292="",J292=""),"",SUMPRODUCT(MAX((CODE(I292)&lt;=CODE('1 Scholarships'!$G$2:$G$60))*('1 Scholarships'!$A$2:$A$60&lt;&gt;"")*(('1 Scholarships'!$H$2:$H$60="")+ISNUMBER(SEARCH(","&amp;J292&amp;",",","&amp;SUBSTITUTE('1 Scholarships'!$H$2:$H$60," ","")&amp;","))&gt;0)*(('1 Scholarships'!$J$2:$J$60&lt;&gt;"Yes")+(L292="Yes")&gt;0)*((K292="")+ISNUMBER(SEARCH(","&amp;K292&amp;",",","&amp;SUBSTITUTE('1 Scholarships'!$P$2:$P$60," ","")&amp;","))&gt;0)*'1 Scholarships'!$F$2:$F$60)))</f>
        <v/>
      </c>
      <c r="O292" s="18"/>
      <c r="P292" s="18"/>
      <c r="Q292" s="18"/>
      <c r="R292" s="19"/>
      <c r="S292" s="19"/>
      <c r="T292" s="18"/>
      <c r="U292" s="18"/>
      <c r="V292" s="18"/>
    </row>
    <row r="293" customFormat="false" ht="15" hidden="false" customHeight="false" outlineLevel="0" collapsed="false">
      <c r="A293" s="18"/>
      <c r="B293" s="19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4" t="str">
        <f aca="false">IF(OR(I293="",J293=""),"",SUMPRODUCT((CODE(I293)&lt;=CODE('1 Scholarships'!$G$2:$G$60))*('1 Scholarships'!$A$2:$A$60&lt;&gt;"")*(('1 Scholarships'!$H$2:$H$60="")+ISNUMBER(SEARCH(","&amp;J293&amp;",",","&amp;SUBSTITUTE('1 Scholarships'!$H$2:$H$60," ","")&amp;","))&gt;0)*(('1 Scholarships'!$J$2:$J$60&lt;&gt;"Yes")+(L293="Yes")&gt;0)*((K293="")+ISNUMBER(SEARCH(","&amp;K293&amp;",",","&amp;SUBSTITUTE('1 Scholarships'!$P$2:$P$60," ","")&amp;","))&gt;0)))</f>
        <v/>
      </c>
      <c r="N293" s="20" t="str">
        <f aca="false">IF(OR(I293="",J293=""),"",SUMPRODUCT(MAX((CODE(I293)&lt;=CODE('1 Scholarships'!$G$2:$G$60))*('1 Scholarships'!$A$2:$A$60&lt;&gt;"")*(('1 Scholarships'!$H$2:$H$60="")+ISNUMBER(SEARCH(","&amp;J293&amp;",",","&amp;SUBSTITUTE('1 Scholarships'!$H$2:$H$60," ","")&amp;","))&gt;0)*(('1 Scholarships'!$J$2:$J$60&lt;&gt;"Yes")+(L293="Yes")&gt;0)*((K293="")+ISNUMBER(SEARCH(","&amp;K293&amp;",",","&amp;SUBSTITUTE('1 Scholarships'!$P$2:$P$60," ","")&amp;","))&gt;0)*'1 Scholarships'!$F$2:$F$60)))</f>
        <v/>
      </c>
      <c r="O293" s="18"/>
      <c r="P293" s="18"/>
      <c r="Q293" s="18"/>
      <c r="R293" s="19"/>
      <c r="S293" s="19"/>
      <c r="T293" s="18"/>
      <c r="U293" s="18"/>
      <c r="V293" s="18"/>
    </row>
    <row r="294" customFormat="false" ht="15" hidden="false" customHeight="false" outlineLevel="0" collapsed="false">
      <c r="A294" s="18"/>
      <c r="B294" s="19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4" t="str">
        <f aca="false">IF(OR(I294="",J294=""),"",SUMPRODUCT((CODE(I294)&lt;=CODE('1 Scholarships'!$G$2:$G$60))*('1 Scholarships'!$A$2:$A$60&lt;&gt;"")*(('1 Scholarships'!$H$2:$H$60="")+ISNUMBER(SEARCH(","&amp;J294&amp;",",","&amp;SUBSTITUTE('1 Scholarships'!$H$2:$H$60," ","")&amp;","))&gt;0)*(('1 Scholarships'!$J$2:$J$60&lt;&gt;"Yes")+(L294="Yes")&gt;0)*((K294="")+ISNUMBER(SEARCH(","&amp;K294&amp;",",","&amp;SUBSTITUTE('1 Scholarships'!$P$2:$P$60," ","")&amp;","))&gt;0)))</f>
        <v/>
      </c>
      <c r="N294" s="20" t="str">
        <f aca="false">IF(OR(I294="",J294=""),"",SUMPRODUCT(MAX((CODE(I294)&lt;=CODE('1 Scholarships'!$G$2:$G$60))*('1 Scholarships'!$A$2:$A$60&lt;&gt;"")*(('1 Scholarships'!$H$2:$H$60="")+ISNUMBER(SEARCH(","&amp;J294&amp;",",","&amp;SUBSTITUTE('1 Scholarships'!$H$2:$H$60," ","")&amp;","))&gt;0)*(('1 Scholarships'!$J$2:$J$60&lt;&gt;"Yes")+(L294="Yes")&gt;0)*((K294="")+ISNUMBER(SEARCH(","&amp;K294&amp;",",","&amp;SUBSTITUTE('1 Scholarships'!$P$2:$P$60," ","")&amp;","))&gt;0)*'1 Scholarships'!$F$2:$F$60)))</f>
        <v/>
      </c>
      <c r="O294" s="18"/>
      <c r="P294" s="18"/>
      <c r="Q294" s="18"/>
      <c r="R294" s="19"/>
      <c r="S294" s="19"/>
      <c r="T294" s="18"/>
      <c r="U294" s="18"/>
      <c r="V294" s="18"/>
    </row>
    <row r="295" customFormat="false" ht="15" hidden="false" customHeight="false" outlineLevel="0" collapsed="false">
      <c r="A295" s="18"/>
      <c r="B295" s="19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4" t="str">
        <f aca="false">IF(OR(I295="",J295=""),"",SUMPRODUCT((CODE(I295)&lt;=CODE('1 Scholarships'!$G$2:$G$60))*('1 Scholarships'!$A$2:$A$60&lt;&gt;"")*(('1 Scholarships'!$H$2:$H$60="")+ISNUMBER(SEARCH(","&amp;J295&amp;",",","&amp;SUBSTITUTE('1 Scholarships'!$H$2:$H$60," ","")&amp;","))&gt;0)*(('1 Scholarships'!$J$2:$J$60&lt;&gt;"Yes")+(L295="Yes")&gt;0)*((K295="")+ISNUMBER(SEARCH(","&amp;K295&amp;",",","&amp;SUBSTITUTE('1 Scholarships'!$P$2:$P$60," ","")&amp;","))&gt;0)))</f>
        <v/>
      </c>
      <c r="N295" s="20" t="str">
        <f aca="false">IF(OR(I295="",J295=""),"",SUMPRODUCT(MAX((CODE(I295)&lt;=CODE('1 Scholarships'!$G$2:$G$60))*('1 Scholarships'!$A$2:$A$60&lt;&gt;"")*(('1 Scholarships'!$H$2:$H$60="")+ISNUMBER(SEARCH(","&amp;J295&amp;",",","&amp;SUBSTITUTE('1 Scholarships'!$H$2:$H$60," ","")&amp;","))&gt;0)*(('1 Scholarships'!$J$2:$J$60&lt;&gt;"Yes")+(L295="Yes")&gt;0)*((K295="")+ISNUMBER(SEARCH(","&amp;K295&amp;",",","&amp;SUBSTITUTE('1 Scholarships'!$P$2:$P$60," ","")&amp;","))&gt;0)*'1 Scholarships'!$F$2:$F$60)))</f>
        <v/>
      </c>
      <c r="O295" s="18"/>
      <c r="P295" s="18"/>
      <c r="Q295" s="18"/>
      <c r="R295" s="19"/>
      <c r="S295" s="19"/>
      <c r="T295" s="18"/>
      <c r="U295" s="18"/>
      <c r="V295" s="18"/>
    </row>
    <row r="296" customFormat="false" ht="15" hidden="false" customHeight="false" outlineLevel="0" collapsed="false">
      <c r="A296" s="18"/>
      <c r="B296" s="19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4" t="str">
        <f aca="false">IF(OR(I296="",J296=""),"",SUMPRODUCT((CODE(I296)&lt;=CODE('1 Scholarships'!$G$2:$G$60))*('1 Scholarships'!$A$2:$A$60&lt;&gt;"")*(('1 Scholarships'!$H$2:$H$60="")+ISNUMBER(SEARCH(","&amp;J296&amp;",",","&amp;SUBSTITUTE('1 Scholarships'!$H$2:$H$60," ","")&amp;","))&gt;0)*(('1 Scholarships'!$J$2:$J$60&lt;&gt;"Yes")+(L296="Yes")&gt;0)*((K296="")+ISNUMBER(SEARCH(","&amp;K296&amp;",",","&amp;SUBSTITUTE('1 Scholarships'!$P$2:$P$60," ","")&amp;","))&gt;0)))</f>
        <v/>
      </c>
      <c r="N296" s="20" t="str">
        <f aca="false">IF(OR(I296="",J296=""),"",SUMPRODUCT(MAX((CODE(I296)&lt;=CODE('1 Scholarships'!$G$2:$G$60))*('1 Scholarships'!$A$2:$A$60&lt;&gt;"")*(('1 Scholarships'!$H$2:$H$60="")+ISNUMBER(SEARCH(","&amp;J296&amp;",",","&amp;SUBSTITUTE('1 Scholarships'!$H$2:$H$60," ","")&amp;","))&gt;0)*(('1 Scholarships'!$J$2:$J$60&lt;&gt;"Yes")+(L296="Yes")&gt;0)*((K296="")+ISNUMBER(SEARCH(","&amp;K296&amp;",",","&amp;SUBSTITUTE('1 Scholarships'!$P$2:$P$60," ","")&amp;","))&gt;0)*'1 Scholarships'!$F$2:$F$60)))</f>
        <v/>
      </c>
      <c r="O296" s="18"/>
      <c r="P296" s="18"/>
      <c r="Q296" s="18"/>
      <c r="R296" s="19"/>
      <c r="S296" s="19"/>
      <c r="T296" s="18"/>
      <c r="U296" s="18"/>
      <c r="V296" s="18"/>
    </row>
    <row r="297" customFormat="false" ht="15" hidden="false" customHeight="false" outlineLevel="0" collapsed="false">
      <c r="A297" s="18"/>
      <c r="B297" s="19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4" t="str">
        <f aca="false">IF(OR(I297="",J297=""),"",SUMPRODUCT((CODE(I297)&lt;=CODE('1 Scholarships'!$G$2:$G$60))*('1 Scholarships'!$A$2:$A$60&lt;&gt;"")*(('1 Scholarships'!$H$2:$H$60="")+ISNUMBER(SEARCH(","&amp;J297&amp;",",","&amp;SUBSTITUTE('1 Scholarships'!$H$2:$H$60," ","")&amp;","))&gt;0)*(('1 Scholarships'!$J$2:$J$60&lt;&gt;"Yes")+(L297="Yes")&gt;0)*((K297="")+ISNUMBER(SEARCH(","&amp;K297&amp;",",","&amp;SUBSTITUTE('1 Scholarships'!$P$2:$P$60," ","")&amp;","))&gt;0)))</f>
        <v/>
      </c>
      <c r="N297" s="20" t="str">
        <f aca="false">IF(OR(I297="",J297=""),"",SUMPRODUCT(MAX((CODE(I297)&lt;=CODE('1 Scholarships'!$G$2:$G$60))*('1 Scholarships'!$A$2:$A$60&lt;&gt;"")*(('1 Scholarships'!$H$2:$H$60="")+ISNUMBER(SEARCH(","&amp;J297&amp;",",","&amp;SUBSTITUTE('1 Scholarships'!$H$2:$H$60," ","")&amp;","))&gt;0)*(('1 Scholarships'!$J$2:$J$60&lt;&gt;"Yes")+(L297="Yes")&gt;0)*((K297="")+ISNUMBER(SEARCH(","&amp;K297&amp;",",","&amp;SUBSTITUTE('1 Scholarships'!$P$2:$P$60," ","")&amp;","))&gt;0)*'1 Scholarships'!$F$2:$F$60)))</f>
        <v/>
      </c>
      <c r="O297" s="18"/>
      <c r="P297" s="18"/>
      <c r="Q297" s="18"/>
      <c r="R297" s="19"/>
      <c r="S297" s="19"/>
      <c r="T297" s="18"/>
      <c r="U297" s="18"/>
      <c r="V297" s="18"/>
    </row>
    <row r="298" customFormat="false" ht="15" hidden="false" customHeight="false" outlineLevel="0" collapsed="false">
      <c r="A298" s="18"/>
      <c r="B298" s="19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4" t="str">
        <f aca="false">IF(OR(I298="",J298=""),"",SUMPRODUCT((CODE(I298)&lt;=CODE('1 Scholarships'!$G$2:$G$60))*('1 Scholarships'!$A$2:$A$60&lt;&gt;"")*(('1 Scholarships'!$H$2:$H$60="")+ISNUMBER(SEARCH(","&amp;J298&amp;",",","&amp;SUBSTITUTE('1 Scholarships'!$H$2:$H$60," ","")&amp;","))&gt;0)*(('1 Scholarships'!$J$2:$J$60&lt;&gt;"Yes")+(L298="Yes")&gt;0)*((K298="")+ISNUMBER(SEARCH(","&amp;K298&amp;",",","&amp;SUBSTITUTE('1 Scholarships'!$P$2:$P$60," ","")&amp;","))&gt;0)))</f>
        <v/>
      </c>
      <c r="N298" s="20" t="str">
        <f aca="false">IF(OR(I298="",J298=""),"",SUMPRODUCT(MAX((CODE(I298)&lt;=CODE('1 Scholarships'!$G$2:$G$60))*('1 Scholarships'!$A$2:$A$60&lt;&gt;"")*(('1 Scholarships'!$H$2:$H$60="")+ISNUMBER(SEARCH(","&amp;J298&amp;",",","&amp;SUBSTITUTE('1 Scholarships'!$H$2:$H$60," ","")&amp;","))&gt;0)*(('1 Scholarships'!$J$2:$J$60&lt;&gt;"Yes")+(L298="Yes")&gt;0)*((K298="")+ISNUMBER(SEARCH(","&amp;K298&amp;",",","&amp;SUBSTITUTE('1 Scholarships'!$P$2:$P$60," ","")&amp;","))&gt;0)*'1 Scholarships'!$F$2:$F$60)))</f>
        <v/>
      </c>
      <c r="O298" s="18"/>
      <c r="P298" s="18"/>
      <c r="Q298" s="18"/>
      <c r="R298" s="19"/>
      <c r="S298" s="19"/>
      <c r="T298" s="18"/>
      <c r="U298" s="18"/>
      <c r="V298" s="18"/>
    </row>
    <row r="299" customFormat="false" ht="15" hidden="false" customHeight="false" outlineLevel="0" collapsed="false">
      <c r="A299" s="18"/>
      <c r="B299" s="19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4" t="str">
        <f aca="false">IF(OR(I299="",J299=""),"",SUMPRODUCT((CODE(I299)&lt;=CODE('1 Scholarships'!$G$2:$G$60))*('1 Scholarships'!$A$2:$A$60&lt;&gt;"")*(('1 Scholarships'!$H$2:$H$60="")+ISNUMBER(SEARCH(","&amp;J299&amp;",",","&amp;SUBSTITUTE('1 Scholarships'!$H$2:$H$60," ","")&amp;","))&gt;0)*(('1 Scholarships'!$J$2:$J$60&lt;&gt;"Yes")+(L299="Yes")&gt;0)*((K299="")+ISNUMBER(SEARCH(","&amp;K299&amp;",",","&amp;SUBSTITUTE('1 Scholarships'!$P$2:$P$60," ","")&amp;","))&gt;0)))</f>
        <v/>
      </c>
      <c r="N299" s="20" t="str">
        <f aca="false">IF(OR(I299="",J299=""),"",SUMPRODUCT(MAX((CODE(I299)&lt;=CODE('1 Scholarships'!$G$2:$G$60))*('1 Scholarships'!$A$2:$A$60&lt;&gt;"")*(('1 Scholarships'!$H$2:$H$60="")+ISNUMBER(SEARCH(","&amp;J299&amp;",",","&amp;SUBSTITUTE('1 Scholarships'!$H$2:$H$60," ","")&amp;","))&gt;0)*(('1 Scholarships'!$J$2:$J$60&lt;&gt;"Yes")+(L299="Yes")&gt;0)*((K299="")+ISNUMBER(SEARCH(","&amp;K299&amp;",",","&amp;SUBSTITUTE('1 Scholarships'!$P$2:$P$60," ","")&amp;","))&gt;0)*'1 Scholarships'!$F$2:$F$60)))</f>
        <v/>
      </c>
      <c r="O299" s="18"/>
      <c r="P299" s="18"/>
      <c r="Q299" s="18"/>
      <c r="R299" s="19"/>
      <c r="S299" s="19"/>
      <c r="T299" s="18"/>
      <c r="U299" s="18"/>
      <c r="V299" s="18"/>
    </row>
    <row r="300" customFormat="false" ht="15" hidden="false" customHeight="false" outlineLevel="0" collapsed="false">
      <c r="A300" s="18"/>
      <c r="B300" s="19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4" t="str">
        <f aca="false">IF(OR(I300="",J300=""),"",SUMPRODUCT((CODE(I300)&lt;=CODE('1 Scholarships'!$G$2:$G$60))*('1 Scholarships'!$A$2:$A$60&lt;&gt;"")*(('1 Scholarships'!$H$2:$H$60="")+ISNUMBER(SEARCH(","&amp;J300&amp;",",","&amp;SUBSTITUTE('1 Scholarships'!$H$2:$H$60," ","")&amp;","))&gt;0)*(('1 Scholarships'!$J$2:$J$60&lt;&gt;"Yes")+(L300="Yes")&gt;0)*((K300="")+ISNUMBER(SEARCH(","&amp;K300&amp;",",","&amp;SUBSTITUTE('1 Scholarships'!$P$2:$P$60," ","")&amp;","))&gt;0)))</f>
        <v/>
      </c>
      <c r="N300" s="20" t="str">
        <f aca="false">IF(OR(I300="",J300=""),"",SUMPRODUCT(MAX((CODE(I300)&lt;=CODE('1 Scholarships'!$G$2:$G$60))*('1 Scholarships'!$A$2:$A$60&lt;&gt;"")*(('1 Scholarships'!$H$2:$H$60="")+ISNUMBER(SEARCH(","&amp;J300&amp;",",","&amp;SUBSTITUTE('1 Scholarships'!$H$2:$H$60," ","")&amp;","))&gt;0)*(('1 Scholarships'!$J$2:$J$60&lt;&gt;"Yes")+(L300="Yes")&gt;0)*((K300="")+ISNUMBER(SEARCH(","&amp;K300&amp;",",","&amp;SUBSTITUTE('1 Scholarships'!$P$2:$P$60," ","")&amp;","))&gt;0)*'1 Scholarships'!$F$2:$F$60)))</f>
        <v/>
      </c>
      <c r="O300" s="18"/>
      <c r="P300" s="18"/>
      <c r="Q300" s="18"/>
      <c r="R300" s="19"/>
      <c r="S300" s="19"/>
      <c r="T300" s="18"/>
      <c r="U300" s="18"/>
      <c r="V300" s="18"/>
    </row>
  </sheetData>
  <autoFilter ref="A1:V300"/>
  <dataValidations count="7">
    <dataValidation allowBlank="true" error="Pick a value from the list" errorStyle="stop" operator="between" showDropDown="false" showErrorMessage="true" showInputMessage="false" sqref="F2:F300" type="list">
      <formula1>Lists!$G$2:$G$8</formula1>
      <formula2>0</formula2>
    </dataValidation>
    <dataValidation allowBlank="true" error="Pick a value from the list" errorStyle="stop" operator="between" showDropDown="false" showErrorMessage="true" showInputMessage="false" sqref="H2:H300" type="list">
      <formula1>Lists!$H$2:$H$8</formula1>
      <formula2>0</formula2>
    </dataValidation>
    <dataValidation allowBlank="true" error="Pick a value from the list" errorStyle="stop" operator="between" showDropDown="false" showErrorMessage="true" showInputMessage="false" sqref="Q2:Q300" type="list">
      <formula1>Lists!$A$2:$A$8</formula1>
      <formula2>0</formula2>
    </dataValidation>
    <dataValidation allowBlank="true" error="Pick a value from the list" errorStyle="stop" operator="between" showDropDown="false" showErrorMessage="true" showInputMessage="false" sqref="I2:I300" type="list">
      <formula1>Lists!$B$2:$B$4</formula1>
      <formula2>0</formula2>
    </dataValidation>
    <dataValidation allowBlank="true" error="Pick a value from the list" errorStyle="stop" operator="between" showDropDown="false" showErrorMessage="true" showInputMessage="false" sqref="J2:J300" type="list">
      <formula1>Lists!$C$2:$C$4</formula1>
      <formula2>0</formula2>
    </dataValidation>
    <dataValidation allowBlank="true" error="Pick a value from the list" errorStyle="stop" operator="between" showDropDown="false" showErrorMessage="true" showInputMessage="false" sqref="K2:K300" type="list">
      <formula1>Fields!$A$2:$A$50</formula1>
      <formula2>0</formula2>
    </dataValidation>
    <dataValidation allowBlank="true" error="Pick a value from the list" errorStyle="stop" operator="between" showDropDown="false" showErrorMessage="true" showInputMessage="false" sqref="L2:L300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40"/>
  </cols>
  <sheetData>
    <row r="1" customFormat="false" ht="31.5" hidden="false" customHeight="true" outlineLevel="0" collapsed="false">
      <c r="A1" s="8" t="s">
        <v>167</v>
      </c>
      <c r="B1" s="8" t="s">
        <v>168</v>
      </c>
      <c r="C1" s="8" t="s">
        <v>69</v>
      </c>
    </row>
    <row r="2" customFormat="false" ht="15" hidden="false" customHeight="false" outlineLevel="0" collapsed="false">
      <c r="A2" s="9" t="s">
        <v>169</v>
      </c>
      <c r="B2" s="9" t="s">
        <v>170</v>
      </c>
      <c r="C2" s="9"/>
    </row>
    <row r="3" customFormat="false" ht="15" hidden="false" customHeight="false" outlineLevel="0" collapsed="false">
      <c r="A3" s="9" t="s">
        <v>171</v>
      </c>
      <c r="B3" s="9" t="s">
        <v>172</v>
      </c>
      <c r="C3" s="9"/>
    </row>
    <row r="4" customFormat="false" ht="15" hidden="false" customHeight="false" outlineLevel="0" collapsed="false">
      <c r="A4" s="9" t="s">
        <v>173</v>
      </c>
      <c r="B4" s="9" t="s">
        <v>174</v>
      </c>
      <c r="C4" s="9"/>
    </row>
    <row r="5" customFormat="false" ht="15" hidden="false" customHeight="false" outlineLevel="0" collapsed="false">
      <c r="A5" s="9" t="s">
        <v>175</v>
      </c>
      <c r="B5" s="9" t="s">
        <v>176</v>
      </c>
      <c r="C5" s="9"/>
    </row>
    <row r="6" customFormat="false" ht="15" hidden="false" customHeight="false" outlineLevel="0" collapsed="false">
      <c r="A6" s="9" t="s">
        <v>48</v>
      </c>
      <c r="B6" s="9" t="s">
        <v>177</v>
      </c>
      <c r="C6" s="9"/>
    </row>
    <row r="7" customFormat="false" ht="15" hidden="false" customHeight="false" outlineLevel="0" collapsed="false">
      <c r="A7" s="9" t="s">
        <v>178</v>
      </c>
      <c r="B7" s="9" t="s">
        <v>179</v>
      </c>
      <c r="C7" s="9"/>
    </row>
    <row r="8" customFormat="false" ht="15" hidden="false" customHeight="false" outlineLevel="0" collapsed="false">
      <c r="A8" s="9" t="s">
        <v>180</v>
      </c>
      <c r="B8" s="9" t="s">
        <v>181</v>
      </c>
      <c r="C8" s="9"/>
    </row>
    <row r="9" customFormat="false" ht="15" hidden="false" customHeight="false" outlineLevel="0" collapsed="false">
      <c r="A9" s="9" t="s">
        <v>182</v>
      </c>
      <c r="B9" s="9" t="s">
        <v>183</v>
      </c>
      <c r="C9" s="9"/>
    </row>
    <row r="10" customFormat="false" ht="15" hidden="false" customHeight="false" outlineLevel="0" collapsed="false">
      <c r="A10" s="9" t="s">
        <v>184</v>
      </c>
      <c r="B10" s="9" t="s">
        <v>185</v>
      </c>
      <c r="C10" s="9"/>
    </row>
    <row r="11" customFormat="false" ht="15" hidden="false" customHeight="false" outlineLevel="0" collapsed="false">
      <c r="A11" s="9" t="s">
        <v>186</v>
      </c>
      <c r="B11" s="9" t="s">
        <v>187</v>
      </c>
      <c r="C11" s="9"/>
    </row>
    <row r="12" customFormat="false" ht="15" hidden="false" customHeight="false" outlineLevel="0" collapsed="false">
      <c r="A12" s="9" t="s">
        <v>188</v>
      </c>
      <c r="B12" s="9" t="s">
        <v>189</v>
      </c>
      <c r="C1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9" min="7" style="0" width="14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2" min="12" style="0" width="28"/>
    <col collapsed="false" customWidth="true" hidden="false" outlineLevel="0" max="13" min="13" style="0" width="16"/>
    <col collapsed="false" customWidth="true" hidden="false" outlineLevel="0" max="14" min="14" style="0" width="24"/>
  </cols>
  <sheetData>
    <row r="1" customFormat="false" ht="31.5" hidden="false" customHeight="true" outlineLevel="0" collapsed="false">
      <c r="A1" s="8" t="s">
        <v>190</v>
      </c>
      <c r="B1" s="8" t="s">
        <v>191</v>
      </c>
      <c r="C1" s="8" t="s">
        <v>37</v>
      </c>
      <c r="D1" s="8" t="s">
        <v>38</v>
      </c>
      <c r="E1" s="8" t="s">
        <v>192</v>
      </c>
      <c r="F1" s="8" t="s">
        <v>193</v>
      </c>
      <c r="G1" s="8" t="s">
        <v>194</v>
      </c>
      <c r="H1" s="8" t="s">
        <v>195</v>
      </c>
      <c r="I1" s="8" t="s">
        <v>196</v>
      </c>
      <c r="J1" s="8" t="s">
        <v>197</v>
      </c>
      <c r="K1" s="8" t="s">
        <v>198</v>
      </c>
      <c r="L1" s="8" t="s">
        <v>199</v>
      </c>
      <c r="M1" s="8" t="s">
        <v>200</v>
      </c>
      <c r="N1" s="8" t="s">
        <v>69</v>
      </c>
    </row>
    <row r="2" customFormat="false" ht="26.85" hidden="false" customHeight="false" outlineLevel="0" collapsed="false">
      <c r="A2" s="9" t="s">
        <v>201</v>
      </c>
      <c r="B2" s="9" t="s">
        <v>202</v>
      </c>
      <c r="C2" s="9" t="s">
        <v>40</v>
      </c>
      <c r="D2" s="11" t="str">
        <f aca="false">IF(C2="","",IFERROR(INDEX(Fields!$B$2:$B$50,MATCH(C2,Fields!$A$2:$A$50,0)),"Unknown ID"))</f>
        <v>Medicine &amp; Health</v>
      </c>
      <c r="E2" s="9" t="s">
        <v>203</v>
      </c>
      <c r="F2" s="9" t="n">
        <v>5</v>
      </c>
      <c r="G2" s="9" t="s">
        <v>169</v>
      </c>
      <c r="H2" s="9" t="s">
        <v>182</v>
      </c>
      <c r="I2" s="9"/>
      <c r="J2" s="9" t="s">
        <v>70</v>
      </c>
      <c r="K2" s="9"/>
      <c r="L2" s="9"/>
      <c r="M2" s="10"/>
      <c r="N2" s="9"/>
    </row>
    <row r="3" customFormat="false" ht="15" hidden="false" customHeight="false" outlineLevel="0" collapsed="false">
      <c r="A3" s="9" t="s">
        <v>204</v>
      </c>
      <c r="B3" s="9" t="s">
        <v>205</v>
      </c>
      <c r="C3" s="9" t="s">
        <v>40</v>
      </c>
      <c r="D3" s="11" t="str">
        <f aca="false">IF(C3="","",IFERROR(INDEX(Fields!$B$2:$B$50,MATCH(C3,Fields!$A$2:$A$50,0)),"Unknown ID"))</f>
        <v>Medicine &amp; Health</v>
      </c>
      <c r="E3" s="9" t="s">
        <v>206</v>
      </c>
      <c r="F3" s="9" t="n">
        <v>3</v>
      </c>
      <c r="G3" s="9" t="s">
        <v>169</v>
      </c>
      <c r="H3" s="9"/>
      <c r="I3" s="9"/>
      <c r="J3" s="9" t="s">
        <v>70</v>
      </c>
      <c r="K3" s="9"/>
      <c r="L3" s="9"/>
      <c r="M3" s="10"/>
      <c r="N3" s="9"/>
    </row>
    <row r="4" customFormat="false" ht="15" hidden="false" customHeight="false" outlineLevel="0" collapsed="false">
      <c r="A4" s="9" t="s">
        <v>207</v>
      </c>
      <c r="B4" s="9" t="s">
        <v>208</v>
      </c>
      <c r="C4" s="9" t="s">
        <v>40</v>
      </c>
      <c r="D4" s="11" t="str">
        <f aca="false">IF(C4="","",IFERROR(INDEX(Fields!$B$2:$B$50,MATCH(C4,Fields!$A$2:$A$50,0)),"Unknown ID"))</f>
        <v>Medicine &amp; Health</v>
      </c>
      <c r="E4" s="9" t="s">
        <v>203</v>
      </c>
      <c r="F4" s="9" t="n">
        <v>4</v>
      </c>
      <c r="G4" s="9" t="s">
        <v>182</v>
      </c>
      <c r="H4" s="9" t="s">
        <v>169</v>
      </c>
      <c r="I4" s="9"/>
      <c r="J4" s="9" t="s">
        <v>70</v>
      </c>
      <c r="K4" s="9"/>
      <c r="L4" s="9"/>
      <c r="M4" s="10"/>
      <c r="N4" s="9"/>
    </row>
    <row r="5" customFormat="false" ht="15" hidden="false" customHeight="false" outlineLevel="0" collapsed="false">
      <c r="A5" s="9" t="s">
        <v>209</v>
      </c>
      <c r="B5" s="9" t="s">
        <v>210</v>
      </c>
      <c r="C5" s="9" t="s">
        <v>42</v>
      </c>
      <c r="D5" s="11" t="str">
        <f aca="false">IF(C5="","",IFERROR(INDEX(Fields!$B$2:$B$50,MATCH(C5,Fields!$A$2:$A$50,0)),"Unknown ID"))</f>
        <v>Engineering</v>
      </c>
      <c r="E5" s="9" t="s">
        <v>203</v>
      </c>
      <c r="F5" s="9" t="n">
        <v>4</v>
      </c>
      <c r="G5" s="9" t="s">
        <v>171</v>
      </c>
      <c r="H5" s="9" t="s">
        <v>175</v>
      </c>
      <c r="I5" s="9"/>
      <c r="J5" s="9" t="s">
        <v>75</v>
      </c>
      <c r="K5" s="9"/>
      <c r="L5" s="9"/>
      <c r="M5" s="10"/>
      <c r="N5" s="9"/>
    </row>
    <row r="6" customFormat="false" ht="15" hidden="false" customHeight="false" outlineLevel="0" collapsed="false">
      <c r="A6" s="9" t="s">
        <v>211</v>
      </c>
      <c r="B6" s="9" t="s">
        <v>212</v>
      </c>
      <c r="C6" s="9" t="s">
        <v>42</v>
      </c>
      <c r="D6" s="11" t="str">
        <f aca="false">IF(C6="","",IFERROR(INDEX(Fields!$B$2:$B$50,MATCH(C6,Fields!$A$2:$A$50,0)),"Unknown ID"))</f>
        <v>Engineering</v>
      </c>
      <c r="E6" s="9" t="s">
        <v>206</v>
      </c>
      <c r="F6" s="9" t="n">
        <v>2.5</v>
      </c>
      <c r="G6" s="9" t="s">
        <v>171</v>
      </c>
      <c r="H6" s="9"/>
      <c r="I6" s="9"/>
      <c r="J6" s="9" t="s">
        <v>75</v>
      </c>
      <c r="K6" s="9"/>
      <c r="L6" s="9"/>
      <c r="M6" s="10"/>
      <c r="N6" s="9"/>
    </row>
    <row r="7" customFormat="false" ht="26.85" hidden="false" customHeight="false" outlineLevel="0" collapsed="false">
      <c r="A7" s="9" t="s">
        <v>213</v>
      </c>
      <c r="B7" s="9" t="s">
        <v>214</v>
      </c>
      <c r="C7" s="9" t="s">
        <v>44</v>
      </c>
      <c r="D7" s="11" t="str">
        <f aca="false">IF(C7="","",IFERROR(INDEX(Fields!$B$2:$B$50,MATCH(C7,Fields!$A$2:$A$50,0)),"Unknown ID"))</f>
        <v>Computer Science &amp; IT</v>
      </c>
      <c r="E7" s="9" t="s">
        <v>203</v>
      </c>
      <c r="F7" s="9" t="n">
        <v>3</v>
      </c>
      <c r="G7" s="9" t="s">
        <v>173</v>
      </c>
      <c r="H7" s="9" t="s">
        <v>175</v>
      </c>
      <c r="I7" s="9"/>
      <c r="J7" s="9" t="s">
        <v>215</v>
      </c>
      <c r="K7" s="9"/>
      <c r="L7" s="9"/>
      <c r="M7" s="10"/>
      <c r="N7" s="9"/>
    </row>
    <row r="8" customFormat="false" ht="26.85" hidden="false" customHeight="false" outlineLevel="0" collapsed="false">
      <c r="A8" s="9" t="s">
        <v>216</v>
      </c>
      <c r="B8" s="9" t="s">
        <v>217</v>
      </c>
      <c r="C8" s="9" t="s">
        <v>44</v>
      </c>
      <c r="D8" s="11" t="str">
        <f aca="false">IF(C8="","",IFERROR(INDEX(Fields!$B$2:$B$50,MATCH(C8,Fields!$A$2:$A$50,0)),"Unknown ID"))</f>
        <v>Computer Science &amp; IT</v>
      </c>
      <c r="E8" s="9" t="s">
        <v>206</v>
      </c>
      <c r="F8" s="9" t="n">
        <v>2</v>
      </c>
      <c r="G8" s="9" t="s">
        <v>173</v>
      </c>
      <c r="H8" s="9"/>
      <c r="I8" s="9"/>
      <c r="J8" s="9" t="s">
        <v>215</v>
      </c>
      <c r="K8" s="9"/>
      <c r="L8" s="9"/>
      <c r="M8" s="10"/>
      <c r="N8" s="9"/>
    </row>
    <row r="9" customFormat="false" ht="15" hidden="false" customHeight="false" outlineLevel="0" collapsed="false">
      <c r="A9" s="9" t="s">
        <v>218</v>
      </c>
      <c r="B9" s="9" t="s">
        <v>219</v>
      </c>
      <c r="C9" s="9" t="s">
        <v>46</v>
      </c>
      <c r="D9" s="11" t="str">
        <f aca="false">IF(C9="","",IFERROR(INDEX(Fields!$B$2:$B$50,MATCH(C9,Fields!$A$2:$A$50,0)),"Unknown ID"))</f>
        <v>Business &amp; Finance</v>
      </c>
      <c r="E9" s="9" t="s">
        <v>203</v>
      </c>
      <c r="F9" s="9" t="n">
        <v>3</v>
      </c>
      <c r="G9" s="9" t="s">
        <v>175</v>
      </c>
      <c r="H9" s="9"/>
      <c r="I9" s="9"/>
      <c r="J9" s="9" t="s">
        <v>220</v>
      </c>
      <c r="K9" s="9"/>
      <c r="L9" s="9"/>
      <c r="M9" s="10"/>
      <c r="N9" s="9"/>
    </row>
    <row r="10" customFormat="false" ht="15" hidden="false" customHeight="false" outlineLevel="0" collapsed="false">
      <c r="A10" s="9" t="s">
        <v>221</v>
      </c>
      <c r="B10" s="9" t="s">
        <v>222</v>
      </c>
      <c r="C10" s="9" t="s">
        <v>46</v>
      </c>
      <c r="D10" s="11" t="str">
        <f aca="false">IF(C10="","",IFERROR(INDEX(Fields!$B$2:$B$50,MATCH(C10,Fields!$A$2:$A$50,0)),"Unknown ID"))</f>
        <v>Business &amp; Finance</v>
      </c>
      <c r="E10" s="9" t="s">
        <v>206</v>
      </c>
      <c r="F10" s="9" t="n">
        <v>2</v>
      </c>
      <c r="G10" s="9" t="s">
        <v>186</v>
      </c>
      <c r="H10" s="9" t="s">
        <v>175</v>
      </c>
      <c r="I10" s="9"/>
      <c r="J10" s="9" t="s">
        <v>220</v>
      </c>
      <c r="K10" s="9"/>
      <c r="L10" s="9"/>
      <c r="M10" s="10"/>
      <c r="N10" s="9"/>
    </row>
    <row r="11" customFormat="false" ht="15" hidden="false" customHeight="false" outlineLevel="0" collapsed="false">
      <c r="A11" s="9" t="s">
        <v>223</v>
      </c>
      <c r="B11" s="9" t="s">
        <v>224</v>
      </c>
      <c r="C11" s="9" t="s">
        <v>48</v>
      </c>
      <c r="D11" s="11" t="str">
        <f aca="false">IF(C11="","",IFERROR(INDEX(Fields!$B$2:$B$50,MATCH(C11,Fields!$A$2:$A$50,0)),"Unknown ID"))</f>
        <v>Design &amp; Creative Arts</v>
      </c>
      <c r="E11" s="9" t="s">
        <v>203</v>
      </c>
      <c r="F11" s="9" t="n">
        <v>3</v>
      </c>
      <c r="G11" s="9" t="s">
        <v>48</v>
      </c>
      <c r="H11" s="9"/>
      <c r="I11" s="9"/>
      <c r="J11" s="9" t="s">
        <v>84</v>
      </c>
      <c r="K11" s="9"/>
      <c r="L11" s="9"/>
      <c r="M11" s="10"/>
      <c r="N11" s="9"/>
    </row>
    <row r="12" customFormat="false" ht="15" hidden="false" customHeight="false" outlineLevel="0" collapsed="false">
      <c r="A12" s="9" t="s">
        <v>225</v>
      </c>
      <c r="B12" s="9" t="s">
        <v>226</v>
      </c>
      <c r="C12" s="9" t="s">
        <v>48</v>
      </c>
      <c r="D12" s="11" t="str">
        <f aca="false">IF(C12="","",IFERROR(INDEX(Fields!$B$2:$B$50,MATCH(C12,Fields!$A$2:$A$50,0)),"Unknown ID"))</f>
        <v>Design &amp; Creative Arts</v>
      </c>
      <c r="E12" s="9" t="s">
        <v>206</v>
      </c>
      <c r="F12" s="9" t="n">
        <v>2.5</v>
      </c>
      <c r="G12" s="9" t="s">
        <v>48</v>
      </c>
      <c r="H12" s="9" t="s">
        <v>171</v>
      </c>
      <c r="I12" s="9"/>
      <c r="J12" s="9" t="s">
        <v>84</v>
      </c>
      <c r="K12" s="9"/>
      <c r="L12" s="9"/>
      <c r="M12" s="10"/>
      <c r="N12" s="9"/>
    </row>
    <row r="13" customFormat="false" ht="15" hidden="false" customHeight="false" outlineLevel="0" collapsed="false">
      <c r="A13" s="9" t="s">
        <v>227</v>
      </c>
      <c r="B13" s="9" t="s">
        <v>228</v>
      </c>
      <c r="C13" s="9" t="s">
        <v>50</v>
      </c>
      <c r="D13" s="11" t="str">
        <f aca="false">IF(C13="","",IFERROR(INDEX(Fields!$B$2:$B$50,MATCH(C13,Fields!$A$2:$A$50,0)),"Unknown ID"))</f>
        <v>Law</v>
      </c>
      <c r="E13" s="9" t="s">
        <v>203</v>
      </c>
      <c r="F13" s="9" t="n">
        <v>3</v>
      </c>
      <c r="G13" s="9" t="s">
        <v>178</v>
      </c>
      <c r="H13" s="9" t="s">
        <v>188</v>
      </c>
      <c r="I13" s="9"/>
      <c r="J13" s="9" t="s">
        <v>92</v>
      </c>
      <c r="K13" s="9"/>
      <c r="L13" s="9"/>
      <c r="M13" s="10"/>
      <c r="N13" s="9"/>
    </row>
    <row r="14" customFormat="false" ht="15" hidden="false" customHeight="false" outlineLevel="0" collapsed="false">
      <c r="A14" s="9" t="s">
        <v>229</v>
      </c>
      <c r="B14" s="9" t="s">
        <v>230</v>
      </c>
      <c r="C14" s="9" t="s">
        <v>52</v>
      </c>
      <c r="D14" s="11" t="str">
        <f aca="false">IF(C14="","",IFERROR(INDEX(Fields!$B$2:$B$50,MATCH(C14,Fields!$A$2:$A$50,0)),"Unknown ID"))</f>
        <v>Education</v>
      </c>
      <c r="E14" s="9" t="s">
        <v>203</v>
      </c>
      <c r="F14" s="9" t="n">
        <v>4</v>
      </c>
      <c r="G14" s="9" t="s">
        <v>180</v>
      </c>
      <c r="H14" s="9" t="s">
        <v>188</v>
      </c>
      <c r="I14" s="9"/>
      <c r="J14" s="9" t="s">
        <v>231</v>
      </c>
      <c r="K14" s="9"/>
      <c r="L14" s="9"/>
      <c r="M14" s="10"/>
      <c r="N14" s="9"/>
    </row>
    <row r="15" customFormat="false" ht="15" hidden="false" customHeight="false" outlineLevel="0" collapsed="false">
      <c r="A15" s="9" t="s">
        <v>232</v>
      </c>
      <c r="B15" s="9" t="s">
        <v>233</v>
      </c>
      <c r="C15" s="9" t="s">
        <v>52</v>
      </c>
      <c r="D15" s="11" t="str">
        <f aca="false">IF(C15="","",IFERROR(INDEX(Fields!$B$2:$B$50,MATCH(C15,Fields!$A$2:$A$50,0)),"Unknown ID"))</f>
        <v>Education</v>
      </c>
      <c r="E15" s="9" t="s">
        <v>206</v>
      </c>
      <c r="F15" s="9" t="n">
        <v>2.5</v>
      </c>
      <c r="G15" s="9" t="s">
        <v>180</v>
      </c>
      <c r="H15" s="9" t="s">
        <v>169</v>
      </c>
      <c r="I15" s="9"/>
      <c r="J15" s="9" t="s">
        <v>231</v>
      </c>
      <c r="K15" s="9"/>
      <c r="L15" s="9"/>
      <c r="M15" s="10"/>
      <c r="N15" s="9"/>
    </row>
    <row r="16" customFormat="false" ht="15" hidden="false" customHeight="false" outlineLevel="0" collapsed="false">
      <c r="A16" s="9" t="s">
        <v>234</v>
      </c>
      <c r="B16" s="9" t="s">
        <v>235</v>
      </c>
      <c r="C16" s="9" t="s">
        <v>54</v>
      </c>
      <c r="D16" s="11" t="str">
        <f aca="false">IF(C16="","",IFERROR(INDEX(Fields!$B$2:$B$50,MATCH(C16,Fields!$A$2:$A$50,0)),"Unknown ID"))</f>
        <v>Science</v>
      </c>
      <c r="E16" s="9" t="s">
        <v>203</v>
      </c>
      <c r="F16" s="9" t="n">
        <v>3</v>
      </c>
      <c r="G16" s="9" t="s">
        <v>182</v>
      </c>
      <c r="H16" s="9"/>
      <c r="I16" s="9"/>
      <c r="J16" s="9" t="s">
        <v>236</v>
      </c>
      <c r="K16" s="9"/>
      <c r="L16" s="9"/>
      <c r="M16" s="10"/>
      <c r="N16" s="9"/>
    </row>
    <row r="17" customFormat="false" ht="15" hidden="false" customHeight="false" outlineLevel="0" collapsed="false">
      <c r="A17" s="9" t="s">
        <v>237</v>
      </c>
      <c r="B17" s="9" t="s">
        <v>238</v>
      </c>
      <c r="C17" s="9" t="s">
        <v>56</v>
      </c>
      <c r="D17" s="11" t="str">
        <f aca="false">IF(C17="","",IFERROR(INDEX(Fields!$B$2:$B$50,MATCH(C17,Fields!$A$2:$A$50,0)),"Unknown ID"))</f>
        <v>Hospitality &amp; Tourism</v>
      </c>
      <c r="E17" s="9" t="s">
        <v>206</v>
      </c>
      <c r="F17" s="9" t="n">
        <v>2</v>
      </c>
      <c r="G17" s="9" t="s">
        <v>184</v>
      </c>
      <c r="H17" s="9" t="s">
        <v>186</v>
      </c>
      <c r="I17" s="9"/>
      <c r="J17" s="9" t="s">
        <v>239</v>
      </c>
      <c r="K17" s="9"/>
      <c r="L17" s="9"/>
      <c r="M17" s="10"/>
      <c r="N17" s="9"/>
    </row>
    <row r="18" customFormat="false" ht="15" hidden="false" customHeight="false" outlineLevel="0" collapsed="false">
      <c r="A18" s="9" t="s">
        <v>240</v>
      </c>
      <c r="B18" s="9" t="s">
        <v>241</v>
      </c>
      <c r="C18" s="9" t="s">
        <v>56</v>
      </c>
      <c r="D18" s="11" t="str">
        <f aca="false">IF(C18="","",IFERROR(INDEX(Fields!$B$2:$B$50,MATCH(C18,Fields!$A$2:$A$50,0)),"Unknown ID"))</f>
        <v>Hospitality &amp; Tourism</v>
      </c>
      <c r="E18" s="9" t="s">
        <v>203</v>
      </c>
      <c r="F18" s="9" t="n">
        <v>3</v>
      </c>
      <c r="G18" s="9" t="s">
        <v>184</v>
      </c>
      <c r="H18" s="9" t="s">
        <v>48</v>
      </c>
      <c r="I18" s="9"/>
      <c r="J18" s="9" t="s">
        <v>239</v>
      </c>
      <c r="K18" s="9"/>
      <c r="L18" s="9"/>
      <c r="M18" s="10"/>
      <c r="N18" s="9"/>
    </row>
    <row r="19" customFormat="false" ht="26.85" hidden="false" customHeight="false" outlineLevel="0" collapsed="false">
      <c r="A19" s="9" t="s">
        <v>242</v>
      </c>
      <c r="B19" s="9" t="s">
        <v>243</v>
      </c>
      <c r="C19" s="9" t="s">
        <v>58</v>
      </c>
      <c r="D19" s="11" t="str">
        <f aca="false">IF(C19="","",IFERROR(INDEX(Fields!$B$2:$B$50,MATCH(C19,Fields!$A$2:$A$50,0)),"Unknown ID"))</f>
        <v>Communication &amp; Media</v>
      </c>
      <c r="E19" s="9" t="s">
        <v>203</v>
      </c>
      <c r="F19" s="9" t="n">
        <v>3</v>
      </c>
      <c r="G19" s="9" t="s">
        <v>188</v>
      </c>
      <c r="H19" s="9" t="s">
        <v>48</v>
      </c>
      <c r="I19" s="9"/>
      <c r="J19" s="9" t="s">
        <v>244</v>
      </c>
      <c r="K19" s="9"/>
      <c r="L19" s="9"/>
      <c r="M19" s="10"/>
      <c r="N19" s="9"/>
    </row>
    <row r="20" customFormat="false" ht="15" hidden="false" customHeight="false" outlineLevel="0" collapsed="false">
      <c r="D20" s="14" t="str">
        <f aca="false">IF(C20="","",IFERROR(INDEX(Fields!$B$2:$B$50,MATCH(C20,Fields!$A$2:$A$50,0)),"Unknown ID"))</f>
        <v/>
      </c>
      <c r="M20" s="21"/>
    </row>
    <row r="21" customFormat="false" ht="15" hidden="false" customHeight="false" outlineLevel="0" collapsed="false">
      <c r="D21" s="14" t="str">
        <f aca="false">IF(C21="","",IFERROR(INDEX(Fields!$B$2:$B$50,MATCH(C21,Fields!$A$2:$A$50,0)),"Unknown ID"))</f>
        <v/>
      </c>
      <c r="M21" s="21"/>
    </row>
    <row r="22" customFormat="false" ht="15" hidden="false" customHeight="false" outlineLevel="0" collapsed="false">
      <c r="D22" s="14" t="str">
        <f aca="false">IF(C22="","",IFERROR(INDEX(Fields!$B$2:$B$50,MATCH(C22,Fields!$A$2:$A$50,0)),"Unknown ID"))</f>
        <v/>
      </c>
      <c r="M22" s="21"/>
    </row>
    <row r="23" customFormat="false" ht="15" hidden="false" customHeight="false" outlineLevel="0" collapsed="false">
      <c r="D23" s="14" t="str">
        <f aca="false">IF(C23="","",IFERROR(INDEX(Fields!$B$2:$B$50,MATCH(C23,Fields!$A$2:$A$50,0)),"Unknown ID"))</f>
        <v/>
      </c>
      <c r="M23" s="21"/>
    </row>
    <row r="24" customFormat="false" ht="15" hidden="false" customHeight="false" outlineLevel="0" collapsed="false">
      <c r="D24" s="14" t="str">
        <f aca="false">IF(C24="","",IFERROR(INDEX(Fields!$B$2:$B$50,MATCH(C24,Fields!$A$2:$A$50,0)),"Unknown ID"))</f>
        <v/>
      </c>
      <c r="M24" s="21"/>
    </row>
    <row r="25" customFormat="false" ht="15" hidden="false" customHeight="false" outlineLevel="0" collapsed="false">
      <c r="D25" s="14" t="str">
        <f aca="false">IF(C25="","",IFERROR(INDEX(Fields!$B$2:$B$50,MATCH(C25,Fields!$A$2:$A$50,0)),"Unknown ID"))</f>
        <v/>
      </c>
      <c r="M25" s="21"/>
    </row>
    <row r="26" customFormat="false" ht="15" hidden="false" customHeight="false" outlineLevel="0" collapsed="false">
      <c r="D26" s="14" t="str">
        <f aca="false">IF(C26="","",IFERROR(INDEX(Fields!$B$2:$B$50,MATCH(C26,Fields!$A$2:$A$50,0)),"Unknown ID"))</f>
        <v/>
      </c>
      <c r="M26" s="21"/>
    </row>
    <row r="27" customFormat="false" ht="15" hidden="false" customHeight="false" outlineLevel="0" collapsed="false">
      <c r="D27" s="14" t="str">
        <f aca="false">IF(C27="","",IFERROR(INDEX(Fields!$B$2:$B$50,MATCH(C27,Fields!$A$2:$A$50,0)),"Unknown ID"))</f>
        <v/>
      </c>
      <c r="M27" s="21"/>
    </row>
    <row r="28" customFormat="false" ht="15" hidden="false" customHeight="false" outlineLevel="0" collapsed="false">
      <c r="D28" s="14" t="str">
        <f aca="false">IF(C28="","",IFERROR(INDEX(Fields!$B$2:$B$50,MATCH(C28,Fields!$A$2:$A$50,0)),"Unknown ID"))</f>
        <v/>
      </c>
      <c r="M28" s="21"/>
    </row>
    <row r="29" customFormat="false" ht="15" hidden="false" customHeight="false" outlineLevel="0" collapsed="false">
      <c r="D29" s="14" t="str">
        <f aca="false">IF(C29="","",IFERROR(INDEX(Fields!$B$2:$B$50,MATCH(C29,Fields!$A$2:$A$50,0)),"Unknown ID"))</f>
        <v/>
      </c>
      <c r="M29" s="21"/>
    </row>
    <row r="30" customFormat="false" ht="15" hidden="false" customHeight="false" outlineLevel="0" collapsed="false">
      <c r="D30" s="14" t="str">
        <f aca="false">IF(C30="","",IFERROR(INDEX(Fields!$B$2:$B$50,MATCH(C30,Fields!$A$2:$A$50,0)),"Unknown ID"))</f>
        <v/>
      </c>
      <c r="M30" s="21"/>
    </row>
    <row r="31" customFormat="false" ht="15" hidden="false" customHeight="false" outlineLevel="0" collapsed="false">
      <c r="D31" s="14" t="str">
        <f aca="false">IF(C31="","",IFERROR(INDEX(Fields!$B$2:$B$50,MATCH(C31,Fields!$A$2:$A$50,0)),"Unknown ID"))</f>
        <v/>
      </c>
      <c r="M31" s="21"/>
    </row>
    <row r="32" customFormat="false" ht="15" hidden="false" customHeight="false" outlineLevel="0" collapsed="false">
      <c r="D32" s="14" t="str">
        <f aca="false">IF(C32="","",IFERROR(INDEX(Fields!$B$2:$B$50,MATCH(C32,Fields!$A$2:$A$50,0)),"Unknown ID"))</f>
        <v/>
      </c>
      <c r="M32" s="21"/>
    </row>
    <row r="33" customFormat="false" ht="15" hidden="false" customHeight="false" outlineLevel="0" collapsed="false">
      <c r="D33" s="14" t="str">
        <f aca="false">IF(C33="","",IFERROR(INDEX(Fields!$B$2:$B$50,MATCH(C33,Fields!$A$2:$A$50,0)),"Unknown ID"))</f>
        <v/>
      </c>
      <c r="M33" s="21"/>
    </row>
    <row r="34" customFormat="false" ht="15" hidden="false" customHeight="false" outlineLevel="0" collapsed="false">
      <c r="D34" s="14" t="str">
        <f aca="false">IF(C34="","",IFERROR(INDEX(Fields!$B$2:$B$50,MATCH(C34,Fields!$A$2:$A$50,0)),"Unknown ID"))</f>
        <v/>
      </c>
      <c r="M34" s="21"/>
    </row>
    <row r="35" customFormat="false" ht="15" hidden="false" customHeight="false" outlineLevel="0" collapsed="false">
      <c r="D35" s="14" t="str">
        <f aca="false">IF(C35="","",IFERROR(INDEX(Fields!$B$2:$B$50,MATCH(C35,Fields!$A$2:$A$50,0)),"Unknown ID"))</f>
        <v/>
      </c>
      <c r="M35" s="21"/>
    </row>
    <row r="36" customFormat="false" ht="15" hidden="false" customHeight="false" outlineLevel="0" collapsed="false">
      <c r="D36" s="14" t="str">
        <f aca="false">IF(C36="","",IFERROR(INDEX(Fields!$B$2:$B$50,MATCH(C36,Fields!$A$2:$A$50,0)),"Unknown ID"))</f>
        <v/>
      </c>
      <c r="M36" s="21"/>
    </row>
    <row r="37" customFormat="false" ht="15" hidden="false" customHeight="false" outlineLevel="0" collapsed="false">
      <c r="D37" s="14" t="str">
        <f aca="false">IF(C37="","",IFERROR(INDEX(Fields!$B$2:$B$50,MATCH(C37,Fields!$A$2:$A$50,0)),"Unknown ID"))</f>
        <v/>
      </c>
      <c r="M37" s="21"/>
    </row>
    <row r="38" customFormat="false" ht="15" hidden="false" customHeight="false" outlineLevel="0" collapsed="false">
      <c r="D38" s="14" t="str">
        <f aca="false">IF(C38="","",IFERROR(INDEX(Fields!$B$2:$B$50,MATCH(C38,Fields!$A$2:$A$50,0)),"Unknown ID"))</f>
        <v/>
      </c>
      <c r="M38" s="21"/>
    </row>
    <row r="39" customFormat="false" ht="15" hidden="false" customHeight="false" outlineLevel="0" collapsed="false">
      <c r="D39" s="14" t="str">
        <f aca="false">IF(C39="","",IFERROR(INDEX(Fields!$B$2:$B$50,MATCH(C39,Fields!$A$2:$A$50,0)),"Unknown ID"))</f>
        <v/>
      </c>
      <c r="M39" s="21"/>
    </row>
    <row r="40" customFormat="false" ht="15" hidden="false" customHeight="false" outlineLevel="0" collapsed="false">
      <c r="D40" s="14" t="str">
        <f aca="false">IF(C40="","",IFERROR(INDEX(Fields!$B$2:$B$50,MATCH(C40,Fields!$A$2:$A$50,0)),"Unknown ID"))</f>
        <v/>
      </c>
      <c r="M40" s="21"/>
    </row>
    <row r="41" customFormat="false" ht="15" hidden="false" customHeight="false" outlineLevel="0" collapsed="false">
      <c r="D41" s="14" t="str">
        <f aca="false">IF(C41="","",IFERROR(INDEX(Fields!$B$2:$B$50,MATCH(C41,Fields!$A$2:$A$50,0)),"Unknown ID"))</f>
        <v/>
      </c>
      <c r="M41" s="21"/>
    </row>
    <row r="42" customFormat="false" ht="15" hidden="false" customHeight="false" outlineLevel="0" collapsed="false">
      <c r="D42" s="14" t="str">
        <f aca="false">IF(C42="","",IFERROR(INDEX(Fields!$B$2:$B$50,MATCH(C42,Fields!$A$2:$A$50,0)),"Unknown ID"))</f>
        <v/>
      </c>
      <c r="M42" s="21"/>
    </row>
    <row r="43" customFormat="false" ht="15" hidden="false" customHeight="false" outlineLevel="0" collapsed="false">
      <c r="D43" s="14" t="str">
        <f aca="false">IF(C43="","",IFERROR(INDEX(Fields!$B$2:$B$50,MATCH(C43,Fields!$A$2:$A$50,0)),"Unknown ID"))</f>
        <v/>
      </c>
      <c r="M43" s="21"/>
    </row>
    <row r="44" customFormat="false" ht="15" hidden="false" customHeight="false" outlineLevel="0" collapsed="false">
      <c r="D44" s="14" t="str">
        <f aca="false">IF(C44="","",IFERROR(INDEX(Fields!$B$2:$B$50,MATCH(C44,Fields!$A$2:$A$50,0)),"Unknown ID"))</f>
        <v/>
      </c>
      <c r="M44" s="21"/>
    </row>
    <row r="45" customFormat="false" ht="15" hidden="false" customHeight="false" outlineLevel="0" collapsed="false">
      <c r="D45" s="14" t="str">
        <f aca="false">IF(C45="","",IFERROR(INDEX(Fields!$B$2:$B$50,MATCH(C45,Fields!$A$2:$A$50,0)),"Unknown ID"))</f>
        <v/>
      </c>
      <c r="M45" s="21"/>
    </row>
    <row r="46" customFormat="false" ht="15" hidden="false" customHeight="false" outlineLevel="0" collapsed="false">
      <c r="D46" s="14" t="str">
        <f aca="false">IF(C46="","",IFERROR(INDEX(Fields!$B$2:$B$50,MATCH(C46,Fields!$A$2:$A$50,0)),"Unknown ID"))</f>
        <v/>
      </c>
      <c r="M46" s="21"/>
    </row>
    <row r="47" customFormat="false" ht="15" hidden="false" customHeight="false" outlineLevel="0" collapsed="false">
      <c r="D47" s="14" t="str">
        <f aca="false">IF(C47="","",IFERROR(INDEX(Fields!$B$2:$B$50,MATCH(C47,Fields!$A$2:$A$50,0)),"Unknown ID"))</f>
        <v/>
      </c>
      <c r="M47" s="21"/>
    </row>
    <row r="48" customFormat="false" ht="15" hidden="false" customHeight="false" outlineLevel="0" collapsed="false">
      <c r="D48" s="14" t="str">
        <f aca="false">IF(C48="","",IFERROR(INDEX(Fields!$B$2:$B$50,MATCH(C48,Fields!$A$2:$A$50,0)),"Unknown ID"))</f>
        <v/>
      </c>
      <c r="M48" s="21"/>
    </row>
    <row r="49" customFormat="false" ht="15" hidden="false" customHeight="false" outlineLevel="0" collapsed="false">
      <c r="D49" s="14" t="str">
        <f aca="false">IF(C49="","",IFERROR(INDEX(Fields!$B$2:$B$50,MATCH(C49,Fields!$A$2:$A$50,0)),"Unknown ID"))</f>
        <v/>
      </c>
      <c r="M49" s="21"/>
    </row>
    <row r="50" customFormat="false" ht="15" hidden="false" customHeight="false" outlineLevel="0" collapsed="false">
      <c r="D50" s="14" t="str">
        <f aca="false">IF(C50="","",IFERROR(INDEX(Fields!$B$2:$B$50,MATCH(C50,Fields!$A$2:$A$50,0)),"Unknown ID"))</f>
        <v/>
      </c>
      <c r="M50" s="21"/>
    </row>
    <row r="51" customFormat="false" ht="15" hidden="false" customHeight="false" outlineLevel="0" collapsed="false">
      <c r="D51" s="14" t="str">
        <f aca="false">IF(C51="","",IFERROR(INDEX(Fields!$B$2:$B$50,MATCH(C51,Fields!$A$2:$A$50,0)),"Unknown ID"))</f>
        <v/>
      </c>
      <c r="M51" s="21"/>
    </row>
    <row r="52" customFormat="false" ht="15" hidden="false" customHeight="false" outlineLevel="0" collapsed="false">
      <c r="D52" s="14" t="str">
        <f aca="false">IF(C52="","",IFERROR(INDEX(Fields!$B$2:$B$50,MATCH(C52,Fields!$A$2:$A$50,0)),"Unknown ID"))</f>
        <v/>
      </c>
      <c r="M52" s="21"/>
    </row>
    <row r="53" customFormat="false" ht="15" hidden="false" customHeight="false" outlineLevel="0" collapsed="false">
      <c r="D53" s="14" t="str">
        <f aca="false">IF(C53="","",IFERROR(INDEX(Fields!$B$2:$B$50,MATCH(C53,Fields!$A$2:$A$50,0)),"Unknown ID"))</f>
        <v/>
      </c>
      <c r="M53" s="21"/>
    </row>
    <row r="54" customFormat="false" ht="15" hidden="false" customHeight="false" outlineLevel="0" collapsed="false">
      <c r="D54" s="14" t="str">
        <f aca="false">IF(C54="","",IFERROR(INDEX(Fields!$B$2:$B$50,MATCH(C54,Fields!$A$2:$A$50,0)),"Unknown ID"))</f>
        <v/>
      </c>
      <c r="M54" s="21"/>
    </row>
    <row r="55" customFormat="false" ht="15" hidden="false" customHeight="false" outlineLevel="0" collapsed="false">
      <c r="D55" s="14" t="str">
        <f aca="false">IF(C55="","",IFERROR(INDEX(Fields!$B$2:$B$50,MATCH(C55,Fields!$A$2:$A$50,0)),"Unknown ID"))</f>
        <v/>
      </c>
      <c r="M55" s="21"/>
    </row>
    <row r="56" customFormat="false" ht="15" hidden="false" customHeight="false" outlineLevel="0" collapsed="false">
      <c r="D56" s="14" t="str">
        <f aca="false">IF(C56="","",IFERROR(INDEX(Fields!$B$2:$B$50,MATCH(C56,Fields!$A$2:$A$50,0)),"Unknown ID"))</f>
        <v/>
      </c>
      <c r="M56" s="21"/>
    </row>
    <row r="57" customFormat="false" ht="15" hidden="false" customHeight="false" outlineLevel="0" collapsed="false">
      <c r="D57" s="14" t="str">
        <f aca="false">IF(C57="","",IFERROR(INDEX(Fields!$B$2:$B$50,MATCH(C57,Fields!$A$2:$A$50,0)),"Unknown ID"))</f>
        <v/>
      </c>
      <c r="M57" s="21"/>
    </row>
    <row r="58" customFormat="false" ht="15" hidden="false" customHeight="false" outlineLevel="0" collapsed="false">
      <c r="D58" s="14" t="str">
        <f aca="false">IF(C58="","",IFERROR(INDEX(Fields!$B$2:$B$50,MATCH(C58,Fields!$A$2:$A$50,0)),"Unknown ID"))</f>
        <v/>
      </c>
      <c r="M58" s="21"/>
    </row>
    <row r="59" customFormat="false" ht="15" hidden="false" customHeight="false" outlineLevel="0" collapsed="false">
      <c r="D59" s="14" t="str">
        <f aca="false">IF(C59="","",IFERROR(INDEX(Fields!$B$2:$B$50,MATCH(C59,Fields!$A$2:$A$50,0)),"Unknown ID"))</f>
        <v/>
      </c>
      <c r="M59" s="21"/>
    </row>
    <row r="60" customFormat="false" ht="15" hidden="false" customHeight="false" outlineLevel="0" collapsed="false">
      <c r="D60" s="14" t="str">
        <f aca="false">IF(C60="","",IFERROR(INDEX(Fields!$B$2:$B$50,MATCH(C60,Fields!$A$2:$A$50,0)),"Unknown ID"))</f>
        <v/>
      </c>
      <c r="M60" s="21"/>
    </row>
    <row r="61" customFormat="false" ht="15" hidden="false" customHeight="false" outlineLevel="0" collapsed="false">
      <c r="D61" s="14" t="str">
        <f aca="false">IF(C61="","",IFERROR(INDEX(Fields!$B$2:$B$50,MATCH(C61,Fields!$A$2:$A$50,0)),"Unknown ID"))</f>
        <v/>
      </c>
      <c r="M61" s="21"/>
    </row>
    <row r="62" customFormat="false" ht="15" hidden="false" customHeight="false" outlineLevel="0" collapsed="false">
      <c r="D62" s="14" t="str">
        <f aca="false">IF(C62="","",IFERROR(INDEX(Fields!$B$2:$B$50,MATCH(C62,Fields!$A$2:$A$50,0)),"Unknown ID"))</f>
        <v/>
      </c>
      <c r="M62" s="21"/>
    </row>
    <row r="63" customFormat="false" ht="15" hidden="false" customHeight="false" outlineLevel="0" collapsed="false">
      <c r="D63" s="14" t="str">
        <f aca="false">IF(C63="","",IFERROR(INDEX(Fields!$B$2:$B$50,MATCH(C63,Fields!$A$2:$A$50,0)),"Unknown ID"))</f>
        <v/>
      </c>
      <c r="M63" s="21"/>
    </row>
    <row r="64" customFormat="false" ht="15" hidden="false" customHeight="false" outlineLevel="0" collapsed="false">
      <c r="D64" s="14" t="str">
        <f aca="false">IF(C64="","",IFERROR(INDEX(Fields!$B$2:$B$50,MATCH(C64,Fields!$A$2:$A$50,0)),"Unknown ID"))</f>
        <v/>
      </c>
      <c r="M64" s="21"/>
    </row>
    <row r="65" customFormat="false" ht="15" hidden="false" customHeight="false" outlineLevel="0" collapsed="false">
      <c r="D65" s="14" t="str">
        <f aca="false">IF(C65="","",IFERROR(INDEX(Fields!$B$2:$B$50,MATCH(C65,Fields!$A$2:$A$50,0)),"Unknown ID"))</f>
        <v/>
      </c>
      <c r="M65" s="21"/>
    </row>
    <row r="66" customFormat="false" ht="15" hidden="false" customHeight="false" outlineLevel="0" collapsed="false">
      <c r="D66" s="14" t="str">
        <f aca="false">IF(C66="","",IFERROR(INDEX(Fields!$B$2:$B$50,MATCH(C66,Fields!$A$2:$A$50,0)),"Unknown ID"))</f>
        <v/>
      </c>
      <c r="M66" s="21"/>
    </row>
    <row r="67" customFormat="false" ht="15" hidden="false" customHeight="false" outlineLevel="0" collapsed="false">
      <c r="D67" s="14" t="str">
        <f aca="false">IF(C67="","",IFERROR(INDEX(Fields!$B$2:$B$50,MATCH(C67,Fields!$A$2:$A$50,0)),"Unknown ID"))</f>
        <v/>
      </c>
      <c r="M67" s="21"/>
    </row>
    <row r="68" customFormat="false" ht="15" hidden="false" customHeight="false" outlineLevel="0" collapsed="false">
      <c r="D68" s="14" t="str">
        <f aca="false">IF(C68="","",IFERROR(INDEX(Fields!$B$2:$B$50,MATCH(C68,Fields!$A$2:$A$50,0)),"Unknown ID"))</f>
        <v/>
      </c>
      <c r="M68" s="21"/>
    </row>
    <row r="69" customFormat="false" ht="15" hidden="false" customHeight="false" outlineLevel="0" collapsed="false">
      <c r="D69" s="14" t="str">
        <f aca="false">IF(C69="","",IFERROR(INDEX(Fields!$B$2:$B$50,MATCH(C69,Fields!$A$2:$A$50,0)),"Unknown ID"))</f>
        <v/>
      </c>
      <c r="M69" s="21"/>
    </row>
    <row r="70" customFormat="false" ht="15" hidden="false" customHeight="false" outlineLevel="0" collapsed="false">
      <c r="D70" s="14" t="str">
        <f aca="false">IF(C70="","",IFERROR(INDEX(Fields!$B$2:$B$50,MATCH(C70,Fields!$A$2:$A$50,0)),"Unknown ID"))</f>
        <v/>
      </c>
      <c r="M70" s="21"/>
    </row>
    <row r="71" customFormat="false" ht="15" hidden="false" customHeight="false" outlineLevel="0" collapsed="false">
      <c r="D71" s="14" t="str">
        <f aca="false">IF(C71="","",IFERROR(INDEX(Fields!$B$2:$B$50,MATCH(C71,Fields!$A$2:$A$50,0)),"Unknown ID"))</f>
        <v/>
      </c>
      <c r="M71" s="21"/>
    </row>
    <row r="72" customFormat="false" ht="15" hidden="false" customHeight="false" outlineLevel="0" collapsed="false">
      <c r="D72" s="14" t="str">
        <f aca="false">IF(C72="","",IFERROR(INDEX(Fields!$B$2:$B$50,MATCH(C72,Fields!$A$2:$A$50,0)),"Unknown ID"))</f>
        <v/>
      </c>
      <c r="M72" s="21"/>
    </row>
    <row r="73" customFormat="false" ht="15" hidden="false" customHeight="false" outlineLevel="0" collapsed="false">
      <c r="D73" s="14" t="str">
        <f aca="false">IF(C73="","",IFERROR(INDEX(Fields!$B$2:$B$50,MATCH(C73,Fields!$A$2:$A$50,0)),"Unknown ID"))</f>
        <v/>
      </c>
      <c r="M73" s="21"/>
    </row>
    <row r="74" customFormat="false" ht="15" hidden="false" customHeight="false" outlineLevel="0" collapsed="false">
      <c r="D74" s="14" t="str">
        <f aca="false">IF(C74="","",IFERROR(INDEX(Fields!$B$2:$B$50,MATCH(C74,Fields!$A$2:$A$50,0)),"Unknown ID"))</f>
        <v/>
      </c>
      <c r="M74" s="21"/>
    </row>
    <row r="75" customFormat="false" ht="15" hidden="false" customHeight="false" outlineLevel="0" collapsed="false">
      <c r="D75" s="14" t="str">
        <f aca="false">IF(C75="","",IFERROR(INDEX(Fields!$B$2:$B$50,MATCH(C75,Fields!$A$2:$A$50,0)),"Unknown ID"))</f>
        <v/>
      </c>
      <c r="M75" s="21"/>
    </row>
    <row r="76" customFormat="false" ht="15" hidden="false" customHeight="false" outlineLevel="0" collapsed="false">
      <c r="D76" s="14" t="str">
        <f aca="false">IF(C76="","",IFERROR(INDEX(Fields!$B$2:$B$50,MATCH(C76,Fields!$A$2:$A$50,0)),"Unknown ID"))</f>
        <v/>
      </c>
      <c r="M76" s="21"/>
    </row>
    <row r="77" customFormat="false" ht="15" hidden="false" customHeight="false" outlineLevel="0" collapsed="false">
      <c r="D77" s="14" t="str">
        <f aca="false">IF(C77="","",IFERROR(INDEX(Fields!$B$2:$B$50,MATCH(C77,Fields!$A$2:$A$50,0)),"Unknown ID"))</f>
        <v/>
      </c>
      <c r="M77" s="21"/>
    </row>
    <row r="78" customFormat="false" ht="15" hidden="false" customHeight="false" outlineLevel="0" collapsed="false">
      <c r="D78" s="14" t="str">
        <f aca="false">IF(C78="","",IFERROR(INDEX(Fields!$B$2:$B$50,MATCH(C78,Fields!$A$2:$A$50,0)),"Unknown ID"))</f>
        <v/>
      </c>
      <c r="M78" s="21"/>
    </row>
    <row r="79" customFormat="false" ht="15" hidden="false" customHeight="false" outlineLevel="0" collapsed="false">
      <c r="D79" s="14" t="str">
        <f aca="false">IF(C79="","",IFERROR(INDEX(Fields!$B$2:$B$50,MATCH(C79,Fields!$A$2:$A$50,0)),"Unknown ID"))</f>
        <v/>
      </c>
      <c r="M79" s="21"/>
    </row>
    <row r="80" customFormat="false" ht="15" hidden="false" customHeight="false" outlineLevel="0" collapsed="false">
      <c r="D80" s="14" t="str">
        <f aca="false">IF(C80="","",IFERROR(INDEX(Fields!$B$2:$B$50,MATCH(C80,Fields!$A$2:$A$50,0)),"Unknown ID"))</f>
        <v/>
      </c>
      <c r="M80" s="21"/>
    </row>
    <row r="81" customFormat="false" ht="15" hidden="false" customHeight="false" outlineLevel="0" collapsed="false">
      <c r="D81" s="14" t="str">
        <f aca="false">IF(C81="","",IFERROR(INDEX(Fields!$B$2:$B$50,MATCH(C81,Fields!$A$2:$A$50,0)),"Unknown ID"))</f>
        <v/>
      </c>
      <c r="M81" s="21"/>
    </row>
    <row r="82" customFormat="false" ht="15" hidden="false" customHeight="false" outlineLevel="0" collapsed="false">
      <c r="D82" s="14" t="str">
        <f aca="false">IF(C82="","",IFERROR(INDEX(Fields!$B$2:$B$50,MATCH(C82,Fields!$A$2:$A$50,0)),"Unknown ID"))</f>
        <v/>
      </c>
      <c r="M82" s="21"/>
    </row>
    <row r="83" customFormat="false" ht="15" hidden="false" customHeight="false" outlineLevel="0" collapsed="false">
      <c r="D83" s="14" t="str">
        <f aca="false">IF(C83="","",IFERROR(INDEX(Fields!$B$2:$B$50,MATCH(C83,Fields!$A$2:$A$50,0)),"Unknown ID"))</f>
        <v/>
      </c>
      <c r="M83" s="21"/>
    </row>
    <row r="84" customFormat="false" ht="15" hidden="false" customHeight="false" outlineLevel="0" collapsed="false">
      <c r="D84" s="14" t="str">
        <f aca="false">IF(C84="","",IFERROR(INDEX(Fields!$B$2:$B$50,MATCH(C84,Fields!$A$2:$A$50,0)),"Unknown ID"))</f>
        <v/>
      </c>
      <c r="M84" s="21"/>
    </row>
    <row r="85" customFormat="false" ht="15" hidden="false" customHeight="false" outlineLevel="0" collapsed="false">
      <c r="D85" s="14" t="str">
        <f aca="false">IF(C85="","",IFERROR(INDEX(Fields!$B$2:$B$50,MATCH(C85,Fields!$A$2:$A$50,0)),"Unknown ID"))</f>
        <v/>
      </c>
      <c r="M85" s="21"/>
    </row>
    <row r="86" customFormat="false" ht="15" hidden="false" customHeight="false" outlineLevel="0" collapsed="false">
      <c r="D86" s="14" t="str">
        <f aca="false">IF(C86="","",IFERROR(INDEX(Fields!$B$2:$B$50,MATCH(C86,Fields!$A$2:$A$50,0)),"Unknown ID"))</f>
        <v/>
      </c>
      <c r="M86" s="21"/>
    </row>
    <row r="87" customFormat="false" ht="15" hidden="false" customHeight="false" outlineLevel="0" collapsed="false">
      <c r="D87" s="14" t="str">
        <f aca="false">IF(C87="","",IFERROR(INDEX(Fields!$B$2:$B$50,MATCH(C87,Fields!$A$2:$A$50,0)),"Unknown ID"))</f>
        <v/>
      </c>
      <c r="M87" s="21"/>
    </row>
    <row r="88" customFormat="false" ht="15" hidden="false" customHeight="false" outlineLevel="0" collapsed="false">
      <c r="D88" s="14" t="str">
        <f aca="false">IF(C88="","",IFERROR(INDEX(Fields!$B$2:$B$50,MATCH(C88,Fields!$A$2:$A$50,0)),"Unknown ID"))</f>
        <v/>
      </c>
      <c r="M88" s="21"/>
    </row>
    <row r="89" customFormat="false" ht="15" hidden="false" customHeight="false" outlineLevel="0" collapsed="false">
      <c r="D89" s="14" t="str">
        <f aca="false">IF(C89="","",IFERROR(INDEX(Fields!$B$2:$B$50,MATCH(C89,Fields!$A$2:$A$50,0)),"Unknown ID"))</f>
        <v/>
      </c>
      <c r="M89" s="21"/>
    </row>
    <row r="90" customFormat="false" ht="15" hidden="false" customHeight="false" outlineLevel="0" collapsed="false">
      <c r="D90" s="14" t="str">
        <f aca="false">IF(C90="","",IFERROR(INDEX(Fields!$B$2:$B$50,MATCH(C90,Fields!$A$2:$A$50,0)),"Unknown ID"))</f>
        <v/>
      </c>
      <c r="M90" s="21"/>
    </row>
    <row r="91" customFormat="false" ht="15" hidden="false" customHeight="false" outlineLevel="0" collapsed="false">
      <c r="D91" s="14" t="str">
        <f aca="false">IF(C91="","",IFERROR(INDEX(Fields!$B$2:$B$50,MATCH(C91,Fields!$A$2:$A$50,0)),"Unknown ID"))</f>
        <v/>
      </c>
      <c r="M91" s="21"/>
    </row>
    <row r="92" customFormat="false" ht="15" hidden="false" customHeight="false" outlineLevel="0" collapsed="false">
      <c r="D92" s="14" t="str">
        <f aca="false">IF(C92="","",IFERROR(INDEX(Fields!$B$2:$B$50,MATCH(C92,Fields!$A$2:$A$50,0)),"Unknown ID"))</f>
        <v/>
      </c>
      <c r="M92" s="21"/>
    </row>
    <row r="93" customFormat="false" ht="15" hidden="false" customHeight="false" outlineLevel="0" collapsed="false">
      <c r="D93" s="14" t="str">
        <f aca="false">IF(C93="","",IFERROR(INDEX(Fields!$B$2:$B$50,MATCH(C93,Fields!$A$2:$A$50,0)),"Unknown ID"))</f>
        <v/>
      </c>
      <c r="M93" s="21"/>
    </row>
    <row r="94" customFormat="false" ht="15" hidden="false" customHeight="false" outlineLevel="0" collapsed="false">
      <c r="D94" s="14" t="str">
        <f aca="false">IF(C94="","",IFERROR(INDEX(Fields!$B$2:$B$50,MATCH(C94,Fields!$A$2:$A$50,0)),"Unknown ID"))</f>
        <v/>
      </c>
      <c r="M94" s="21"/>
    </row>
    <row r="95" customFormat="false" ht="15" hidden="false" customHeight="false" outlineLevel="0" collapsed="false">
      <c r="D95" s="14" t="str">
        <f aca="false">IF(C95="","",IFERROR(INDEX(Fields!$B$2:$B$50,MATCH(C95,Fields!$A$2:$A$50,0)),"Unknown ID"))</f>
        <v/>
      </c>
      <c r="M95" s="21"/>
    </row>
    <row r="96" customFormat="false" ht="15" hidden="false" customHeight="false" outlineLevel="0" collapsed="false">
      <c r="D96" s="14" t="str">
        <f aca="false">IF(C96="","",IFERROR(INDEX(Fields!$B$2:$B$50,MATCH(C96,Fields!$A$2:$A$50,0)),"Unknown ID"))</f>
        <v/>
      </c>
      <c r="M96" s="21"/>
    </row>
    <row r="97" customFormat="false" ht="15" hidden="false" customHeight="false" outlineLevel="0" collapsed="false">
      <c r="D97" s="14" t="str">
        <f aca="false">IF(C97="","",IFERROR(INDEX(Fields!$B$2:$B$50,MATCH(C97,Fields!$A$2:$A$50,0)),"Unknown ID"))</f>
        <v/>
      </c>
      <c r="M97" s="21"/>
    </row>
    <row r="98" customFormat="false" ht="15" hidden="false" customHeight="false" outlineLevel="0" collapsed="false">
      <c r="D98" s="14" t="str">
        <f aca="false">IF(C98="","",IFERROR(INDEX(Fields!$B$2:$B$50,MATCH(C98,Fields!$A$2:$A$50,0)),"Unknown ID"))</f>
        <v/>
      </c>
      <c r="M98" s="21"/>
    </row>
    <row r="99" customFormat="false" ht="15" hidden="false" customHeight="false" outlineLevel="0" collapsed="false">
      <c r="D99" s="14" t="str">
        <f aca="false">IF(C99="","",IFERROR(INDEX(Fields!$B$2:$B$50,MATCH(C99,Fields!$A$2:$A$50,0)),"Unknown ID"))</f>
        <v/>
      </c>
      <c r="M99" s="21"/>
    </row>
    <row r="100" customFormat="false" ht="15" hidden="false" customHeight="false" outlineLevel="0" collapsed="false">
      <c r="D100" s="14" t="str">
        <f aca="false">IF(C100="","",IFERROR(INDEX(Fields!$B$2:$B$50,MATCH(C100,Fields!$A$2:$A$50,0)),"Unknown ID"))</f>
        <v/>
      </c>
      <c r="M100" s="21"/>
    </row>
    <row r="101" customFormat="false" ht="15" hidden="false" customHeight="false" outlineLevel="0" collapsed="false">
      <c r="D101" s="14" t="str">
        <f aca="false">IF(C101="","",IFERROR(INDEX(Fields!$B$2:$B$50,MATCH(C101,Fields!$A$2:$A$50,0)),"Unknown ID"))</f>
        <v/>
      </c>
      <c r="M101" s="21"/>
    </row>
    <row r="102" customFormat="false" ht="15" hidden="false" customHeight="false" outlineLevel="0" collapsed="false">
      <c r="D102" s="14" t="str">
        <f aca="false">IF(C102="","",IFERROR(INDEX(Fields!$B$2:$B$50,MATCH(C102,Fields!$A$2:$A$50,0)),"Unknown ID"))</f>
        <v/>
      </c>
      <c r="M102" s="21"/>
    </row>
    <row r="103" customFormat="false" ht="15" hidden="false" customHeight="false" outlineLevel="0" collapsed="false">
      <c r="D103" s="14" t="str">
        <f aca="false">IF(C103="","",IFERROR(INDEX(Fields!$B$2:$B$50,MATCH(C103,Fields!$A$2:$A$50,0)),"Unknown ID"))</f>
        <v/>
      </c>
      <c r="M103" s="21"/>
    </row>
    <row r="104" customFormat="false" ht="15" hidden="false" customHeight="false" outlineLevel="0" collapsed="false">
      <c r="D104" s="14" t="str">
        <f aca="false">IF(C104="","",IFERROR(INDEX(Fields!$B$2:$B$50,MATCH(C104,Fields!$A$2:$A$50,0)),"Unknown ID"))</f>
        <v/>
      </c>
      <c r="M104" s="21"/>
    </row>
    <row r="105" customFormat="false" ht="15" hidden="false" customHeight="false" outlineLevel="0" collapsed="false">
      <c r="D105" s="14" t="str">
        <f aca="false">IF(C105="","",IFERROR(INDEX(Fields!$B$2:$B$50,MATCH(C105,Fields!$A$2:$A$50,0)),"Unknown ID"))</f>
        <v/>
      </c>
      <c r="M105" s="21"/>
    </row>
    <row r="106" customFormat="false" ht="15" hidden="false" customHeight="false" outlineLevel="0" collapsed="false">
      <c r="D106" s="14" t="str">
        <f aca="false">IF(C106="","",IFERROR(INDEX(Fields!$B$2:$B$50,MATCH(C106,Fields!$A$2:$A$50,0)),"Unknown ID"))</f>
        <v/>
      </c>
      <c r="M106" s="21"/>
    </row>
    <row r="107" customFormat="false" ht="15" hidden="false" customHeight="false" outlineLevel="0" collapsed="false">
      <c r="D107" s="14" t="str">
        <f aca="false">IF(C107="","",IFERROR(INDEX(Fields!$B$2:$B$50,MATCH(C107,Fields!$A$2:$A$50,0)),"Unknown ID"))</f>
        <v/>
      </c>
      <c r="M107" s="21"/>
    </row>
    <row r="108" customFormat="false" ht="15" hidden="false" customHeight="false" outlineLevel="0" collapsed="false">
      <c r="D108" s="14" t="str">
        <f aca="false">IF(C108="","",IFERROR(INDEX(Fields!$B$2:$B$50,MATCH(C108,Fields!$A$2:$A$50,0)),"Unknown ID"))</f>
        <v/>
      </c>
      <c r="M108" s="21"/>
    </row>
    <row r="109" customFormat="false" ht="15" hidden="false" customHeight="false" outlineLevel="0" collapsed="false">
      <c r="D109" s="14" t="str">
        <f aca="false">IF(C109="","",IFERROR(INDEX(Fields!$B$2:$B$50,MATCH(C109,Fields!$A$2:$A$50,0)),"Unknown ID"))</f>
        <v/>
      </c>
      <c r="M109" s="21"/>
    </row>
    <row r="110" customFormat="false" ht="15" hidden="false" customHeight="false" outlineLevel="0" collapsed="false">
      <c r="D110" s="14" t="str">
        <f aca="false">IF(C110="","",IFERROR(INDEX(Fields!$B$2:$B$50,MATCH(C110,Fields!$A$2:$A$50,0)),"Unknown ID"))</f>
        <v/>
      </c>
      <c r="M110" s="21"/>
    </row>
    <row r="111" customFormat="false" ht="15" hidden="false" customHeight="false" outlineLevel="0" collapsed="false">
      <c r="D111" s="14" t="str">
        <f aca="false">IF(C111="","",IFERROR(INDEX(Fields!$B$2:$B$50,MATCH(C111,Fields!$A$2:$A$50,0)),"Unknown ID"))</f>
        <v/>
      </c>
      <c r="M111" s="21"/>
    </row>
    <row r="112" customFormat="false" ht="15" hidden="false" customHeight="false" outlineLevel="0" collapsed="false">
      <c r="D112" s="14" t="str">
        <f aca="false">IF(C112="","",IFERROR(INDEX(Fields!$B$2:$B$50,MATCH(C112,Fields!$A$2:$A$50,0)),"Unknown ID"))</f>
        <v/>
      </c>
      <c r="M112" s="21"/>
    </row>
    <row r="113" customFormat="false" ht="15" hidden="false" customHeight="false" outlineLevel="0" collapsed="false">
      <c r="D113" s="14" t="str">
        <f aca="false">IF(C113="","",IFERROR(INDEX(Fields!$B$2:$B$50,MATCH(C113,Fields!$A$2:$A$50,0)),"Unknown ID"))</f>
        <v/>
      </c>
      <c r="M113" s="21"/>
    </row>
    <row r="114" customFormat="false" ht="15" hidden="false" customHeight="false" outlineLevel="0" collapsed="false">
      <c r="D114" s="14" t="str">
        <f aca="false">IF(C114="","",IFERROR(INDEX(Fields!$B$2:$B$50,MATCH(C114,Fields!$A$2:$A$50,0)),"Unknown ID"))</f>
        <v/>
      </c>
      <c r="M114" s="21"/>
    </row>
    <row r="115" customFormat="false" ht="15" hidden="false" customHeight="false" outlineLevel="0" collapsed="false">
      <c r="D115" s="14" t="str">
        <f aca="false">IF(C115="","",IFERROR(INDEX(Fields!$B$2:$B$50,MATCH(C115,Fields!$A$2:$A$50,0)),"Unknown ID"))</f>
        <v/>
      </c>
      <c r="M115" s="21"/>
    </row>
    <row r="116" customFormat="false" ht="15" hidden="false" customHeight="false" outlineLevel="0" collapsed="false">
      <c r="D116" s="14" t="str">
        <f aca="false">IF(C116="","",IFERROR(INDEX(Fields!$B$2:$B$50,MATCH(C116,Fields!$A$2:$A$50,0)),"Unknown ID"))</f>
        <v/>
      </c>
      <c r="M116" s="21"/>
    </row>
    <row r="117" customFormat="false" ht="15" hidden="false" customHeight="false" outlineLevel="0" collapsed="false">
      <c r="D117" s="14" t="str">
        <f aca="false">IF(C117="","",IFERROR(INDEX(Fields!$B$2:$B$50,MATCH(C117,Fields!$A$2:$A$50,0)),"Unknown ID"))</f>
        <v/>
      </c>
      <c r="M117" s="21"/>
    </row>
    <row r="118" customFormat="false" ht="15" hidden="false" customHeight="false" outlineLevel="0" collapsed="false">
      <c r="D118" s="14" t="str">
        <f aca="false">IF(C118="","",IFERROR(INDEX(Fields!$B$2:$B$50,MATCH(C118,Fields!$A$2:$A$50,0)),"Unknown ID"))</f>
        <v/>
      </c>
      <c r="M118" s="21"/>
    </row>
    <row r="119" customFormat="false" ht="15" hidden="false" customHeight="false" outlineLevel="0" collapsed="false">
      <c r="D119" s="14" t="str">
        <f aca="false">IF(C119="","",IFERROR(INDEX(Fields!$B$2:$B$50,MATCH(C119,Fields!$A$2:$A$50,0)),"Unknown ID"))</f>
        <v/>
      </c>
      <c r="M119" s="21"/>
    </row>
    <row r="120" customFormat="false" ht="15" hidden="false" customHeight="false" outlineLevel="0" collapsed="false">
      <c r="D120" s="14" t="str">
        <f aca="false">IF(C120="","",IFERROR(INDEX(Fields!$B$2:$B$50,MATCH(C120,Fields!$A$2:$A$50,0)),"Unknown ID"))</f>
        <v/>
      </c>
      <c r="M120" s="21"/>
    </row>
    <row r="121" customFormat="false" ht="15" hidden="false" customHeight="false" outlineLevel="0" collapsed="false">
      <c r="D121" s="14" t="str">
        <f aca="false">IF(C121="","",IFERROR(INDEX(Fields!$B$2:$B$50,MATCH(C121,Fields!$A$2:$A$50,0)),"Unknown ID"))</f>
        <v/>
      </c>
      <c r="M121" s="21"/>
    </row>
    <row r="122" customFormat="false" ht="15" hidden="false" customHeight="false" outlineLevel="0" collapsed="false">
      <c r="D122" s="14" t="str">
        <f aca="false">IF(C122="","",IFERROR(INDEX(Fields!$B$2:$B$50,MATCH(C122,Fields!$A$2:$A$50,0)),"Unknown ID"))</f>
        <v/>
      </c>
      <c r="M122" s="21"/>
    </row>
    <row r="123" customFormat="false" ht="15" hidden="false" customHeight="false" outlineLevel="0" collapsed="false">
      <c r="D123" s="14" t="str">
        <f aca="false">IF(C123="","",IFERROR(INDEX(Fields!$B$2:$B$50,MATCH(C123,Fields!$A$2:$A$50,0)),"Unknown ID"))</f>
        <v/>
      </c>
      <c r="M123" s="21"/>
    </row>
    <row r="124" customFormat="false" ht="15" hidden="false" customHeight="false" outlineLevel="0" collapsed="false">
      <c r="D124" s="14" t="str">
        <f aca="false">IF(C124="","",IFERROR(INDEX(Fields!$B$2:$B$50,MATCH(C124,Fields!$A$2:$A$50,0)),"Unknown ID"))</f>
        <v/>
      </c>
      <c r="M124" s="21"/>
    </row>
    <row r="125" customFormat="false" ht="15" hidden="false" customHeight="false" outlineLevel="0" collapsed="false">
      <c r="D125" s="14" t="str">
        <f aca="false">IF(C125="","",IFERROR(INDEX(Fields!$B$2:$B$50,MATCH(C125,Fields!$A$2:$A$50,0)),"Unknown ID"))</f>
        <v/>
      </c>
      <c r="M125" s="21"/>
    </row>
    <row r="126" customFormat="false" ht="15" hidden="false" customHeight="false" outlineLevel="0" collapsed="false">
      <c r="D126" s="14" t="str">
        <f aca="false">IF(C126="","",IFERROR(INDEX(Fields!$B$2:$B$50,MATCH(C126,Fields!$A$2:$A$50,0)),"Unknown ID"))</f>
        <v/>
      </c>
      <c r="M126" s="21"/>
    </row>
    <row r="127" customFormat="false" ht="15" hidden="false" customHeight="false" outlineLevel="0" collapsed="false">
      <c r="D127" s="14" t="str">
        <f aca="false">IF(C127="","",IFERROR(INDEX(Fields!$B$2:$B$50,MATCH(C127,Fields!$A$2:$A$50,0)),"Unknown ID"))</f>
        <v/>
      </c>
      <c r="M127" s="21"/>
    </row>
    <row r="128" customFormat="false" ht="15" hidden="false" customHeight="false" outlineLevel="0" collapsed="false">
      <c r="D128" s="14" t="str">
        <f aca="false">IF(C128="","",IFERROR(INDEX(Fields!$B$2:$B$50,MATCH(C128,Fields!$A$2:$A$50,0)),"Unknown ID"))</f>
        <v/>
      </c>
      <c r="M128" s="21"/>
    </row>
    <row r="129" customFormat="false" ht="15" hidden="false" customHeight="false" outlineLevel="0" collapsed="false">
      <c r="D129" s="14" t="str">
        <f aca="false">IF(C129="","",IFERROR(INDEX(Fields!$B$2:$B$50,MATCH(C129,Fields!$A$2:$A$50,0)),"Unknown ID"))</f>
        <v/>
      </c>
      <c r="M129" s="21"/>
    </row>
    <row r="130" customFormat="false" ht="15" hidden="false" customHeight="false" outlineLevel="0" collapsed="false">
      <c r="D130" s="14" t="str">
        <f aca="false">IF(C130="","",IFERROR(INDEX(Fields!$B$2:$B$50,MATCH(C130,Fields!$A$2:$A$50,0)),"Unknown ID"))</f>
        <v/>
      </c>
      <c r="M130" s="21"/>
    </row>
    <row r="131" customFormat="false" ht="15" hidden="false" customHeight="false" outlineLevel="0" collapsed="false">
      <c r="D131" s="14" t="str">
        <f aca="false">IF(C131="","",IFERROR(INDEX(Fields!$B$2:$B$50,MATCH(C131,Fields!$A$2:$A$50,0)),"Unknown ID"))</f>
        <v/>
      </c>
      <c r="M131" s="21"/>
    </row>
    <row r="132" customFormat="false" ht="15" hidden="false" customHeight="false" outlineLevel="0" collapsed="false">
      <c r="D132" s="14" t="str">
        <f aca="false">IF(C132="","",IFERROR(INDEX(Fields!$B$2:$B$50,MATCH(C132,Fields!$A$2:$A$50,0)),"Unknown ID"))</f>
        <v/>
      </c>
      <c r="M132" s="21"/>
    </row>
    <row r="133" customFormat="false" ht="15" hidden="false" customHeight="false" outlineLevel="0" collapsed="false">
      <c r="D133" s="14" t="str">
        <f aca="false">IF(C133="","",IFERROR(INDEX(Fields!$B$2:$B$50,MATCH(C133,Fields!$A$2:$A$50,0)),"Unknown ID"))</f>
        <v/>
      </c>
      <c r="M133" s="21"/>
    </row>
    <row r="134" customFormat="false" ht="15" hidden="false" customHeight="false" outlineLevel="0" collapsed="false">
      <c r="D134" s="14" t="str">
        <f aca="false">IF(C134="","",IFERROR(INDEX(Fields!$B$2:$B$50,MATCH(C134,Fields!$A$2:$A$50,0)),"Unknown ID"))</f>
        <v/>
      </c>
      <c r="M134" s="21"/>
    </row>
    <row r="135" customFormat="false" ht="15" hidden="false" customHeight="false" outlineLevel="0" collapsed="false">
      <c r="D135" s="14" t="str">
        <f aca="false">IF(C135="","",IFERROR(INDEX(Fields!$B$2:$B$50,MATCH(C135,Fields!$A$2:$A$50,0)),"Unknown ID"))</f>
        <v/>
      </c>
      <c r="M135" s="21"/>
    </row>
    <row r="136" customFormat="false" ht="15" hidden="false" customHeight="false" outlineLevel="0" collapsed="false">
      <c r="D136" s="14" t="str">
        <f aca="false">IF(C136="","",IFERROR(INDEX(Fields!$B$2:$B$50,MATCH(C136,Fields!$A$2:$A$50,0)),"Unknown ID"))</f>
        <v/>
      </c>
      <c r="M136" s="21"/>
    </row>
    <row r="137" customFormat="false" ht="15" hidden="false" customHeight="false" outlineLevel="0" collapsed="false">
      <c r="D137" s="14" t="str">
        <f aca="false">IF(C137="","",IFERROR(INDEX(Fields!$B$2:$B$50,MATCH(C137,Fields!$A$2:$A$50,0)),"Unknown ID"))</f>
        <v/>
      </c>
      <c r="M137" s="21"/>
    </row>
    <row r="138" customFormat="false" ht="15" hidden="false" customHeight="false" outlineLevel="0" collapsed="false">
      <c r="D138" s="14" t="str">
        <f aca="false">IF(C138="","",IFERROR(INDEX(Fields!$B$2:$B$50,MATCH(C138,Fields!$A$2:$A$50,0)),"Unknown ID"))</f>
        <v/>
      </c>
      <c r="M138" s="21"/>
    </row>
    <row r="139" customFormat="false" ht="15" hidden="false" customHeight="false" outlineLevel="0" collapsed="false">
      <c r="D139" s="14" t="str">
        <f aca="false">IF(C139="","",IFERROR(INDEX(Fields!$B$2:$B$50,MATCH(C139,Fields!$A$2:$A$50,0)),"Unknown ID"))</f>
        <v/>
      </c>
      <c r="M139" s="21"/>
    </row>
    <row r="140" customFormat="false" ht="15" hidden="false" customHeight="false" outlineLevel="0" collapsed="false">
      <c r="D140" s="14" t="str">
        <f aca="false">IF(C140="","",IFERROR(INDEX(Fields!$B$2:$B$50,MATCH(C140,Fields!$A$2:$A$50,0)),"Unknown ID"))</f>
        <v/>
      </c>
      <c r="M140" s="21"/>
    </row>
    <row r="141" customFormat="false" ht="15" hidden="false" customHeight="false" outlineLevel="0" collapsed="false">
      <c r="D141" s="14" t="str">
        <f aca="false">IF(C141="","",IFERROR(INDEX(Fields!$B$2:$B$50,MATCH(C141,Fields!$A$2:$A$50,0)),"Unknown ID"))</f>
        <v/>
      </c>
      <c r="M141" s="21"/>
    </row>
    <row r="142" customFormat="false" ht="15" hidden="false" customHeight="false" outlineLevel="0" collapsed="false">
      <c r="D142" s="14" t="str">
        <f aca="false">IF(C142="","",IFERROR(INDEX(Fields!$B$2:$B$50,MATCH(C142,Fields!$A$2:$A$50,0)),"Unknown ID"))</f>
        <v/>
      </c>
      <c r="M142" s="21"/>
    </row>
    <row r="143" customFormat="false" ht="15" hidden="false" customHeight="false" outlineLevel="0" collapsed="false">
      <c r="D143" s="14" t="str">
        <f aca="false">IF(C143="","",IFERROR(INDEX(Fields!$B$2:$B$50,MATCH(C143,Fields!$A$2:$A$50,0)),"Unknown ID"))</f>
        <v/>
      </c>
      <c r="M143" s="21"/>
    </row>
    <row r="144" customFormat="false" ht="15" hidden="false" customHeight="false" outlineLevel="0" collapsed="false">
      <c r="D144" s="14" t="str">
        <f aca="false">IF(C144="","",IFERROR(INDEX(Fields!$B$2:$B$50,MATCH(C144,Fields!$A$2:$A$50,0)),"Unknown ID"))</f>
        <v/>
      </c>
      <c r="M144" s="21"/>
    </row>
    <row r="145" customFormat="false" ht="15" hidden="false" customHeight="false" outlineLevel="0" collapsed="false">
      <c r="D145" s="14" t="str">
        <f aca="false">IF(C145="","",IFERROR(INDEX(Fields!$B$2:$B$50,MATCH(C145,Fields!$A$2:$A$50,0)),"Unknown ID"))</f>
        <v/>
      </c>
      <c r="M145" s="21"/>
    </row>
    <row r="146" customFormat="false" ht="15" hidden="false" customHeight="false" outlineLevel="0" collapsed="false">
      <c r="D146" s="14" t="str">
        <f aca="false">IF(C146="","",IFERROR(INDEX(Fields!$B$2:$B$50,MATCH(C146,Fields!$A$2:$A$50,0)),"Unknown ID"))</f>
        <v/>
      </c>
      <c r="M146" s="21"/>
    </row>
    <row r="147" customFormat="false" ht="15" hidden="false" customHeight="false" outlineLevel="0" collapsed="false">
      <c r="D147" s="14" t="str">
        <f aca="false">IF(C147="","",IFERROR(INDEX(Fields!$B$2:$B$50,MATCH(C147,Fields!$A$2:$A$50,0)),"Unknown ID"))</f>
        <v/>
      </c>
      <c r="M147" s="21"/>
    </row>
    <row r="148" customFormat="false" ht="15" hidden="false" customHeight="false" outlineLevel="0" collapsed="false">
      <c r="D148" s="14" t="str">
        <f aca="false">IF(C148="","",IFERROR(INDEX(Fields!$B$2:$B$50,MATCH(C148,Fields!$A$2:$A$50,0)),"Unknown ID"))</f>
        <v/>
      </c>
      <c r="M148" s="21"/>
    </row>
    <row r="149" customFormat="false" ht="15" hidden="false" customHeight="false" outlineLevel="0" collapsed="false">
      <c r="D149" s="14" t="str">
        <f aca="false">IF(C149="","",IFERROR(INDEX(Fields!$B$2:$B$50,MATCH(C149,Fields!$A$2:$A$50,0)),"Unknown ID"))</f>
        <v/>
      </c>
      <c r="M149" s="21"/>
    </row>
    <row r="150" customFormat="false" ht="15" hidden="false" customHeight="false" outlineLevel="0" collapsed="false">
      <c r="D150" s="14" t="str">
        <f aca="false">IF(C150="","",IFERROR(INDEX(Fields!$B$2:$B$50,MATCH(C150,Fields!$A$2:$A$50,0)),"Unknown ID"))</f>
        <v/>
      </c>
      <c r="M150" s="21"/>
    </row>
    <row r="151" customFormat="false" ht="15" hidden="false" customHeight="false" outlineLevel="0" collapsed="false">
      <c r="D151" s="14" t="str">
        <f aca="false">IF(C151="","",IFERROR(INDEX(Fields!$B$2:$B$50,MATCH(C151,Fields!$A$2:$A$50,0)),"Unknown ID"))</f>
        <v/>
      </c>
      <c r="M151" s="21"/>
    </row>
    <row r="152" customFormat="false" ht="15" hidden="false" customHeight="false" outlineLevel="0" collapsed="false">
      <c r="D152" s="14" t="str">
        <f aca="false">IF(C152="","",IFERROR(INDEX(Fields!$B$2:$B$50,MATCH(C152,Fields!$A$2:$A$50,0)),"Unknown ID"))</f>
        <v/>
      </c>
      <c r="M152" s="21"/>
    </row>
    <row r="153" customFormat="false" ht="15" hidden="false" customHeight="false" outlineLevel="0" collapsed="false">
      <c r="D153" s="14" t="str">
        <f aca="false">IF(C153="","",IFERROR(INDEX(Fields!$B$2:$B$50,MATCH(C153,Fields!$A$2:$A$50,0)),"Unknown ID"))</f>
        <v/>
      </c>
      <c r="M153" s="21"/>
    </row>
    <row r="154" customFormat="false" ht="15" hidden="false" customHeight="false" outlineLevel="0" collapsed="false">
      <c r="D154" s="14" t="str">
        <f aca="false">IF(C154="","",IFERROR(INDEX(Fields!$B$2:$B$50,MATCH(C154,Fields!$A$2:$A$50,0)),"Unknown ID"))</f>
        <v/>
      </c>
      <c r="M154" s="21"/>
    </row>
    <row r="155" customFormat="false" ht="15" hidden="false" customHeight="false" outlineLevel="0" collapsed="false">
      <c r="D155" s="14" t="str">
        <f aca="false">IF(C155="","",IFERROR(INDEX(Fields!$B$2:$B$50,MATCH(C155,Fields!$A$2:$A$50,0)),"Unknown ID"))</f>
        <v/>
      </c>
      <c r="M155" s="21"/>
    </row>
    <row r="156" customFormat="false" ht="15" hidden="false" customHeight="false" outlineLevel="0" collapsed="false">
      <c r="D156" s="14" t="str">
        <f aca="false">IF(C156="","",IFERROR(INDEX(Fields!$B$2:$B$50,MATCH(C156,Fields!$A$2:$A$50,0)),"Unknown ID"))</f>
        <v/>
      </c>
      <c r="M156" s="21"/>
    </row>
    <row r="157" customFormat="false" ht="15" hidden="false" customHeight="false" outlineLevel="0" collapsed="false">
      <c r="D157" s="14" t="str">
        <f aca="false">IF(C157="","",IFERROR(INDEX(Fields!$B$2:$B$50,MATCH(C157,Fields!$A$2:$A$50,0)),"Unknown ID"))</f>
        <v/>
      </c>
      <c r="M157" s="21"/>
    </row>
    <row r="158" customFormat="false" ht="15" hidden="false" customHeight="false" outlineLevel="0" collapsed="false">
      <c r="D158" s="14" t="str">
        <f aca="false">IF(C158="","",IFERROR(INDEX(Fields!$B$2:$B$50,MATCH(C158,Fields!$A$2:$A$50,0)),"Unknown ID"))</f>
        <v/>
      </c>
      <c r="M158" s="21"/>
    </row>
    <row r="159" customFormat="false" ht="15" hidden="false" customHeight="false" outlineLevel="0" collapsed="false">
      <c r="D159" s="14" t="str">
        <f aca="false">IF(C159="","",IFERROR(INDEX(Fields!$B$2:$B$50,MATCH(C159,Fields!$A$2:$A$50,0)),"Unknown ID"))</f>
        <v/>
      </c>
      <c r="M159" s="21"/>
    </row>
    <row r="160" customFormat="false" ht="15" hidden="false" customHeight="false" outlineLevel="0" collapsed="false">
      <c r="D160" s="14" t="str">
        <f aca="false">IF(C160="","",IFERROR(INDEX(Fields!$B$2:$B$50,MATCH(C160,Fields!$A$2:$A$50,0)),"Unknown ID"))</f>
        <v/>
      </c>
      <c r="M160" s="21"/>
    </row>
    <row r="161" customFormat="false" ht="15" hidden="false" customHeight="false" outlineLevel="0" collapsed="false">
      <c r="D161" s="14" t="str">
        <f aca="false">IF(C161="","",IFERROR(INDEX(Fields!$B$2:$B$50,MATCH(C161,Fields!$A$2:$A$50,0)),"Unknown ID"))</f>
        <v/>
      </c>
      <c r="M161" s="21"/>
    </row>
    <row r="162" customFormat="false" ht="15" hidden="false" customHeight="false" outlineLevel="0" collapsed="false">
      <c r="D162" s="14" t="str">
        <f aca="false">IF(C162="","",IFERROR(INDEX(Fields!$B$2:$B$50,MATCH(C162,Fields!$A$2:$A$50,0)),"Unknown ID"))</f>
        <v/>
      </c>
      <c r="M162" s="21"/>
    </row>
    <row r="163" customFormat="false" ht="15" hidden="false" customHeight="false" outlineLevel="0" collapsed="false">
      <c r="D163" s="14" t="str">
        <f aca="false">IF(C163="","",IFERROR(INDEX(Fields!$B$2:$B$50,MATCH(C163,Fields!$A$2:$A$50,0)),"Unknown ID"))</f>
        <v/>
      </c>
      <c r="M163" s="21"/>
    </row>
    <row r="164" customFormat="false" ht="15" hidden="false" customHeight="false" outlineLevel="0" collapsed="false">
      <c r="D164" s="14" t="str">
        <f aca="false">IF(C164="","",IFERROR(INDEX(Fields!$B$2:$B$50,MATCH(C164,Fields!$A$2:$A$50,0)),"Unknown ID"))</f>
        <v/>
      </c>
      <c r="M164" s="21"/>
    </row>
    <row r="165" customFormat="false" ht="15" hidden="false" customHeight="false" outlineLevel="0" collapsed="false">
      <c r="D165" s="14" t="str">
        <f aca="false">IF(C165="","",IFERROR(INDEX(Fields!$B$2:$B$50,MATCH(C165,Fields!$A$2:$A$50,0)),"Unknown ID"))</f>
        <v/>
      </c>
      <c r="M165" s="21"/>
    </row>
    <row r="166" customFormat="false" ht="15" hidden="false" customHeight="false" outlineLevel="0" collapsed="false">
      <c r="D166" s="14" t="str">
        <f aca="false">IF(C166="","",IFERROR(INDEX(Fields!$B$2:$B$50,MATCH(C166,Fields!$A$2:$A$50,0)),"Unknown ID"))</f>
        <v/>
      </c>
      <c r="M166" s="21"/>
    </row>
    <row r="167" customFormat="false" ht="15" hidden="false" customHeight="false" outlineLevel="0" collapsed="false">
      <c r="D167" s="14" t="str">
        <f aca="false">IF(C167="","",IFERROR(INDEX(Fields!$B$2:$B$50,MATCH(C167,Fields!$A$2:$A$50,0)),"Unknown ID"))</f>
        <v/>
      </c>
      <c r="M167" s="21"/>
    </row>
    <row r="168" customFormat="false" ht="15" hidden="false" customHeight="false" outlineLevel="0" collapsed="false">
      <c r="D168" s="14" t="str">
        <f aca="false">IF(C168="","",IFERROR(INDEX(Fields!$B$2:$B$50,MATCH(C168,Fields!$A$2:$A$50,0)),"Unknown ID"))</f>
        <v/>
      </c>
      <c r="M168" s="21"/>
    </row>
    <row r="169" customFormat="false" ht="15" hidden="false" customHeight="false" outlineLevel="0" collapsed="false">
      <c r="D169" s="14" t="str">
        <f aca="false">IF(C169="","",IFERROR(INDEX(Fields!$B$2:$B$50,MATCH(C169,Fields!$A$2:$A$50,0)),"Unknown ID"))</f>
        <v/>
      </c>
      <c r="M169" s="21"/>
    </row>
    <row r="170" customFormat="false" ht="15" hidden="false" customHeight="false" outlineLevel="0" collapsed="false">
      <c r="D170" s="14" t="str">
        <f aca="false">IF(C170="","",IFERROR(INDEX(Fields!$B$2:$B$50,MATCH(C170,Fields!$A$2:$A$50,0)),"Unknown ID"))</f>
        <v/>
      </c>
      <c r="M170" s="21"/>
    </row>
    <row r="171" customFormat="false" ht="15" hidden="false" customHeight="false" outlineLevel="0" collapsed="false">
      <c r="D171" s="14" t="str">
        <f aca="false">IF(C171="","",IFERROR(INDEX(Fields!$B$2:$B$50,MATCH(C171,Fields!$A$2:$A$50,0)),"Unknown ID"))</f>
        <v/>
      </c>
      <c r="M171" s="21"/>
    </row>
    <row r="172" customFormat="false" ht="15" hidden="false" customHeight="false" outlineLevel="0" collapsed="false">
      <c r="D172" s="14" t="str">
        <f aca="false">IF(C172="","",IFERROR(INDEX(Fields!$B$2:$B$50,MATCH(C172,Fields!$A$2:$A$50,0)),"Unknown ID"))</f>
        <v/>
      </c>
      <c r="M172" s="21"/>
    </row>
    <row r="173" customFormat="false" ht="15" hidden="false" customHeight="false" outlineLevel="0" collapsed="false">
      <c r="D173" s="14" t="str">
        <f aca="false">IF(C173="","",IFERROR(INDEX(Fields!$B$2:$B$50,MATCH(C173,Fields!$A$2:$A$50,0)),"Unknown ID"))</f>
        <v/>
      </c>
      <c r="M173" s="21"/>
    </row>
    <row r="174" customFormat="false" ht="15" hidden="false" customHeight="false" outlineLevel="0" collapsed="false">
      <c r="D174" s="14" t="str">
        <f aca="false">IF(C174="","",IFERROR(INDEX(Fields!$B$2:$B$50,MATCH(C174,Fields!$A$2:$A$50,0)),"Unknown ID"))</f>
        <v/>
      </c>
      <c r="M174" s="21"/>
    </row>
    <row r="175" customFormat="false" ht="15" hidden="false" customHeight="false" outlineLevel="0" collapsed="false">
      <c r="D175" s="14" t="str">
        <f aca="false">IF(C175="","",IFERROR(INDEX(Fields!$B$2:$B$50,MATCH(C175,Fields!$A$2:$A$50,0)),"Unknown ID"))</f>
        <v/>
      </c>
      <c r="M175" s="21"/>
    </row>
    <row r="176" customFormat="false" ht="15" hidden="false" customHeight="false" outlineLevel="0" collapsed="false">
      <c r="D176" s="14" t="str">
        <f aca="false">IF(C176="","",IFERROR(INDEX(Fields!$B$2:$B$50,MATCH(C176,Fields!$A$2:$A$50,0)),"Unknown ID"))</f>
        <v/>
      </c>
      <c r="M176" s="21"/>
    </row>
    <row r="177" customFormat="false" ht="15" hidden="false" customHeight="false" outlineLevel="0" collapsed="false">
      <c r="D177" s="14" t="str">
        <f aca="false">IF(C177="","",IFERROR(INDEX(Fields!$B$2:$B$50,MATCH(C177,Fields!$A$2:$A$50,0)),"Unknown ID"))</f>
        <v/>
      </c>
      <c r="M177" s="21"/>
    </row>
    <row r="178" customFormat="false" ht="15" hidden="false" customHeight="false" outlineLevel="0" collapsed="false">
      <c r="D178" s="14" t="str">
        <f aca="false">IF(C178="","",IFERROR(INDEX(Fields!$B$2:$B$50,MATCH(C178,Fields!$A$2:$A$50,0)),"Unknown ID"))</f>
        <v/>
      </c>
      <c r="M178" s="21"/>
    </row>
    <row r="179" customFormat="false" ht="15" hidden="false" customHeight="false" outlineLevel="0" collapsed="false">
      <c r="D179" s="14" t="str">
        <f aca="false">IF(C179="","",IFERROR(INDEX(Fields!$B$2:$B$50,MATCH(C179,Fields!$A$2:$A$50,0)),"Unknown ID"))</f>
        <v/>
      </c>
      <c r="M179" s="21"/>
    </row>
    <row r="180" customFormat="false" ht="15" hidden="false" customHeight="false" outlineLevel="0" collapsed="false">
      <c r="D180" s="14" t="str">
        <f aca="false">IF(C180="","",IFERROR(INDEX(Fields!$B$2:$B$50,MATCH(C180,Fields!$A$2:$A$50,0)),"Unknown ID"))</f>
        <v/>
      </c>
      <c r="M180" s="21"/>
    </row>
    <row r="181" customFormat="false" ht="15" hidden="false" customHeight="false" outlineLevel="0" collapsed="false">
      <c r="D181" s="14" t="str">
        <f aca="false">IF(C181="","",IFERROR(INDEX(Fields!$B$2:$B$50,MATCH(C181,Fields!$A$2:$A$50,0)),"Unknown ID"))</f>
        <v/>
      </c>
      <c r="M181" s="21"/>
    </row>
    <row r="182" customFormat="false" ht="15" hidden="false" customHeight="false" outlineLevel="0" collapsed="false">
      <c r="D182" s="14" t="str">
        <f aca="false">IF(C182="","",IFERROR(INDEX(Fields!$B$2:$B$50,MATCH(C182,Fields!$A$2:$A$50,0)),"Unknown ID"))</f>
        <v/>
      </c>
      <c r="M182" s="21"/>
    </row>
    <row r="183" customFormat="false" ht="15" hidden="false" customHeight="false" outlineLevel="0" collapsed="false">
      <c r="D183" s="14" t="str">
        <f aca="false">IF(C183="","",IFERROR(INDEX(Fields!$B$2:$B$50,MATCH(C183,Fields!$A$2:$A$50,0)),"Unknown ID"))</f>
        <v/>
      </c>
      <c r="M183" s="21"/>
    </row>
    <row r="184" customFormat="false" ht="15" hidden="false" customHeight="false" outlineLevel="0" collapsed="false">
      <c r="D184" s="14" t="str">
        <f aca="false">IF(C184="","",IFERROR(INDEX(Fields!$B$2:$B$50,MATCH(C184,Fields!$A$2:$A$50,0)),"Unknown ID"))</f>
        <v/>
      </c>
      <c r="M184" s="21"/>
    </row>
    <row r="185" customFormat="false" ht="15" hidden="false" customHeight="false" outlineLevel="0" collapsed="false">
      <c r="D185" s="14" t="str">
        <f aca="false">IF(C185="","",IFERROR(INDEX(Fields!$B$2:$B$50,MATCH(C185,Fields!$A$2:$A$50,0)),"Unknown ID"))</f>
        <v/>
      </c>
      <c r="M185" s="21"/>
    </row>
    <row r="186" customFormat="false" ht="15" hidden="false" customHeight="false" outlineLevel="0" collapsed="false">
      <c r="D186" s="14" t="str">
        <f aca="false">IF(C186="","",IFERROR(INDEX(Fields!$B$2:$B$50,MATCH(C186,Fields!$A$2:$A$50,0)),"Unknown ID"))</f>
        <v/>
      </c>
      <c r="M186" s="21"/>
    </row>
    <row r="187" customFormat="false" ht="15" hidden="false" customHeight="false" outlineLevel="0" collapsed="false">
      <c r="D187" s="14" t="str">
        <f aca="false">IF(C187="","",IFERROR(INDEX(Fields!$B$2:$B$50,MATCH(C187,Fields!$A$2:$A$50,0)),"Unknown ID"))</f>
        <v/>
      </c>
      <c r="M187" s="21"/>
    </row>
    <row r="188" customFormat="false" ht="15" hidden="false" customHeight="false" outlineLevel="0" collapsed="false">
      <c r="D188" s="14" t="str">
        <f aca="false">IF(C188="","",IFERROR(INDEX(Fields!$B$2:$B$50,MATCH(C188,Fields!$A$2:$A$50,0)),"Unknown ID"))</f>
        <v/>
      </c>
      <c r="M188" s="21"/>
    </row>
    <row r="189" customFormat="false" ht="15" hidden="false" customHeight="false" outlineLevel="0" collapsed="false">
      <c r="D189" s="14" t="str">
        <f aca="false">IF(C189="","",IFERROR(INDEX(Fields!$B$2:$B$50,MATCH(C189,Fields!$A$2:$A$50,0)),"Unknown ID"))</f>
        <v/>
      </c>
      <c r="M189" s="21"/>
    </row>
    <row r="190" customFormat="false" ht="15" hidden="false" customHeight="false" outlineLevel="0" collapsed="false">
      <c r="D190" s="14" t="str">
        <f aca="false">IF(C190="","",IFERROR(INDEX(Fields!$B$2:$B$50,MATCH(C190,Fields!$A$2:$A$50,0)),"Unknown ID"))</f>
        <v/>
      </c>
      <c r="M190" s="21"/>
    </row>
    <row r="191" customFormat="false" ht="15" hidden="false" customHeight="false" outlineLevel="0" collapsed="false">
      <c r="D191" s="14" t="str">
        <f aca="false">IF(C191="","",IFERROR(INDEX(Fields!$B$2:$B$50,MATCH(C191,Fields!$A$2:$A$50,0)),"Unknown ID"))</f>
        <v/>
      </c>
      <c r="M191" s="21"/>
    </row>
    <row r="192" customFormat="false" ht="15" hidden="false" customHeight="false" outlineLevel="0" collapsed="false">
      <c r="D192" s="14" t="str">
        <f aca="false">IF(C192="","",IFERROR(INDEX(Fields!$B$2:$B$50,MATCH(C192,Fields!$A$2:$A$50,0)),"Unknown ID"))</f>
        <v/>
      </c>
      <c r="M192" s="21"/>
    </row>
    <row r="193" customFormat="false" ht="15" hidden="false" customHeight="false" outlineLevel="0" collapsed="false">
      <c r="D193" s="14" t="str">
        <f aca="false">IF(C193="","",IFERROR(INDEX(Fields!$B$2:$B$50,MATCH(C193,Fields!$A$2:$A$50,0)),"Unknown ID"))</f>
        <v/>
      </c>
      <c r="M193" s="21"/>
    </row>
    <row r="194" customFormat="false" ht="15" hidden="false" customHeight="false" outlineLevel="0" collapsed="false">
      <c r="D194" s="14" t="str">
        <f aca="false">IF(C194="","",IFERROR(INDEX(Fields!$B$2:$B$50,MATCH(C194,Fields!$A$2:$A$50,0)),"Unknown ID"))</f>
        <v/>
      </c>
      <c r="M194" s="21"/>
    </row>
    <row r="195" customFormat="false" ht="15" hidden="false" customHeight="false" outlineLevel="0" collapsed="false">
      <c r="D195" s="14" t="str">
        <f aca="false">IF(C195="","",IFERROR(INDEX(Fields!$B$2:$B$50,MATCH(C195,Fields!$A$2:$A$50,0)),"Unknown ID"))</f>
        <v/>
      </c>
      <c r="M195" s="21"/>
    </row>
    <row r="196" customFormat="false" ht="15" hidden="false" customHeight="false" outlineLevel="0" collapsed="false">
      <c r="D196" s="14" t="str">
        <f aca="false">IF(C196="","",IFERROR(INDEX(Fields!$B$2:$B$50,MATCH(C196,Fields!$A$2:$A$50,0)),"Unknown ID"))</f>
        <v/>
      </c>
      <c r="M196" s="21"/>
    </row>
    <row r="197" customFormat="false" ht="15" hidden="false" customHeight="false" outlineLevel="0" collapsed="false">
      <c r="D197" s="14" t="str">
        <f aca="false">IF(C197="","",IFERROR(INDEX(Fields!$B$2:$B$50,MATCH(C197,Fields!$A$2:$A$50,0)),"Unknown ID"))</f>
        <v/>
      </c>
      <c r="M197" s="21"/>
    </row>
    <row r="198" customFormat="false" ht="15" hidden="false" customHeight="false" outlineLevel="0" collapsed="false">
      <c r="D198" s="14" t="str">
        <f aca="false">IF(C198="","",IFERROR(INDEX(Fields!$B$2:$B$50,MATCH(C198,Fields!$A$2:$A$50,0)),"Unknown ID"))</f>
        <v/>
      </c>
      <c r="M198" s="21"/>
    </row>
    <row r="199" customFormat="false" ht="15" hidden="false" customHeight="false" outlineLevel="0" collapsed="false">
      <c r="D199" s="14" t="str">
        <f aca="false">IF(C199="","",IFERROR(INDEX(Fields!$B$2:$B$50,MATCH(C199,Fields!$A$2:$A$50,0)),"Unknown ID"))</f>
        <v/>
      </c>
      <c r="M199" s="21"/>
    </row>
    <row r="200" customFormat="false" ht="15" hidden="false" customHeight="false" outlineLevel="0" collapsed="false">
      <c r="D200" s="14" t="str">
        <f aca="false">IF(C200="","",IFERROR(INDEX(Fields!$B$2:$B$50,MATCH(C200,Fields!$A$2:$A$50,0)),"Unknown ID"))</f>
        <v/>
      </c>
      <c r="M200" s="21"/>
    </row>
  </sheetData>
  <dataValidations count="3">
    <dataValidation allowBlank="true" error="Pick a value from the list" errorStyle="stop" operator="between" showDropDown="false" showErrorMessage="true" showInputMessage="false" sqref="C2:C200" type="list">
      <formula1>Fields!$A$2:$A$50</formula1>
      <formula2>0</formula2>
    </dataValidation>
    <dataValidation allowBlank="true" error="Pick a value from the list" errorStyle="stop" operator="between" showDropDown="false" showErrorMessage="true" showInputMessage="false" sqref="E2:E200" type="list">
      <formula1>Lists!$E$2:$E$3</formula1>
      <formula2>0</formula2>
    </dataValidation>
    <dataValidation allowBlank="true" error="Pick a value from the list" errorStyle="stop" operator="between" showDropDown="false" showErrorMessage="true" showInputMessage="false" sqref="G2:I200" type="list">
      <formula1>'2 Interests'!$A$2:$A$60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11" min="9" style="0" width="14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5" min="14" style="0" width="14"/>
    <col collapsed="false" customWidth="true" hidden="false" outlineLevel="0" max="16" min="16" style="0" width="18"/>
    <col collapsed="false" customWidth="true" hidden="false" outlineLevel="0" max="18" min="17" style="0" width="14"/>
    <col collapsed="false" customWidth="true" hidden="false" outlineLevel="0" max="19" min="19" style="0" width="28"/>
    <col collapsed="false" customWidth="true" hidden="false" outlineLevel="0" max="20" min="20" style="0" width="24"/>
    <col collapsed="false" customWidth="true" hidden="false" outlineLevel="0" max="21" min="21" style="0" width="30"/>
  </cols>
  <sheetData>
    <row r="1" customFormat="false" ht="31.5" hidden="false" customHeight="true" outlineLevel="0" collapsed="false">
      <c r="A1" s="8" t="s">
        <v>138</v>
      </c>
      <c r="B1" s="8" t="s">
        <v>139</v>
      </c>
      <c r="C1" s="8" t="s">
        <v>140</v>
      </c>
      <c r="D1" s="8" t="s">
        <v>141</v>
      </c>
      <c r="E1" s="8" t="s">
        <v>142</v>
      </c>
      <c r="F1" s="8" t="s">
        <v>143</v>
      </c>
      <c r="G1" s="8" t="s">
        <v>144</v>
      </c>
      <c r="H1" s="8" t="s">
        <v>145</v>
      </c>
      <c r="I1" s="8" t="s">
        <v>194</v>
      </c>
      <c r="J1" s="8" t="s">
        <v>195</v>
      </c>
      <c r="K1" s="8" t="s">
        <v>196</v>
      </c>
      <c r="L1" s="8" t="s">
        <v>245</v>
      </c>
      <c r="M1" s="8" t="s">
        <v>246</v>
      </c>
      <c r="N1" s="8" t="s">
        <v>247</v>
      </c>
      <c r="O1" s="8" t="s">
        <v>153</v>
      </c>
      <c r="P1" s="8" t="s">
        <v>154</v>
      </c>
      <c r="Q1" s="8" t="s">
        <v>155</v>
      </c>
      <c r="R1" s="8" t="s">
        <v>156</v>
      </c>
      <c r="S1" s="8" t="s">
        <v>157</v>
      </c>
      <c r="T1" s="8" t="s">
        <v>158</v>
      </c>
      <c r="U1" s="8" t="s">
        <v>69</v>
      </c>
    </row>
    <row r="2" customFormat="false" ht="26.85" hidden="false" customHeight="false" outlineLevel="0" collapsed="false">
      <c r="A2" s="9" t="s">
        <v>248</v>
      </c>
      <c r="B2" s="13" t="n">
        <v>46303</v>
      </c>
      <c r="C2" s="9" t="s">
        <v>249</v>
      </c>
      <c r="D2" s="9" t="s">
        <v>250</v>
      </c>
      <c r="E2" s="9" t="s">
        <v>251</v>
      </c>
      <c r="F2" s="9" t="s">
        <v>163</v>
      </c>
      <c r="G2" s="9" t="s">
        <v>252</v>
      </c>
      <c r="H2" s="9" t="s">
        <v>253</v>
      </c>
      <c r="I2" s="9" t="s">
        <v>173</v>
      </c>
      <c r="J2" s="9" t="s">
        <v>175</v>
      </c>
      <c r="K2" s="9"/>
      <c r="L2" s="9" t="s">
        <v>203</v>
      </c>
      <c r="M2" s="11" t="n">
        <f aca="false">IF(COUNTA(I2:K2)=0,"",SUMPRODUCT((((COUNTIF(I2:K2,'2 Courses'!$G$2:$G$200)*('2 Courses'!$G$2:$G$200&lt;&gt;""))+(COUNTIF(I2:K2,'2 Courses'!$H$2:$H$200)*('2 Courses'!$H$2:$H$200&lt;&gt;""))+(COUNTIF(I2:K2,'2 Courses'!$I$2:$I$200)*('2 Courses'!$I$2:$I$200&lt;&gt;"")))&gt;0)*((L2="")+(L2="Diploma or degree")+('2 Courses'!$E$2:$E$200=L2)&gt;0)))</f>
        <v>3</v>
      </c>
      <c r="N2" s="9" t="s">
        <v>213</v>
      </c>
      <c r="O2" s="9" t="s">
        <v>165</v>
      </c>
      <c r="P2" s="9" t="s">
        <v>254</v>
      </c>
      <c r="Q2" s="13" t="n">
        <v>46307</v>
      </c>
      <c r="R2" s="13" t="n">
        <v>46309</v>
      </c>
      <c r="S2" s="9" t="s">
        <v>214</v>
      </c>
      <c r="T2" s="9" t="s">
        <v>76</v>
      </c>
      <c r="U2" s="9"/>
    </row>
    <row r="3" customFormat="false" ht="15" hidden="false" customHeight="false" outlineLevel="0" collapsed="false">
      <c r="A3" s="18"/>
      <c r="B3" s="19"/>
      <c r="C3" s="18"/>
      <c r="D3" s="18"/>
      <c r="E3" s="18"/>
      <c r="F3" s="18"/>
      <c r="G3" s="18"/>
      <c r="H3" s="18"/>
      <c r="I3" s="18"/>
      <c r="J3" s="18"/>
      <c r="K3" s="18"/>
      <c r="L3" s="18"/>
      <c r="M3" s="14" t="str">
        <f aca="false">IF(COUNTA(I3:K3)=0,"",SUMPRODUCT((((COUNTIF(I3:K3,'2 Courses'!$G$2:$G$200)*('2 Courses'!$G$2:$G$200&lt;&gt;""))+(COUNTIF(I3:K3,'2 Courses'!$H$2:$H$200)*('2 Courses'!$H$2:$H$200&lt;&gt;""))+(COUNTIF(I3:K3,'2 Courses'!$I$2:$I$200)*('2 Courses'!$I$2:$I$200&lt;&gt;"")))&gt;0)*((L3="")+(L3="Diploma or degree")+('2 Courses'!$E$2:$E$200=L3)&gt;0)))</f>
        <v/>
      </c>
      <c r="N3" s="18"/>
      <c r="O3" s="18"/>
      <c r="P3" s="18"/>
      <c r="Q3" s="19"/>
      <c r="R3" s="19"/>
      <c r="S3" s="18"/>
      <c r="T3" s="18"/>
      <c r="U3" s="18"/>
    </row>
    <row r="4" customFormat="false" ht="15" hidden="false" customHeight="false" outlineLevel="0" collapsed="false">
      <c r="A4" s="18"/>
      <c r="B4" s="19"/>
      <c r="C4" s="18"/>
      <c r="D4" s="18"/>
      <c r="E4" s="18"/>
      <c r="F4" s="18"/>
      <c r="G4" s="18"/>
      <c r="H4" s="18"/>
      <c r="I4" s="18"/>
      <c r="J4" s="18"/>
      <c r="K4" s="18"/>
      <c r="L4" s="18"/>
      <c r="M4" s="14" t="str">
        <f aca="false">IF(COUNTA(I4:K4)=0,"",SUMPRODUCT((((COUNTIF(I4:K4,'2 Courses'!$G$2:$G$200)*('2 Courses'!$G$2:$G$200&lt;&gt;""))+(COUNTIF(I4:K4,'2 Courses'!$H$2:$H$200)*('2 Courses'!$H$2:$H$200&lt;&gt;""))+(COUNTIF(I4:K4,'2 Courses'!$I$2:$I$200)*('2 Courses'!$I$2:$I$200&lt;&gt;"")))&gt;0)*((L4="")+(L4="Diploma or degree")+('2 Courses'!$E$2:$E$200=L4)&gt;0)))</f>
        <v/>
      </c>
      <c r="N4" s="18"/>
      <c r="O4" s="18"/>
      <c r="P4" s="18"/>
      <c r="Q4" s="19"/>
      <c r="R4" s="19"/>
      <c r="S4" s="18"/>
      <c r="T4" s="18"/>
      <c r="U4" s="18"/>
    </row>
    <row r="5" customFormat="false" ht="15" hidden="false" customHeight="false" outlineLevel="0" collapsed="false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4" t="str">
        <f aca="false">IF(COUNTA(I5:K5)=0,"",SUMPRODUCT((((COUNTIF(I5:K5,'2 Courses'!$G$2:$G$200)*('2 Courses'!$G$2:$G$200&lt;&gt;""))+(COUNTIF(I5:K5,'2 Courses'!$H$2:$H$200)*('2 Courses'!$H$2:$H$200&lt;&gt;""))+(COUNTIF(I5:K5,'2 Courses'!$I$2:$I$200)*('2 Courses'!$I$2:$I$200&lt;&gt;"")))&gt;0)*((L5="")+(L5="Diploma or degree")+('2 Courses'!$E$2:$E$200=L5)&gt;0)))</f>
        <v/>
      </c>
      <c r="N5" s="18"/>
      <c r="O5" s="18"/>
      <c r="P5" s="18"/>
      <c r="Q5" s="19"/>
      <c r="R5" s="19"/>
      <c r="S5" s="18"/>
      <c r="T5" s="18"/>
      <c r="U5" s="18"/>
    </row>
    <row r="6" customFormat="false" ht="15" hidden="false" customHeight="false" outlineLevel="0" collapsed="false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4" t="str">
        <f aca="false">IF(COUNTA(I6:K6)=0,"",SUMPRODUCT((((COUNTIF(I6:K6,'2 Courses'!$G$2:$G$200)*('2 Courses'!$G$2:$G$200&lt;&gt;""))+(COUNTIF(I6:K6,'2 Courses'!$H$2:$H$200)*('2 Courses'!$H$2:$H$200&lt;&gt;""))+(COUNTIF(I6:K6,'2 Courses'!$I$2:$I$200)*('2 Courses'!$I$2:$I$200&lt;&gt;"")))&gt;0)*((L6="")+(L6="Diploma or degree")+('2 Courses'!$E$2:$E$200=L6)&gt;0)))</f>
        <v/>
      </c>
      <c r="N6" s="18"/>
      <c r="O6" s="18"/>
      <c r="P6" s="18"/>
      <c r="Q6" s="19"/>
      <c r="R6" s="19"/>
      <c r="S6" s="18"/>
      <c r="T6" s="18"/>
      <c r="U6" s="18"/>
    </row>
    <row r="7" customFormat="false" ht="15" hidden="false" customHeight="false" outlineLevel="0" collapsed="false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4" t="str">
        <f aca="false">IF(COUNTA(I7:K7)=0,"",SUMPRODUCT((((COUNTIF(I7:K7,'2 Courses'!$G$2:$G$200)*('2 Courses'!$G$2:$G$200&lt;&gt;""))+(COUNTIF(I7:K7,'2 Courses'!$H$2:$H$200)*('2 Courses'!$H$2:$H$200&lt;&gt;""))+(COUNTIF(I7:K7,'2 Courses'!$I$2:$I$200)*('2 Courses'!$I$2:$I$200&lt;&gt;"")))&gt;0)*((L7="")+(L7="Diploma or degree")+('2 Courses'!$E$2:$E$200=L7)&gt;0)))</f>
        <v/>
      </c>
      <c r="N7" s="18"/>
      <c r="O7" s="18"/>
      <c r="P7" s="18"/>
      <c r="Q7" s="19"/>
      <c r="R7" s="19"/>
      <c r="S7" s="18"/>
      <c r="T7" s="18"/>
      <c r="U7" s="18"/>
    </row>
    <row r="8" customFormat="false" ht="15" hidden="false" customHeight="false" outlineLevel="0" collapsed="false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4" t="str">
        <f aca="false">IF(COUNTA(I8:K8)=0,"",SUMPRODUCT((((COUNTIF(I8:K8,'2 Courses'!$G$2:$G$200)*('2 Courses'!$G$2:$G$200&lt;&gt;""))+(COUNTIF(I8:K8,'2 Courses'!$H$2:$H$200)*('2 Courses'!$H$2:$H$200&lt;&gt;""))+(COUNTIF(I8:K8,'2 Courses'!$I$2:$I$200)*('2 Courses'!$I$2:$I$200&lt;&gt;"")))&gt;0)*((L8="")+(L8="Diploma or degree")+('2 Courses'!$E$2:$E$200=L8)&gt;0)))</f>
        <v/>
      </c>
      <c r="N8" s="18"/>
      <c r="O8" s="18"/>
      <c r="P8" s="18"/>
      <c r="Q8" s="19"/>
      <c r="R8" s="19"/>
      <c r="S8" s="18"/>
      <c r="T8" s="18"/>
      <c r="U8" s="18"/>
    </row>
    <row r="9" customFormat="false" ht="15" hidden="false" customHeight="false" outlineLevel="0" collapsed="false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4" t="str">
        <f aca="false">IF(COUNTA(I9:K9)=0,"",SUMPRODUCT((((COUNTIF(I9:K9,'2 Courses'!$G$2:$G$200)*('2 Courses'!$G$2:$G$200&lt;&gt;""))+(COUNTIF(I9:K9,'2 Courses'!$H$2:$H$200)*('2 Courses'!$H$2:$H$200&lt;&gt;""))+(COUNTIF(I9:K9,'2 Courses'!$I$2:$I$200)*('2 Courses'!$I$2:$I$200&lt;&gt;"")))&gt;0)*((L9="")+(L9="Diploma or degree")+('2 Courses'!$E$2:$E$200=L9)&gt;0)))</f>
        <v/>
      </c>
      <c r="N9" s="18"/>
      <c r="O9" s="18"/>
      <c r="P9" s="18"/>
      <c r="Q9" s="19"/>
      <c r="R9" s="19"/>
      <c r="S9" s="18"/>
      <c r="T9" s="18"/>
      <c r="U9" s="18"/>
    </row>
    <row r="10" customFormat="false" ht="15" hidden="false" customHeight="false" outlineLevel="0" collapsed="false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4" t="str">
        <f aca="false">IF(COUNTA(I10:K10)=0,"",SUMPRODUCT((((COUNTIF(I10:K10,'2 Courses'!$G$2:$G$200)*('2 Courses'!$G$2:$G$200&lt;&gt;""))+(COUNTIF(I10:K10,'2 Courses'!$H$2:$H$200)*('2 Courses'!$H$2:$H$200&lt;&gt;""))+(COUNTIF(I10:K10,'2 Courses'!$I$2:$I$200)*('2 Courses'!$I$2:$I$200&lt;&gt;"")))&gt;0)*((L10="")+(L10="Diploma or degree")+('2 Courses'!$E$2:$E$200=L10)&gt;0)))</f>
        <v/>
      </c>
      <c r="N10" s="18"/>
      <c r="O10" s="18"/>
      <c r="P10" s="18"/>
      <c r="Q10" s="19"/>
      <c r="R10" s="19"/>
      <c r="S10" s="18"/>
      <c r="T10" s="18"/>
      <c r="U10" s="18"/>
    </row>
    <row r="11" customFormat="false" ht="15" hidden="false" customHeight="false" outlineLevel="0" collapsed="false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4" t="str">
        <f aca="false">IF(COUNTA(I11:K11)=0,"",SUMPRODUCT((((COUNTIF(I11:K11,'2 Courses'!$G$2:$G$200)*('2 Courses'!$G$2:$G$200&lt;&gt;""))+(COUNTIF(I11:K11,'2 Courses'!$H$2:$H$200)*('2 Courses'!$H$2:$H$200&lt;&gt;""))+(COUNTIF(I11:K11,'2 Courses'!$I$2:$I$200)*('2 Courses'!$I$2:$I$200&lt;&gt;"")))&gt;0)*((L11="")+(L11="Diploma or degree")+('2 Courses'!$E$2:$E$200=L11)&gt;0)))</f>
        <v/>
      </c>
      <c r="N11" s="18"/>
      <c r="O11" s="18"/>
      <c r="P11" s="18"/>
      <c r="Q11" s="19"/>
      <c r="R11" s="19"/>
      <c r="S11" s="18"/>
      <c r="T11" s="18"/>
      <c r="U11" s="18"/>
    </row>
    <row r="12" customFormat="false" ht="15" hidden="false" customHeight="false" outlineLevel="0" collapsed="false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4" t="str">
        <f aca="false">IF(COUNTA(I12:K12)=0,"",SUMPRODUCT((((COUNTIF(I12:K12,'2 Courses'!$G$2:$G$200)*('2 Courses'!$G$2:$G$200&lt;&gt;""))+(COUNTIF(I12:K12,'2 Courses'!$H$2:$H$200)*('2 Courses'!$H$2:$H$200&lt;&gt;""))+(COUNTIF(I12:K12,'2 Courses'!$I$2:$I$200)*('2 Courses'!$I$2:$I$200&lt;&gt;"")))&gt;0)*((L12="")+(L12="Diploma or degree")+('2 Courses'!$E$2:$E$200=L12)&gt;0)))</f>
        <v/>
      </c>
      <c r="N12" s="18"/>
      <c r="O12" s="18"/>
      <c r="P12" s="18"/>
      <c r="Q12" s="19"/>
      <c r="R12" s="19"/>
      <c r="S12" s="18"/>
      <c r="T12" s="18"/>
      <c r="U12" s="18"/>
    </row>
    <row r="13" customFormat="false" ht="15" hidden="false" customHeight="false" outlineLevel="0" collapsed="false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4" t="str">
        <f aca="false">IF(COUNTA(I13:K13)=0,"",SUMPRODUCT((((COUNTIF(I13:K13,'2 Courses'!$G$2:$G$200)*('2 Courses'!$G$2:$G$200&lt;&gt;""))+(COUNTIF(I13:K13,'2 Courses'!$H$2:$H$200)*('2 Courses'!$H$2:$H$200&lt;&gt;""))+(COUNTIF(I13:K13,'2 Courses'!$I$2:$I$200)*('2 Courses'!$I$2:$I$200&lt;&gt;"")))&gt;0)*((L13="")+(L13="Diploma or degree")+('2 Courses'!$E$2:$E$200=L13)&gt;0)))</f>
        <v/>
      </c>
      <c r="N13" s="18"/>
      <c r="O13" s="18"/>
      <c r="P13" s="18"/>
      <c r="Q13" s="19"/>
      <c r="R13" s="19"/>
      <c r="S13" s="18"/>
      <c r="T13" s="18"/>
      <c r="U13" s="18"/>
    </row>
    <row r="14" customFormat="false" ht="15" hidden="false" customHeight="false" outlineLevel="0" collapsed="false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4" t="str">
        <f aca="false">IF(COUNTA(I14:K14)=0,"",SUMPRODUCT((((COUNTIF(I14:K14,'2 Courses'!$G$2:$G$200)*('2 Courses'!$G$2:$G$200&lt;&gt;""))+(COUNTIF(I14:K14,'2 Courses'!$H$2:$H$200)*('2 Courses'!$H$2:$H$200&lt;&gt;""))+(COUNTIF(I14:K14,'2 Courses'!$I$2:$I$200)*('2 Courses'!$I$2:$I$200&lt;&gt;"")))&gt;0)*((L14="")+(L14="Diploma or degree")+('2 Courses'!$E$2:$E$200=L14)&gt;0)))</f>
        <v/>
      </c>
      <c r="N14" s="18"/>
      <c r="O14" s="18"/>
      <c r="P14" s="18"/>
      <c r="Q14" s="19"/>
      <c r="R14" s="19"/>
      <c r="S14" s="18"/>
      <c r="T14" s="18"/>
      <c r="U14" s="18"/>
    </row>
    <row r="15" customFormat="false" ht="15" hidden="false" customHeight="false" outlineLevel="0" collapsed="false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4" t="str">
        <f aca="false">IF(COUNTA(I15:K15)=0,"",SUMPRODUCT((((COUNTIF(I15:K15,'2 Courses'!$G$2:$G$200)*('2 Courses'!$G$2:$G$200&lt;&gt;""))+(COUNTIF(I15:K15,'2 Courses'!$H$2:$H$200)*('2 Courses'!$H$2:$H$200&lt;&gt;""))+(COUNTIF(I15:K15,'2 Courses'!$I$2:$I$200)*('2 Courses'!$I$2:$I$200&lt;&gt;"")))&gt;0)*((L15="")+(L15="Diploma or degree")+('2 Courses'!$E$2:$E$200=L15)&gt;0)))</f>
        <v/>
      </c>
      <c r="N15" s="18"/>
      <c r="O15" s="18"/>
      <c r="P15" s="18"/>
      <c r="Q15" s="19"/>
      <c r="R15" s="19"/>
      <c r="S15" s="18"/>
      <c r="T15" s="18"/>
      <c r="U15" s="18"/>
    </row>
    <row r="16" customFormat="false" ht="15" hidden="false" customHeight="false" outlineLevel="0" collapsed="false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4" t="str">
        <f aca="false">IF(COUNTA(I16:K16)=0,"",SUMPRODUCT((((COUNTIF(I16:K16,'2 Courses'!$G$2:$G$200)*('2 Courses'!$G$2:$G$200&lt;&gt;""))+(COUNTIF(I16:K16,'2 Courses'!$H$2:$H$200)*('2 Courses'!$H$2:$H$200&lt;&gt;""))+(COUNTIF(I16:K16,'2 Courses'!$I$2:$I$200)*('2 Courses'!$I$2:$I$200&lt;&gt;"")))&gt;0)*((L16="")+(L16="Diploma or degree")+('2 Courses'!$E$2:$E$200=L16)&gt;0)))</f>
        <v/>
      </c>
      <c r="N16" s="18"/>
      <c r="O16" s="18"/>
      <c r="P16" s="18"/>
      <c r="Q16" s="19"/>
      <c r="R16" s="19"/>
      <c r="S16" s="18"/>
      <c r="T16" s="18"/>
      <c r="U16" s="18"/>
    </row>
    <row r="17" customFormat="false" ht="15" hidden="false" customHeight="false" outlineLevel="0" collapsed="false">
      <c r="A17" s="18"/>
      <c r="B17" s="19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4" t="str">
        <f aca="false">IF(COUNTA(I17:K17)=0,"",SUMPRODUCT((((COUNTIF(I17:K17,'2 Courses'!$G$2:$G$200)*('2 Courses'!$G$2:$G$200&lt;&gt;""))+(COUNTIF(I17:K17,'2 Courses'!$H$2:$H$200)*('2 Courses'!$H$2:$H$200&lt;&gt;""))+(COUNTIF(I17:K17,'2 Courses'!$I$2:$I$200)*('2 Courses'!$I$2:$I$200&lt;&gt;"")))&gt;0)*((L17="")+(L17="Diploma or degree")+('2 Courses'!$E$2:$E$200=L17)&gt;0)))</f>
        <v/>
      </c>
      <c r="N17" s="18"/>
      <c r="O17" s="18"/>
      <c r="P17" s="18"/>
      <c r="Q17" s="19"/>
      <c r="R17" s="19"/>
      <c r="S17" s="18"/>
      <c r="T17" s="18"/>
      <c r="U17" s="18"/>
    </row>
    <row r="18" customFormat="false" ht="15" hidden="false" customHeight="false" outlineLevel="0" collapsed="false">
      <c r="A18" s="18"/>
      <c r="B18" s="19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4" t="str">
        <f aca="false">IF(COUNTA(I18:K18)=0,"",SUMPRODUCT((((COUNTIF(I18:K18,'2 Courses'!$G$2:$G$200)*('2 Courses'!$G$2:$G$200&lt;&gt;""))+(COUNTIF(I18:K18,'2 Courses'!$H$2:$H$200)*('2 Courses'!$H$2:$H$200&lt;&gt;""))+(COUNTIF(I18:K18,'2 Courses'!$I$2:$I$200)*('2 Courses'!$I$2:$I$200&lt;&gt;"")))&gt;0)*((L18="")+(L18="Diploma or degree")+('2 Courses'!$E$2:$E$200=L18)&gt;0)))</f>
        <v/>
      </c>
      <c r="N18" s="18"/>
      <c r="O18" s="18"/>
      <c r="P18" s="18"/>
      <c r="Q18" s="19"/>
      <c r="R18" s="19"/>
      <c r="S18" s="18"/>
      <c r="T18" s="18"/>
      <c r="U18" s="18"/>
    </row>
    <row r="19" customFormat="false" ht="15" hidden="false" customHeight="false" outlineLevel="0" collapsed="false">
      <c r="A19" s="18"/>
      <c r="B19" s="19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4" t="str">
        <f aca="false">IF(COUNTA(I19:K19)=0,"",SUMPRODUCT((((COUNTIF(I19:K19,'2 Courses'!$G$2:$G$200)*('2 Courses'!$G$2:$G$200&lt;&gt;""))+(COUNTIF(I19:K19,'2 Courses'!$H$2:$H$200)*('2 Courses'!$H$2:$H$200&lt;&gt;""))+(COUNTIF(I19:K19,'2 Courses'!$I$2:$I$200)*('2 Courses'!$I$2:$I$200&lt;&gt;"")))&gt;0)*((L19="")+(L19="Diploma or degree")+('2 Courses'!$E$2:$E$200=L19)&gt;0)))</f>
        <v/>
      </c>
      <c r="N19" s="18"/>
      <c r="O19" s="18"/>
      <c r="P19" s="18"/>
      <c r="Q19" s="19"/>
      <c r="R19" s="19"/>
      <c r="S19" s="18"/>
      <c r="T19" s="18"/>
      <c r="U19" s="18"/>
    </row>
    <row r="20" customFormat="false" ht="15" hidden="false" customHeight="false" outlineLevel="0" collapsed="false">
      <c r="A20" s="18"/>
      <c r="B20" s="19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4" t="str">
        <f aca="false">IF(COUNTA(I20:K20)=0,"",SUMPRODUCT((((COUNTIF(I20:K20,'2 Courses'!$G$2:$G$200)*('2 Courses'!$G$2:$G$200&lt;&gt;""))+(COUNTIF(I20:K20,'2 Courses'!$H$2:$H$200)*('2 Courses'!$H$2:$H$200&lt;&gt;""))+(COUNTIF(I20:K20,'2 Courses'!$I$2:$I$200)*('2 Courses'!$I$2:$I$200&lt;&gt;"")))&gt;0)*((L20="")+(L20="Diploma or degree")+('2 Courses'!$E$2:$E$200=L20)&gt;0)))</f>
        <v/>
      </c>
      <c r="N20" s="18"/>
      <c r="O20" s="18"/>
      <c r="P20" s="18"/>
      <c r="Q20" s="19"/>
      <c r="R20" s="19"/>
      <c r="S20" s="18"/>
      <c r="T20" s="18"/>
      <c r="U20" s="18"/>
    </row>
    <row r="21" customFormat="false" ht="15" hidden="false" customHeight="false" outlineLevel="0" collapsed="false">
      <c r="A21" s="18"/>
      <c r="B21" s="19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4" t="str">
        <f aca="false">IF(COUNTA(I21:K21)=0,"",SUMPRODUCT((((COUNTIF(I21:K21,'2 Courses'!$G$2:$G$200)*('2 Courses'!$G$2:$G$200&lt;&gt;""))+(COUNTIF(I21:K21,'2 Courses'!$H$2:$H$200)*('2 Courses'!$H$2:$H$200&lt;&gt;""))+(COUNTIF(I21:K21,'2 Courses'!$I$2:$I$200)*('2 Courses'!$I$2:$I$200&lt;&gt;"")))&gt;0)*((L21="")+(L21="Diploma or degree")+('2 Courses'!$E$2:$E$200=L21)&gt;0)))</f>
        <v/>
      </c>
      <c r="N21" s="18"/>
      <c r="O21" s="18"/>
      <c r="P21" s="18"/>
      <c r="Q21" s="19"/>
      <c r="R21" s="19"/>
      <c r="S21" s="18"/>
      <c r="T21" s="18"/>
      <c r="U21" s="18"/>
    </row>
    <row r="22" customFormat="false" ht="15" hidden="false" customHeight="false" outlineLevel="0" collapsed="false">
      <c r="A22" s="18"/>
      <c r="B22" s="19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4" t="str">
        <f aca="false">IF(COUNTA(I22:K22)=0,"",SUMPRODUCT((((COUNTIF(I22:K22,'2 Courses'!$G$2:$G$200)*('2 Courses'!$G$2:$G$200&lt;&gt;""))+(COUNTIF(I22:K22,'2 Courses'!$H$2:$H$200)*('2 Courses'!$H$2:$H$200&lt;&gt;""))+(COUNTIF(I22:K22,'2 Courses'!$I$2:$I$200)*('2 Courses'!$I$2:$I$200&lt;&gt;"")))&gt;0)*((L22="")+(L22="Diploma or degree")+('2 Courses'!$E$2:$E$200=L22)&gt;0)))</f>
        <v/>
      </c>
      <c r="N22" s="18"/>
      <c r="O22" s="18"/>
      <c r="P22" s="18"/>
      <c r="Q22" s="19"/>
      <c r="R22" s="19"/>
      <c r="S22" s="18"/>
      <c r="T22" s="18"/>
      <c r="U22" s="18"/>
    </row>
    <row r="23" customFormat="false" ht="15" hidden="false" customHeight="false" outlineLevel="0" collapsed="false">
      <c r="A23" s="18"/>
      <c r="B23" s="1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4" t="str">
        <f aca="false">IF(COUNTA(I23:K23)=0,"",SUMPRODUCT((((COUNTIF(I23:K23,'2 Courses'!$G$2:$G$200)*('2 Courses'!$G$2:$G$200&lt;&gt;""))+(COUNTIF(I23:K23,'2 Courses'!$H$2:$H$200)*('2 Courses'!$H$2:$H$200&lt;&gt;""))+(COUNTIF(I23:K23,'2 Courses'!$I$2:$I$200)*('2 Courses'!$I$2:$I$200&lt;&gt;"")))&gt;0)*((L23="")+(L23="Diploma or degree")+('2 Courses'!$E$2:$E$200=L23)&gt;0)))</f>
        <v/>
      </c>
      <c r="N23" s="18"/>
      <c r="O23" s="18"/>
      <c r="P23" s="18"/>
      <c r="Q23" s="19"/>
      <c r="R23" s="19"/>
      <c r="S23" s="18"/>
      <c r="T23" s="18"/>
      <c r="U23" s="18"/>
    </row>
    <row r="24" customFormat="false" ht="15" hidden="false" customHeight="false" outlineLevel="0" collapsed="false">
      <c r="A24" s="18"/>
      <c r="B24" s="19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4" t="str">
        <f aca="false">IF(COUNTA(I24:K24)=0,"",SUMPRODUCT((((COUNTIF(I24:K24,'2 Courses'!$G$2:$G$200)*('2 Courses'!$G$2:$G$200&lt;&gt;""))+(COUNTIF(I24:K24,'2 Courses'!$H$2:$H$200)*('2 Courses'!$H$2:$H$200&lt;&gt;""))+(COUNTIF(I24:K24,'2 Courses'!$I$2:$I$200)*('2 Courses'!$I$2:$I$200&lt;&gt;"")))&gt;0)*((L24="")+(L24="Diploma or degree")+('2 Courses'!$E$2:$E$200=L24)&gt;0)))</f>
        <v/>
      </c>
      <c r="N24" s="18"/>
      <c r="O24" s="18"/>
      <c r="P24" s="18"/>
      <c r="Q24" s="19"/>
      <c r="R24" s="19"/>
      <c r="S24" s="18"/>
      <c r="T24" s="18"/>
      <c r="U24" s="18"/>
    </row>
    <row r="25" customFormat="false" ht="15" hidden="false" customHeight="false" outlineLevel="0" collapsed="false">
      <c r="A25" s="18"/>
      <c r="B25" s="19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4" t="str">
        <f aca="false">IF(COUNTA(I25:K25)=0,"",SUMPRODUCT((((COUNTIF(I25:K25,'2 Courses'!$G$2:$G$200)*('2 Courses'!$G$2:$G$200&lt;&gt;""))+(COUNTIF(I25:K25,'2 Courses'!$H$2:$H$200)*('2 Courses'!$H$2:$H$200&lt;&gt;""))+(COUNTIF(I25:K25,'2 Courses'!$I$2:$I$200)*('2 Courses'!$I$2:$I$200&lt;&gt;"")))&gt;0)*((L25="")+(L25="Diploma or degree")+('2 Courses'!$E$2:$E$200=L25)&gt;0)))</f>
        <v/>
      </c>
      <c r="N25" s="18"/>
      <c r="O25" s="18"/>
      <c r="P25" s="18"/>
      <c r="Q25" s="19"/>
      <c r="R25" s="19"/>
      <c r="S25" s="18"/>
      <c r="T25" s="18"/>
      <c r="U25" s="18"/>
    </row>
    <row r="26" customFormat="false" ht="15" hidden="false" customHeight="false" outlineLevel="0" collapsed="false">
      <c r="A26" s="18"/>
      <c r="B26" s="19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4" t="str">
        <f aca="false">IF(COUNTA(I26:K26)=0,"",SUMPRODUCT((((COUNTIF(I26:K26,'2 Courses'!$G$2:$G$200)*('2 Courses'!$G$2:$G$200&lt;&gt;""))+(COUNTIF(I26:K26,'2 Courses'!$H$2:$H$200)*('2 Courses'!$H$2:$H$200&lt;&gt;""))+(COUNTIF(I26:K26,'2 Courses'!$I$2:$I$200)*('2 Courses'!$I$2:$I$200&lt;&gt;"")))&gt;0)*((L26="")+(L26="Diploma or degree")+('2 Courses'!$E$2:$E$200=L26)&gt;0)))</f>
        <v/>
      </c>
      <c r="N26" s="18"/>
      <c r="O26" s="18"/>
      <c r="P26" s="18"/>
      <c r="Q26" s="19"/>
      <c r="R26" s="19"/>
      <c r="S26" s="18"/>
      <c r="T26" s="18"/>
      <c r="U26" s="18"/>
    </row>
    <row r="27" customFormat="false" ht="15" hidden="false" customHeight="false" outlineLevel="0" collapsed="false">
      <c r="A27" s="18"/>
      <c r="B27" s="19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4" t="str">
        <f aca="false">IF(COUNTA(I27:K27)=0,"",SUMPRODUCT((((COUNTIF(I27:K27,'2 Courses'!$G$2:$G$200)*('2 Courses'!$G$2:$G$200&lt;&gt;""))+(COUNTIF(I27:K27,'2 Courses'!$H$2:$H$200)*('2 Courses'!$H$2:$H$200&lt;&gt;""))+(COUNTIF(I27:K27,'2 Courses'!$I$2:$I$200)*('2 Courses'!$I$2:$I$200&lt;&gt;"")))&gt;0)*((L27="")+(L27="Diploma or degree")+('2 Courses'!$E$2:$E$200=L27)&gt;0)))</f>
        <v/>
      </c>
      <c r="N27" s="18"/>
      <c r="O27" s="18"/>
      <c r="P27" s="18"/>
      <c r="Q27" s="19"/>
      <c r="R27" s="19"/>
      <c r="S27" s="18"/>
      <c r="T27" s="18"/>
      <c r="U27" s="18"/>
    </row>
    <row r="28" customFormat="false" ht="15" hidden="false" customHeight="false" outlineLevel="0" collapsed="false">
      <c r="A28" s="18"/>
      <c r="B28" s="19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4" t="str">
        <f aca="false">IF(COUNTA(I28:K28)=0,"",SUMPRODUCT((((COUNTIF(I28:K28,'2 Courses'!$G$2:$G$200)*('2 Courses'!$G$2:$G$200&lt;&gt;""))+(COUNTIF(I28:K28,'2 Courses'!$H$2:$H$200)*('2 Courses'!$H$2:$H$200&lt;&gt;""))+(COUNTIF(I28:K28,'2 Courses'!$I$2:$I$200)*('2 Courses'!$I$2:$I$200&lt;&gt;"")))&gt;0)*((L28="")+(L28="Diploma or degree")+('2 Courses'!$E$2:$E$200=L28)&gt;0)))</f>
        <v/>
      </c>
      <c r="N28" s="18"/>
      <c r="O28" s="18"/>
      <c r="P28" s="18"/>
      <c r="Q28" s="19"/>
      <c r="R28" s="19"/>
      <c r="S28" s="18"/>
      <c r="T28" s="18"/>
      <c r="U28" s="18"/>
    </row>
    <row r="29" customFormat="false" ht="15" hidden="false" customHeight="false" outlineLevel="0" collapsed="false">
      <c r="A29" s="18"/>
      <c r="B29" s="19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4" t="str">
        <f aca="false">IF(COUNTA(I29:K29)=0,"",SUMPRODUCT((((COUNTIF(I29:K29,'2 Courses'!$G$2:$G$200)*('2 Courses'!$G$2:$G$200&lt;&gt;""))+(COUNTIF(I29:K29,'2 Courses'!$H$2:$H$200)*('2 Courses'!$H$2:$H$200&lt;&gt;""))+(COUNTIF(I29:K29,'2 Courses'!$I$2:$I$200)*('2 Courses'!$I$2:$I$200&lt;&gt;"")))&gt;0)*((L29="")+(L29="Diploma or degree")+('2 Courses'!$E$2:$E$200=L29)&gt;0)))</f>
        <v/>
      </c>
      <c r="N29" s="18"/>
      <c r="O29" s="18"/>
      <c r="P29" s="18"/>
      <c r="Q29" s="19"/>
      <c r="R29" s="19"/>
      <c r="S29" s="18"/>
      <c r="T29" s="18"/>
      <c r="U29" s="18"/>
    </row>
    <row r="30" customFormat="false" ht="15" hidden="false" customHeight="false" outlineLevel="0" collapsed="false">
      <c r="A30" s="18"/>
      <c r="B30" s="19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4" t="str">
        <f aca="false">IF(COUNTA(I30:K30)=0,"",SUMPRODUCT((((COUNTIF(I30:K30,'2 Courses'!$G$2:$G$200)*('2 Courses'!$G$2:$G$200&lt;&gt;""))+(COUNTIF(I30:K30,'2 Courses'!$H$2:$H$200)*('2 Courses'!$H$2:$H$200&lt;&gt;""))+(COUNTIF(I30:K30,'2 Courses'!$I$2:$I$200)*('2 Courses'!$I$2:$I$200&lt;&gt;"")))&gt;0)*((L30="")+(L30="Diploma or degree")+('2 Courses'!$E$2:$E$200=L30)&gt;0)))</f>
        <v/>
      </c>
      <c r="N30" s="18"/>
      <c r="O30" s="18"/>
      <c r="P30" s="18"/>
      <c r="Q30" s="19"/>
      <c r="R30" s="19"/>
      <c r="S30" s="18"/>
      <c r="T30" s="18"/>
      <c r="U30" s="18"/>
    </row>
    <row r="31" customFormat="false" ht="15" hidden="false" customHeight="false" outlineLevel="0" collapsed="false">
      <c r="A31" s="18"/>
      <c r="B31" s="19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4" t="str">
        <f aca="false">IF(COUNTA(I31:K31)=0,"",SUMPRODUCT((((COUNTIF(I31:K31,'2 Courses'!$G$2:$G$200)*('2 Courses'!$G$2:$G$200&lt;&gt;""))+(COUNTIF(I31:K31,'2 Courses'!$H$2:$H$200)*('2 Courses'!$H$2:$H$200&lt;&gt;""))+(COUNTIF(I31:K31,'2 Courses'!$I$2:$I$200)*('2 Courses'!$I$2:$I$200&lt;&gt;"")))&gt;0)*((L31="")+(L31="Diploma or degree")+('2 Courses'!$E$2:$E$200=L31)&gt;0)))</f>
        <v/>
      </c>
      <c r="N31" s="18"/>
      <c r="O31" s="18"/>
      <c r="P31" s="18"/>
      <c r="Q31" s="19"/>
      <c r="R31" s="19"/>
      <c r="S31" s="18"/>
      <c r="T31" s="18"/>
      <c r="U31" s="18"/>
    </row>
    <row r="32" customFormat="false" ht="15" hidden="false" customHeight="false" outlineLevel="0" collapsed="false">
      <c r="A32" s="18"/>
      <c r="B32" s="19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4" t="str">
        <f aca="false">IF(COUNTA(I32:K32)=0,"",SUMPRODUCT((((COUNTIF(I32:K32,'2 Courses'!$G$2:$G$200)*('2 Courses'!$G$2:$G$200&lt;&gt;""))+(COUNTIF(I32:K32,'2 Courses'!$H$2:$H$200)*('2 Courses'!$H$2:$H$200&lt;&gt;""))+(COUNTIF(I32:K32,'2 Courses'!$I$2:$I$200)*('2 Courses'!$I$2:$I$200&lt;&gt;"")))&gt;0)*((L32="")+(L32="Diploma or degree")+('2 Courses'!$E$2:$E$200=L32)&gt;0)))</f>
        <v/>
      </c>
      <c r="N32" s="18"/>
      <c r="O32" s="18"/>
      <c r="P32" s="18"/>
      <c r="Q32" s="19"/>
      <c r="R32" s="19"/>
      <c r="S32" s="18"/>
      <c r="T32" s="18"/>
      <c r="U32" s="18"/>
    </row>
    <row r="33" customFormat="false" ht="15" hidden="false" customHeight="false" outlineLevel="0" collapsed="false">
      <c r="A33" s="18"/>
      <c r="B33" s="19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4" t="str">
        <f aca="false">IF(COUNTA(I33:K33)=0,"",SUMPRODUCT((((COUNTIF(I33:K33,'2 Courses'!$G$2:$G$200)*('2 Courses'!$G$2:$G$200&lt;&gt;""))+(COUNTIF(I33:K33,'2 Courses'!$H$2:$H$200)*('2 Courses'!$H$2:$H$200&lt;&gt;""))+(COUNTIF(I33:K33,'2 Courses'!$I$2:$I$200)*('2 Courses'!$I$2:$I$200&lt;&gt;"")))&gt;0)*((L33="")+(L33="Diploma or degree")+('2 Courses'!$E$2:$E$200=L33)&gt;0)))</f>
        <v/>
      </c>
      <c r="N33" s="18"/>
      <c r="O33" s="18"/>
      <c r="P33" s="18"/>
      <c r="Q33" s="19"/>
      <c r="R33" s="19"/>
      <c r="S33" s="18"/>
      <c r="T33" s="18"/>
      <c r="U33" s="18"/>
    </row>
    <row r="34" customFormat="false" ht="15" hidden="false" customHeight="false" outlineLevel="0" collapsed="false">
      <c r="A34" s="18"/>
      <c r="B34" s="19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4" t="str">
        <f aca="false">IF(COUNTA(I34:K34)=0,"",SUMPRODUCT((((COUNTIF(I34:K34,'2 Courses'!$G$2:$G$200)*('2 Courses'!$G$2:$G$200&lt;&gt;""))+(COUNTIF(I34:K34,'2 Courses'!$H$2:$H$200)*('2 Courses'!$H$2:$H$200&lt;&gt;""))+(COUNTIF(I34:K34,'2 Courses'!$I$2:$I$200)*('2 Courses'!$I$2:$I$200&lt;&gt;"")))&gt;0)*((L34="")+(L34="Diploma or degree")+('2 Courses'!$E$2:$E$200=L34)&gt;0)))</f>
        <v/>
      </c>
      <c r="N34" s="18"/>
      <c r="O34" s="18"/>
      <c r="P34" s="18"/>
      <c r="Q34" s="19"/>
      <c r="R34" s="19"/>
      <c r="S34" s="18"/>
      <c r="T34" s="18"/>
      <c r="U34" s="18"/>
    </row>
    <row r="35" customFormat="false" ht="15" hidden="false" customHeight="false" outlineLevel="0" collapsed="false">
      <c r="A35" s="18"/>
      <c r="B35" s="19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4" t="str">
        <f aca="false">IF(COUNTA(I35:K35)=0,"",SUMPRODUCT((((COUNTIF(I35:K35,'2 Courses'!$G$2:$G$200)*('2 Courses'!$G$2:$G$200&lt;&gt;""))+(COUNTIF(I35:K35,'2 Courses'!$H$2:$H$200)*('2 Courses'!$H$2:$H$200&lt;&gt;""))+(COUNTIF(I35:K35,'2 Courses'!$I$2:$I$200)*('2 Courses'!$I$2:$I$200&lt;&gt;"")))&gt;0)*((L35="")+(L35="Diploma or degree")+('2 Courses'!$E$2:$E$200=L35)&gt;0)))</f>
        <v/>
      </c>
      <c r="N35" s="18"/>
      <c r="O35" s="18"/>
      <c r="P35" s="18"/>
      <c r="Q35" s="19"/>
      <c r="R35" s="19"/>
      <c r="S35" s="18"/>
      <c r="T35" s="18"/>
      <c r="U35" s="18"/>
    </row>
    <row r="36" customFormat="false" ht="15" hidden="false" customHeight="false" outlineLevel="0" collapsed="false">
      <c r="A36" s="18"/>
      <c r="B36" s="19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4" t="str">
        <f aca="false">IF(COUNTA(I36:K36)=0,"",SUMPRODUCT((((COUNTIF(I36:K36,'2 Courses'!$G$2:$G$200)*('2 Courses'!$G$2:$G$200&lt;&gt;""))+(COUNTIF(I36:K36,'2 Courses'!$H$2:$H$200)*('2 Courses'!$H$2:$H$200&lt;&gt;""))+(COUNTIF(I36:K36,'2 Courses'!$I$2:$I$200)*('2 Courses'!$I$2:$I$200&lt;&gt;"")))&gt;0)*((L36="")+(L36="Diploma or degree")+('2 Courses'!$E$2:$E$200=L36)&gt;0)))</f>
        <v/>
      </c>
      <c r="N36" s="18"/>
      <c r="O36" s="18"/>
      <c r="P36" s="18"/>
      <c r="Q36" s="19"/>
      <c r="R36" s="19"/>
      <c r="S36" s="18"/>
      <c r="T36" s="18"/>
      <c r="U36" s="18"/>
    </row>
    <row r="37" customFormat="false" ht="15" hidden="false" customHeight="false" outlineLevel="0" collapsed="false">
      <c r="A37" s="18"/>
      <c r="B37" s="19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4" t="str">
        <f aca="false">IF(COUNTA(I37:K37)=0,"",SUMPRODUCT((((COUNTIF(I37:K37,'2 Courses'!$G$2:$G$200)*('2 Courses'!$G$2:$G$200&lt;&gt;""))+(COUNTIF(I37:K37,'2 Courses'!$H$2:$H$200)*('2 Courses'!$H$2:$H$200&lt;&gt;""))+(COUNTIF(I37:K37,'2 Courses'!$I$2:$I$200)*('2 Courses'!$I$2:$I$200&lt;&gt;"")))&gt;0)*((L37="")+(L37="Diploma or degree")+('2 Courses'!$E$2:$E$200=L37)&gt;0)))</f>
        <v/>
      </c>
      <c r="N37" s="18"/>
      <c r="O37" s="18"/>
      <c r="P37" s="18"/>
      <c r="Q37" s="19"/>
      <c r="R37" s="19"/>
      <c r="S37" s="18"/>
      <c r="T37" s="18"/>
      <c r="U37" s="18"/>
    </row>
    <row r="38" customFormat="false" ht="15" hidden="false" customHeight="false" outlineLevel="0" collapsed="false">
      <c r="A38" s="18"/>
      <c r="B38" s="19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4" t="str">
        <f aca="false">IF(COUNTA(I38:K38)=0,"",SUMPRODUCT((((COUNTIF(I38:K38,'2 Courses'!$G$2:$G$200)*('2 Courses'!$G$2:$G$200&lt;&gt;""))+(COUNTIF(I38:K38,'2 Courses'!$H$2:$H$200)*('2 Courses'!$H$2:$H$200&lt;&gt;""))+(COUNTIF(I38:K38,'2 Courses'!$I$2:$I$200)*('2 Courses'!$I$2:$I$200&lt;&gt;"")))&gt;0)*((L38="")+(L38="Diploma or degree")+('2 Courses'!$E$2:$E$200=L38)&gt;0)))</f>
        <v/>
      </c>
      <c r="N38" s="18"/>
      <c r="O38" s="18"/>
      <c r="P38" s="18"/>
      <c r="Q38" s="19"/>
      <c r="R38" s="19"/>
      <c r="S38" s="18"/>
      <c r="T38" s="18"/>
      <c r="U38" s="18"/>
    </row>
    <row r="39" customFormat="false" ht="15" hidden="false" customHeight="false" outlineLevel="0" collapsed="false">
      <c r="A39" s="18"/>
      <c r="B39" s="19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4" t="str">
        <f aca="false">IF(COUNTA(I39:K39)=0,"",SUMPRODUCT((((COUNTIF(I39:K39,'2 Courses'!$G$2:$G$200)*('2 Courses'!$G$2:$G$200&lt;&gt;""))+(COUNTIF(I39:K39,'2 Courses'!$H$2:$H$200)*('2 Courses'!$H$2:$H$200&lt;&gt;""))+(COUNTIF(I39:K39,'2 Courses'!$I$2:$I$200)*('2 Courses'!$I$2:$I$200&lt;&gt;"")))&gt;0)*((L39="")+(L39="Diploma or degree")+('2 Courses'!$E$2:$E$200=L39)&gt;0)))</f>
        <v/>
      </c>
      <c r="N39" s="18"/>
      <c r="O39" s="18"/>
      <c r="P39" s="18"/>
      <c r="Q39" s="19"/>
      <c r="R39" s="19"/>
      <c r="S39" s="18"/>
      <c r="T39" s="18"/>
      <c r="U39" s="18"/>
    </row>
    <row r="40" customFormat="false" ht="15" hidden="false" customHeight="false" outlineLevel="0" collapsed="false">
      <c r="A40" s="18"/>
      <c r="B40" s="19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4" t="str">
        <f aca="false">IF(COUNTA(I40:K40)=0,"",SUMPRODUCT((((COUNTIF(I40:K40,'2 Courses'!$G$2:$G$200)*('2 Courses'!$G$2:$G$200&lt;&gt;""))+(COUNTIF(I40:K40,'2 Courses'!$H$2:$H$200)*('2 Courses'!$H$2:$H$200&lt;&gt;""))+(COUNTIF(I40:K40,'2 Courses'!$I$2:$I$200)*('2 Courses'!$I$2:$I$200&lt;&gt;"")))&gt;0)*((L40="")+(L40="Diploma or degree")+('2 Courses'!$E$2:$E$200=L40)&gt;0)))</f>
        <v/>
      </c>
      <c r="N40" s="18"/>
      <c r="O40" s="18"/>
      <c r="P40" s="18"/>
      <c r="Q40" s="19"/>
      <c r="R40" s="19"/>
      <c r="S40" s="18"/>
      <c r="T40" s="18"/>
      <c r="U40" s="18"/>
    </row>
    <row r="41" customFormat="false" ht="15" hidden="false" customHeight="false" outlineLevel="0" collapsed="false">
      <c r="A41" s="18"/>
      <c r="B41" s="19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4" t="str">
        <f aca="false">IF(COUNTA(I41:K41)=0,"",SUMPRODUCT((((COUNTIF(I41:K41,'2 Courses'!$G$2:$G$200)*('2 Courses'!$G$2:$G$200&lt;&gt;""))+(COUNTIF(I41:K41,'2 Courses'!$H$2:$H$200)*('2 Courses'!$H$2:$H$200&lt;&gt;""))+(COUNTIF(I41:K41,'2 Courses'!$I$2:$I$200)*('2 Courses'!$I$2:$I$200&lt;&gt;"")))&gt;0)*((L41="")+(L41="Diploma or degree")+('2 Courses'!$E$2:$E$200=L41)&gt;0)))</f>
        <v/>
      </c>
      <c r="N41" s="18"/>
      <c r="O41" s="18"/>
      <c r="P41" s="18"/>
      <c r="Q41" s="19"/>
      <c r="R41" s="19"/>
      <c r="S41" s="18"/>
      <c r="T41" s="18"/>
      <c r="U41" s="18"/>
    </row>
    <row r="42" customFormat="false" ht="15" hidden="false" customHeight="false" outlineLevel="0" collapsed="false">
      <c r="A42" s="18"/>
      <c r="B42" s="19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4" t="str">
        <f aca="false">IF(COUNTA(I42:K42)=0,"",SUMPRODUCT((((COUNTIF(I42:K42,'2 Courses'!$G$2:$G$200)*('2 Courses'!$G$2:$G$200&lt;&gt;""))+(COUNTIF(I42:K42,'2 Courses'!$H$2:$H$200)*('2 Courses'!$H$2:$H$200&lt;&gt;""))+(COUNTIF(I42:K42,'2 Courses'!$I$2:$I$200)*('2 Courses'!$I$2:$I$200&lt;&gt;"")))&gt;0)*((L42="")+(L42="Diploma or degree")+('2 Courses'!$E$2:$E$200=L42)&gt;0)))</f>
        <v/>
      </c>
      <c r="N42" s="18"/>
      <c r="O42" s="18"/>
      <c r="P42" s="18"/>
      <c r="Q42" s="19"/>
      <c r="R42" s="19"/>
      <c r="S42" s="18"/>
      <c r="T42" s="18"/>
      <c r="U42" s="18"/>
    </row>
    <row r="43" customFormat="false" ht="15" hidden="false" customHeight="false" outlineLevel="0" collapsed="false">
      <c r="A43" s="18"/>
      <c r="B43" s="19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4" t="str">
        <f aca="false">IF(COUNTA(I43:K43)=0,"",SUMPRODUCT((((COUNTIF(I43:K43,'2 Courses'!$G$2:$G$200)*('2 Courses'!$G$2:$G$200&lt;&gt;""))+(COUNTIF(I43:K43,'2 Courses'!$H$2:$H$200)*('2 Courses'!$H$2:$H$200&lt;&gt;""))+(COUNTIF(I43:K43,'2 Courses'!$I$2:$I$200)*('2 Courses'!$I$2:$I$200&lt;&gt;"")))&gt;0)*((L43="")+(L43="Diploma or degree")+('2 Courses'!$E$2:$E$200=L43)&gt;0)))</f>
        <v/>
      </c>
      <c r="N43" s="18"/>
      <c r="O43" s="18"/>
      <c r="P43" s="18"/>
      <c r="Q43" s="19"/>
      <c r="R43" s="19"/>
      <c r="S43" s="18"/>
      <c r="T43" s="18"/>
      <c r="U43" s="18"/>
    </row>
    <row r="44" customFormat="false" ht="15" hidden="false" customHeight="false" outlineLevel="0" collapsed="false">
      <c r="A44" s="18"/>
      <c r="B44" s="19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4" t="str">
        <f aca="false">IF(COUNTA(I44:K44)=0,"",SUMPRODUCT((((COUNTIF(I44:K44,'2 Courses'!$G$2:$G$200)*('2 Courses'!$G$2:$G$200&lt;&gt;""))+(COUNTIF(I44:K44,'2 Courses'!$H$2:$H$200)*('2 Courses'!$H$2:$H$200&lt;&gt;""))+(COUNTIF(I44:K44,'2 Courses'!$I$2:$I$200)*('2 Courses'!$I$2:$I$200&lt;&gt;"")))&gt;0)*((L44="")+(L44="Diploma or degree")+('2 Courses'!$E$2:$E$200=L44)&gt;0)))</f>
        <v/>
      </c>
      <c r="N44" s="18"/>
      <c r="O44" s="18"/>
      <c r="P44" s="18"/>
      <c r="Q44" s="19"/>
      <c r="R44" s="19"/>
      <c r="S44" s="18"/>
      <c r="T44" s="18"/>
      <c r="U44" s="18"/>
    </row>
    <row r="45" customFormat="false" ht="15" hidden="false" customHeight="false" outlineLevel="0" collapsed="false">
      <c r="A45" s="18"/>
      <c r="B45" s="19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4" t="str">
        <f aca="false">IF(COUNTA(I45:K45)=0,"",SUMPRODUCT((((COUNTIF(I45:K45,'2 Courses'!$G$2:$G$200)*('2 Courses'!$G$2:$G$200&lt;&gt;""))+(COUNTIF(I45:K45,'2 Courses'!$H$2:$H$200)*('2 Courses'!$H$2:$H$200&lt;&gt;""))+(COUNTIF(I45:K45,'2 Courses'!$I$2:$I$200)*('2 Courses'!$I$2:$I$200&lt;&gt;"")))&gt;0)*((L45="")+(L45="Diploma or degree")+('2 Courses'!$E$2:$E$200=L45)&gt;0)))</f>
        <v/>
      </c>
      <c r="N45" s="18"/>
      <c r="O45" s="18"/>
      <c r="P45" s="18"/>
      <c r="Q45" s="19"/>
      <c r="R45" s="19"/>
      <c r="S45" s="18"/>
      <c r="T45" s="18"/>
      <c r="U45" s="18"/>
    </row>
    <row r="46" customFormat="false" ht="15" hidden="false" customHeight="false" outlineLevel="0" collapsed="false">
      <c r="A46" s="18"/>
      <c r="B46" s="19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4" t="str">
        <f aca="false">IF(COUNTA(I46:K46)=0,"",SUMPRODUCT((((COUNTIF(I46:K46,'2 Courses'!$G$2:$G$200)*('2 Courses'!$G$2:$G$200&lt;&gt;""))+(COUNTIF(I46:K46,'2 Courses'!$H$2:$H$200)*('2 Courses'!$H$2:$H$200&lt;&gt;""))+(COUNTIF(I46:K46,'2 Courses'!$I$2:$I$200)*('2 Courses'!$I$2:$I$200&lt;&gt;"")))&gt;0)*((L46="")+(L46="Diploma or degree")+('2 Courses'!$E$2:$E$200=L46)&gt;0)))</f>
        <v/>
      </c>
      <c r="N46" s="18"/>
      <c r="O46" s="18"/>
      <c r="P46" s="18"/>
      <c r="Q46" s="19"/>
      <c r="R46" s="19"/>
      <c r="S46" s="18"/>
      <c r="T46" s="18"/>
      <c r="U46" s="18"/>
    </row>
    <row r="47" customFormat="false" ht="15" hidden="false" customHeight="false" outlineLevel="0" collapsed="false">
      <c r="A47" s="18"/>
      <c r="B47" s="19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4" t="str">
        <f aca="false">IF(COUNTA(I47:K47)=0,"",SUMPRODUCT((((COUNTIF(I47:K47,'2 Courses'!$G$2:$G$200)*('2 Courses'!$G$2:$G$200&lt;&gt;""))+(COUNTIF(I47:K47,'2 Courses'!$H$2:$H$200)*('2 Courses'!$H$2:$H$200&lt;&gt;""))+(COUNTIF(I47:K47,'2 Courses'!$I$2:$I$200)*('2 Courses'!$I$2:$I$200&lt;&gt;"")))&gt;0)*((L47="")+(L47="Diploma or degree")+('2 Courses'!$E$2:$E$200=L47)&gt;0)))</f>
        <v/>
      </c>
      <c r="N47" s="18"/>
      <c r="O47" s="18"/>
      <c r="P47" s="18"/>
      <c r="Q47" s="19"/>
      <c r="R47" s="19"/>
      <c r="S47" s="18"/>
      <c r="T47" s="18"/>
      <c r="U47" s="18"/>
    </row>
    <row r="48" customFormat="false" ht="15" hidden="false" customHeight="false" outlineLevel="0" collapsed="false">
      <c r="A48" s="18"/>
      <c r="B48" s="19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4" t="str">
        <f aca="false">IF(COUNTA(I48:K48)=0,"",SUMPRODUCT((((COUNTIF(I48:K48,'2 Courses'!$G$2:$G$200)*('2 Courses'!$G$2:$G$200&lt;&gt;""))+(COUNTIF(I48:K48,'2 Courses'!$H$2:$H$200)*('2 Courses'!$H$2:$H$200&lt;&gt;""))+(COUNTIF(I48:K48,'2 Courses'!$I$2:$I$200)*('2 Courses'!$I$2:$I$200&lt;&gt;"")))&gt;0)*((L48="")+(L48="Diploma or degree")+('2 Courses'!$E$2:$E$200=L48)&gt;0)))</f>
        <v/>
      </c>
      <c r="N48" s="18"/>
      <c r="O48" s="18"/>
      <c r="P48" s="18"/>
      <c r="Q48" s="19"/>
      <c r="R48" s="19"/>
      <c r="S48" s="18"/>
      <c r="T48" s="18"/>
      <c r="U48" s="18"/>
    </row>
    <row r="49" customFormat="false" ht="15" hidden="false" customHeight="false" outlineLevel="0" collapsed="false">
      <c r="A49" s="18"/>
      <c r="B49" s="19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4" t="str">
        <f aca="false">IF(COUNTA(I49:K49)=0,"",SUMPRODUCT((((COUNTIF(I49:K49,'2 Courses'!$G$2:$G$200)*('2 Courses'!$G$2:$G$200&lt;&gt;""))+(COUNTIF(I49:K49,'2 Courses'!$H$2:$H$200)*('2 Courses'!$H$2:$H$200&lt;&gt;""))+(COUNTIF(I49:K49,'2 Courses'!$I$2:$I$200)*('2 Courses'!$I$2:$I$200&lt;&gt;"")))&gt;0)*((L49="")+(L49="Diploma or degree")+('2 Courses'!$E$2:$E$200=L49)&gt;0)))</f>
        <v/>
      </c>
      <c r="N49" s="18"/>
      <c r="O49" s="18"/>
      <c r="P49" s="18"/>
      <c r="Q49" s="19"/>
      <c r="R49" s="19"/>
      <c r="S49" s="18"/>
      <c r="T49" s="18"/>
      <c r="U49" s="18"/>
    </row>
    <row r="50" customFormat="false" ht="15" hidden="false" customHeight="false" outlineLevel="0" collapsed="false">
      <c r="A50" s="18"/>
      <c r="B50" s="19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4" t="str">
        <f aca="false">IF(COUNTA(I50:K50)=0,"",SUMPRODUCT((((COUNTIF(I50:K50,'2 Courses'!$G$2:$G$200)*('2 Courses'!$G$2:$G$200&lt;&gt;""))+(COUNTIF(I50:K50,'2 Courses'!$H$2:$H$200)*('2 Courses'!$H$2:$H$200&lt;&gt;""))+(COUNTIF(I50:K50,'2 Courses'!$I$2:$I$200)*('2 Courses'!$I$2:$I$200&lt;&gt;"")))&gt;0)*((L50="")+(L50="Diploma or degree")+('2 Courses'!$E$2:$E$200=L50)&gt;0)))</f>
        <v/>
      </c>
      <c r="N50" s="18"/>
      <c r="O50" s="18"/>
      <c r="P50" s="18"/>
      <c r="Q50" s="19"/>
      <c r="R50" s="19"/>
      <c r="S50" s="18"/>
      <c r="T50" s="18"/>
      <c r="U50" s="18"/>
    </row>
    <row r="51" customFormat="false" ht="15" hidden="false" customHeight="false" outlineLevel="0" collapsed="false">
      <c r="A51" s="18"/>
      <c r="B51" s="19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4" t="str">
        <f aca="false">IF(COUNTA(I51:K51)=0,"",SUMPRODUCT((((COUNTIF(I51:K51,'2 Courses'!$G$2:$G$200)*('2 Courses'!$G$2:$G$200&lt;&gt;""))+(COUNTIF(I51:K51,'2 Courses'!$H$2:$H$200)*('2 Courses'!$H$2:$H$200&lt;&gt;""))+(COUNTIF(I51:K51,'2 Courses'!$I$2:$I$200)*('2 Courses'!$I$2:$I$200&lt;&gt;"")))&gt;0)*((L51="")+(L51="Diploma or degree")+('2 Courses'!$E$2:$E$200=L51)&gt;0)))</f>
        <v/>
      </c>
      <c r="N51" s="18"/>
      <c r="O51" s="18"/>
      <c r="P51" s="18"/>
      <c r="Q51" s="19"/>
      <c r="R51" s="19"/>
      <c r="S51" s="18"/>
      <c r="T51" s="18"/>
      <c r="U51" s="18"/>
    </row>
    <row r="52" customFormat="false" ht="15" hidden="false" customHeight="false" outlineLevel="0" collapsed="false">
      <c r="A52" s="18"/>
      <c r="B52" s="19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4" t="str">
        <f aca="false">IF(COUNTA(I52:K52)=0,"",SUMPRODUCT((((COUNTIF(I52:K52,'2 Courses'!$G$2:$G$200)*('2 Courses'!$G$2:$G$200&lt;&gt;""))+(COUNTIF(I52:K52,'2 Courses'!$H$2:$H$200)*('2 Courses'!$H$2:$H$200&lt;&gt;""))+(COUNTIF(I52:K52,'2 Courses'!$I$2:$I$200)*('2 Courses'!$I$2:$I$200&lt;&gt;"")))&gt;0)*((L52="")+(L52="Diploma or degree")+('2 Courses'!$E$2:$E$200=L52)&gt;0)))</f>
        <v/>
      </c>
      <c r="N52" s="18"/>
      <c r="O52" s="18"/>
      <c r="P52" s="18"/>
      <c r="Q52" s="19"/>
      <c r="R52" s="19"/>
      <c r="S52" s="18"/>
      <c r="T52" s="18"/>
      <c r="U52" s="18"/>
    </row>
    <row r="53" customFormat="false" ht="15" hidden="false" customHeight="false" outlineLevel="0" collapsed="false">
      <c r="A53" s="18"/>
      <c r="B53" s="19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4" t="str">
        <f aca="false">IF(COUNTA(I53:K53)=0,"",SUMPRODUCT((((COUNTIF(I53:K53,'2 Courses'!$G$2:$G$200)*('2 Courses'!$G$2:$G$200&lt;&gt;""))+(COUNTIF(I53:K53,'2 Courses'!$H$2:$H$200)*('2 Courses'!$H$2:$H$200&lt;&gt;""))+(COUNTIF(I53:K53,'2 Courses'!$I$2:$I$200)*('2 Courses'!$I$2:$I$200&lt;&gt;"")))&gt;0)*((L53="")+(L53="Diploma or degree")+('2 Courses'!$E$2:$E$200=L53)&gt;0)))</f>
        <v/>
      </c>
      <c r="N53" s="18"/>
      <c r="O53" s="18"/>
      <c r="P53" s="18"/>
      <c r="Q53" s="19"/>
      <c r="R53" s="19"/>
      <c r="S53" s="18"/>
      <c r="T53" s="18"/>
      <c r="U53" s="18"/>
    </row>
    <row r="54" customFormat="false" ht="15" hidden="false" customHeight="false" outlineLevel="0" collapsed="false">
      <c r="A54" s="18"/>
      <c r="B54" s="19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4" t="str">
        <f aca="false">IF(COUNTA(I54:K54)=0,"",SUMPRODUCT((((COUNTIF(I54:K54,'2 Courses'!$G$2:$G$200)*('2 Courses'!$G$2:$G$200&lt;&gt;""))+(COUNTIF(I54:K54,'2 Courses'!$H$2:$H$200)*('2 Courses'!$H$2:$H$200&lt;&gt;""))+(COUNTIF(I54:K54,'2 Courses'!$I$2:$I$200)*('2 Courses'!$I$2:$I$200&lt;&gt;"")))&gt;0)*((L54="")+(L54="Diploma or degree")+('2 Courses'!$E$2:$E$200=L54)&gt;0)))</f>
        <v/>
      </c>
      <c r="N54" s="18"/>
      <c r="O54" s="18"/>
      <c r="P54" s="18"/>
      <c r="Q54" s="19"/>
      <c r="R54" s="19"/>
      <c r="S54" s="18"/>
      <c r="T54" s="18"/>
      <c r="U54" s="18"/>
    </row>
    <row r="55" customFormat="false" ht="15" hidden="false" customHeight="false" outlineLevel="0" collapsed="false">
      <c r="A55" s="18"/>
      <c r="B55" s="19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4" t="str">
        <f aca="false">IF(COUNTA(I55:K55)=0,"",SUMPRODUCT((((COUNTIF(I55:K55,'2 Courses'!$G$2:$G$200)*('2 Courses'!$G$2:$G$200&lt;&gt;""))+(COUNTIF(I55:K55,'2 Courses'!$H$2:$H$200)*('2 Courses'!$H$2:$H$200&lt;&gt;""))+(COUNTIF(I55:K55,'2 Courses'!$I$2:$I$200)*('2 Courses'!$I$2:$I$200&lt;&gt;"")))&gt;0)*((L55="")+(L55="Diploma or degree")+('2 Courses'!$E$2:$E$200=L55)&gt;0)))</f>
        <v/>
      </c>
      <c r="N55" s="18"/>
      <c r="O55" s="18"/>
      <c r="P55" s="18"/>
      <c r="Q55" s="19"/>
      <c r="R55" s="19"/>
      <c r="S55" s="18"/>
      <c r="T55" s="18"/>
      <c r="U55" s="18"/>
    </row>
    <row r="56" customFormat="false" ht="15" hidden="false" customHeight="false" outlineLevel="0" collapsed="false">
      <c r="A56" s="18"/>
      <c r="B56" s="19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4" t="str">
        <f aca="false">IF(COUNTA(I56:K56)=0,"",SUMPRODUCT((((COUNTIF(I56:K56,'2 Courses'!$G$2:$G$200)*('2 Courses'!$G$2:$G$200&lt;&gt;""))+(COUNTIF(I56:K56,'2 Courses'!$H$2:$H$200)*('2 Courses'!$H$2:$H$200&lt;&gt;""))+(COUNTIF(I56:K56,'2 Courses'!$I$2:$I$200)*('2 Courses'!$I$2:$I$200&lt;&gt;"")))&gt;0)*((L56="")+(L56="Diploma or degree")+('2 Courses'!$E$2:$E$200=L56)&gt;0)))</f>
        <v/>
      </c>
      <c r="N56" s="18"/>
      <c r="O56" s="18"/>
      <c r="P56" s="18"/>
      <c r="Q56" s="19"/>
      <c r="R56" s="19"/>
      <c r="S56" s="18"/>
      <c r="T56" s="18"/>
      <c r="U56" s="18"/>
    </row>
    <row r="57" customFormat="false" ht="15" hidden="false" customHeight="false" outlineLevel="0" collapsed="false">
      <c r="A57" s="18"/>
      <c r="B57" s="19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4" t="str">
        <f aca="false">IF(COUNTA(I57:K57)=0,"",SUMPRODUCT((((COUNTIF(I57:K57,'2 Courses'!$G$2:$G$200)*('2 Courses'!$G$2:$G$200&lt;&gt;""))+(COUNTIF(I57:K57,'2 Courses'!$H$2:$H$200)*('2 Courses'!$H$2:$H$200&lt;&gt;""))+(COUNTIF(I57:K57,'2 Courses'!$I$2:$I$200)*('2 Courses'!$I$2:$I$200&lt;&gt;"")))&gt;0)*((L57="")+(L57="Diploma or degree")+('2 Courses'!$E$2:$E$200=L57)&gt;0)))</f>
        <v/>
      </c>
      <c r="N57" s="18"/>
      <c r="O57" s="18"/>
      <c r="P57" s="18"/>
      <c r="Q57" s="19"/>
      <c r="R57" s="19"/>
      <c r="S57" s="18"/>
      <c r="T57" s="18"/>
      <c r="U57" s="18"/>
    </row>
    <row r="58" customFormat="false" ht="15" hidden="false" customHeight="false" outlineLevel="0" collapsed="false">
      <c r="A58" s="18"/>
      <c r="B58" s="19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4" t="str">
        <f aca="false">IF(COUNTA(I58:K58)=0,"",SUMPRODUCT((((COUNTIF(I58:K58,'2 Courses'!$G$2:$G$200)*('2 Courses'!$G$2:$G$200&lt;&gt;""))+(COUNTIF(I58:K58,'2 Courses'!$H$2:$H$200)*('2 Courses'!$H$2:$H$200&lt;&gt;""))+(COUNTIF(I58:K58,'2 Courses'!$I$2:$I$200)*('2 Courses'!$I$2:$I$200&lt;&gt;"")))&gt;0)*((L58="")+(L58="Diploma or degree")+('2 Courses'!$E$2:$E$200=L58)&gt;0)))</f>
        <v/>
      </c>
      <c r="N58" s="18"/>
      <c r="O58" s="18"/>
      <c r="P58" s="18"/>
      <c r="Q58" s="19"/>
      <c r="R58" s="19"/>
      <c r="S58" s="18"/>
      <c r="T58" s="18"/>
      <c r="U58" s="18"/>
    </row>
    <row r="59" customFormat="false" ht="15" hidden="false" customHeight="false" outlineLevel="0" collapsed="false">
      <c r="A59" s="18"/>
      <c r="B59" s="19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4" t="str">
        <f aca="false">IF(COUNTA(I59:K59)=0,"",SUMPRODUCT((((COUNTIF(I59:K59,'2 Courses'!$G$2:$G$200)*('2 Courses'!$G$2:$G$200&lt;&gt;""))+(COUNTIF(I59:K59,'2 Courses'!$H$2:$H$200)*('2 Courses'!$H$2:$H$200&lt;&gt;""))+(COUNTIF(I59:K59,'2 Courses'!$I$2:$I$200)*('2 Courses'!$I$2:$I$200&lt;&gt;"")))&gt;0)*((L59="")+(L59="Diploma or degree")+('2 Courses'!$E$2:$E$200=L59)&gt;0)))</f>
        <v/>
      </c>
      <c r="N59" s="18"/>
      <c r="O59" s="18"/>
      <c r="P59" s="18"/>
      <c r="Q59" s="19"/>
      <c r="R59" s="19"/>
      <c r="S59" s="18"/>
      <c r="T59" s="18"/>
      <c r="U59" s="18"/>
    </row>
    <row r="60" customFormat="false" ht="15" hidden="false" customHeight="false" outlineLevel="0" collapsed="false">
      <c r="A60" s="18"/>
      <c r="B60" s="19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4" t="str">
        <f aca="false">IF(COUNTA(I60:K60)=0,"",SUMPRODUCT((((COUNTIF(I60:K60,'2 Courses'!$G$2:$G$200)*('2 Courses'!$G$2:$G$200&lt;&gt;""))+(COUNTIF(I60:K60,'2 Courses'!$H$2:$H$200)*('2 Courses'!$H$2:$H$200&lt;&gt;""))+(COUNTIF(I60:K60,'2 Courses'!$I$2:$I$200)*('2 Courses'!$I$2:$I$200&lt;&gt;"")))&gt;0)*((L60="")+(L60="Diploma or degree")+('2 Courses'!$E$2:$E$200=L60)&gt;0)))</f>
        <v/>
      </c>
      <c r="N60" s="18"/>
      <c r="O60" s="18"/>
      <c r="P60" s="18"/>
      <c r="Q60" s="19"/>
      <c r="R60" s="19"/>
      <c r="S60" s="18"/>
      <c r="T60" s="18"/>
      <c r="U60" s="18"/>
    </row>
    <row r="61" customFormat="false" ht="15" hidden="false" customHeight="false" outlineLevel="0" collapsed="false">
      <c r="A61" s="18"/>
      <c r="B61" s="19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4" t="str">
        <f aca="false">IF(COUNTA(I61:K61)=0,"",SUMPRODUCT((((COUNTIF(I61:K61,'2 Courses'!$G$2:$G$200)*('2 Courses'!$G$2:$G$200&lt;&gt;""))+(COUNTIF(I61:K61,'2 Courses'!$H$2:$H$200)*('2 Courses'!$H$2:$H$200&lt;&gt;""))+(COUNTIF(I61:K61,'2 Courses'!$I$2:$I$200)*('2 Courses'!$I$2:$I$200&lt;&gt;"")))&gt;0)*((L61="")+(L61="Diploma or degree")+('2 Courses'!$E$2:$E$200=L61)&gt;0)))</f>
        <v/>
      </c>
      <c r="N61" s="18"/>
      <c r="O61" s="18"/>
      <c r="P61" s="18"/>
      <c r="Q61" s="19"/>
      <c r="R61" s="19"/>
      <c r="S61" s="18"/>
      <c r="T61" s="18"/>
      <c r="U61" s="18"/>
    </row>
    <row r="62" customFormat="false" ht="15" hidden="false" customHeight="false" outlineLevel="0" collapsed="false">
      <c r="A62" s="18"/>
      <c r="B62" s="19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4" t="str">
        <f aca="false">IF(COUNTA(I62:K62)=0,"",SUMPRODUCT((((COUNTIF(I62:K62,'2 Courses'!$G$2:$G$200)*('2 Courses'!$G$2:$G$200&lt;&gt;""))+(COUNTIF(I62:K62,'2 Courses'!$H$2:$H$200)*('2 Courses'!$H$2:$H$200&lt;&gt;""))+(COUNTIF(I62:K62,'2 Courses'!$I$2:$I$200)*('2 Courses'!$I$2:$I$200&lt;&gt;"")))&gt;0)*((L62="")+(L62="Diploma or degree")+('2 Courses'!$E$2:$E$200=L62)&gt;0)))</f>
        <v/>
      </c>
      <c r="N62" s="18"/>
      <c r="O62" s="18"/>
      <c r="P62" s="18"/>
      <c r="Q62" s="19"/>
      <c r="R62" s="19"/>
      <c r="S62" s="18"/>
      <c r="T62" s="18"/>
      <c r="U62" s="18"/>
    </row>
    <row r="63" customFormat="false" ht="15" hidden="false" customHeight="false" outlineLevel="0" collapsed="false">
      <c r="A63" s="18"/>
      <c r="B63" s="19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4" t="str">
        <f aca="false">IF(COUNTA(I63:K63)=0,"",SUMPRODUCT((((COUNTIF(I63:K63,'2 Courses'!$G$2:$G$200)*('2 Courses'!$G$2:$G$200&lt;&gt;""))+(COUNTIF(I63:K63,'2 Courses'!$H$2:$H$200)*('2 Courses'!$H$2:$H$200&lt;&gt;""))+(COUNTIF(I63:K63,'2 Courses'!$I$2:$I$200)*('2 Courses'!$I$2:$I$200&lt;&gt;"")))&gt;0)*((L63="")+(L63="Diploma or degree")+('2 Courses'!$E$2:$E$200=L63)&gt;0)))</f>
        <v/>
      </c>
      <c r="N63" s="18"/>
      <c r="O63" s="18"/>
      <c r="P63" s="18"/>
      <c r="Q63" s="19"/>
      <c r="R63" s="19"/>
      <c r="S63" s="18"/>
      <c r="T63" s="18"/>
      <c r="U63" s="18"/>
    </row>
    <row r="64" customFormat="false" ht="15" hidden="false" customHeight="false" outlineLevel="0" collapsed="false">
      <c r="A64" s="18"/>
      <c r="B64" s="19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4" t="str">
        <f aca="false">IF(COUNTA(I64:K64)=0,"",SUMPRODUCT((((COUNTIF(I64:K64,'2 Courses'!$G$2:$G$200)*('2 Courses'!$G$2:$G$200&lt;&gt;""))+(COUNTIF(I64:K64,'2 Courses'!$H$2:$H$200)*('2 Courses'!$H$2:$H$200&lt;&gt;""))+(COUNTIF(I64:K64,'2 Courses'!$I$2:$I$200)*('2 Courses'!$I$2:$I$200&lt;&gt;"")))&gt;0)*((L64="")+(L64="Diploma or degree")+('2 Courses'!$E$2:$E$200=L64)&gt;0)))</f>
        <v/>
      </c>
      <c r="N64" s="18"/>
      <c r="O64" s="18"/>
      <c r="P64" s="18"/>
      <c r="Q64" s="19"/>
      <c r="R64" s="19"/>
      <c r="S64" s="18"/>
      <c r="T64" s="18"/>
      <c r="U64" s="18"/>
    </row>
    <row r="65" customFormat="false" ht="15" hidden="false" customHeight="false" outlineLevel="0" collapsed="false">
      <c r="A65" s="18"/>
      <c r="B65" s="19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4" t="str">
        <f aca="false">IF(COUNTA(I65:K65)=0,"",SUMPRODUCT((((COUNTIF(I65:K65,'2 Courses'!$G$2:$G$200)*('2 Courses'!$G$2:$G$200&lt;&gt;""))+(COUNTIF(I65:K65,'2 Courses'!$H$2:$H$200)*('2 Courses'!$H$2:$H$200&lt;&gt;""))+(COUNTIF(I65:K65,'2 Courses'!$I$2:$I$200)*('2 Courses'!$I$2:$I$200&lt;&gt;"")))&gt;0)*((L65="")+(L65="Diploma or degree")+('2 Courses'!$E$2:$E$200=L65)&gt;0)))</f>
        <v/>
      </c>
      <c r="N65" s="18"/>
      <c r="O65" s="18"/>
      <c r="P65" s="18"/>
      <c r="Q65" s="19"/>
      <c r="R65" s="19"/>
      <c r="S65" s="18"/>
      <c r="T65" s="18"/>
      <c r="U65" s="18"/>
    </row>
    <row r="66" customFormat="false" ht="15" hidden="false" customHeight="false" outlineLevel="0" collapsed="false">
      <c r="A66" s="18"/>
      <c r="B66" s="19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4" t="str">
        <f aca="false">IF(COUNTA(I66:K66)=0,"",SUMPRODUCT((((COUNTIF(I66:K66,'2 Courses'!$G$2:$G$200)*('2 Courses'!$G$2:$G$200&lt;&gt;""))+(COUNTIF(I66:K66,'2 Courses'!$H$2:$H$200)*('2 Courses'!$H$2:$H$200&lt;&gt;""))+(COUNTIF(I66:K66,'2 Courses'!$I$2:$I$200)*('2 Courses'!$I$2:$I$200&lt;&gt;"")))&gt;0)*((L66="")+(L66="Diploma or degree")+('2 Courses'!$E$2:$E$200=L66)&gt;0)))</f>
        <v/>
      </c>
      <c r="N66" s="18"/>
      <c r="O66" s="18"/>
      <c r="P66" s="18"/>
      <c r="Q66" s="19"/>
      <c r="R66" s="19"/>
      <c r="S66" s="18"/>
      <c r="T66" s="18"/>
      <c r="U66" s="18"/>
    </row>
    <row r="67" customFormat="false" ht="15" hidden="false" customHeight="false" outlineLevel="0" collapsed="false">
      <c r="A67" s="18"/>
      <c r="B67" s="19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4" t="str">
        <f aca="false">IF(COUNTA(I67:K67)=0,"",SUMPRODUCT((((COUNTIF(I67:K67,'2 Courses'!$G$2:$G$200)*('2 Courses'!$G$2:$G$200&lt;&gt;""))+(COUNTIF(I67:K67,'2 Courses'!$H$2:$H$200)*('2 Courses'!$H$2:$H$200&lt;&gt;""))+(COUNTIF(I67:K67,'2 Courses'!$I$2:$I$200)*('2 Courses'!$I$2:$I$200&lt;&gt;"")))&gt;0)*((L67="")+(L67="Diploma or degree")+('2 Courses'!$E$2:$E$200=L67)&gt;0)))</f>
        <v/>
      </c>
      <c r="N67" s="18"/>
      <c r="O67" s="18"/>
      <c r="P67" s="18"/>
      <c r="Q67" s="19"/>
      <c r="R67" s="19"/>
      <c r="S67" s="18"/>
      <c r="T67" s="18"/>
      <c r="U67" s="18"/>
    </row>
    <row r="68" customFormat="false" ht="15" hidden="false" customHeight="false" outlineLevel="0" collapsed="false">
      <c r="A68" s="18"/>
      <c r="B68" s="19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4" t="str">
        <f aca="false">IF(COUNTA(I68:K68)=0,"",SUMPRODUCT((((COUNTIF(I68:K68,'2 Courses'!$G$2:$G$200)*('2 Courses'!$G$2:$G$200&lt;&gt;""))+(COUNTIF(I68:K68,'2 Courses'!$H$2:$H$200)*('2 Courses'!$H$2:$H$200&lt;&gt;""))+(COUNTIF(I68:K68,'2 Courses'!$I$2:$I$200)*('2 Courses'!$I$2:$I$200&lt;&gt;"")))&gt;0)*((L68="")+(L68="Diploma or degree")+('2 Courses'!$E$2:$E$200=L68)&gt;0)))</f>
        <v/>
      </c>
      <c r="N68" s="18"/>
      <c r="O68" s="18"/>
      <c r="P68" s="18"/>
      <c r="Q68" s="19"/>
      <c r="R68" s="19"/>
      <c r="S68" s="18"/>
      <c r="T68" s="18"/>
      <c r="U68" s="18"/>
    </row>
    <row r="69" customFormat="false" ht="15" hidden="false" customHeight="false" outlineLevel="0" collapsed="false">
      <c r="A69" s="18"/>
      <c r="B69" s="19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4" t="str">
        <f aca="false">IF(COUNTA(I69:K69)=0,"",SUMPRODUCT((((COUNTIF(I69:K69,'2 Courses'!$G$2:$G$200)*('2 Courses'!$G$2:$G$200&lt;&gt;""))+(COUNTIF(I69:K69,'2 Courses'!$H$2:$H$200)*('2 Courses'!$H$2:$H$200&lt;&gt;""))+(COUNTIF(I69:K69,'2 Courses'!$I$2:$I$200)*('2 Courses'!$I$2:$I$200&lt;&gt;"")))&gt;0)*((L69="")+(L69="Diploma or degree")+('2 Courses'!$E$2:$E$200=L69)&gt;0)))</f>
        <v/>
      </c>
      <c r="N69" s="18"/>
      <c r="O69" s="18"/>
      <c r="P69" s="18"/>
      <c r="Q69" s="19"/>
      <c r="R69" s="19"/>
      <c r="S69" s="18"/>
      <c r="T69" s="18"/>
      <c r="U69" s="18"/>
    </row>
    <row r="70" customFormat="false" ht="15" hidden="false" customHeight="false" outlineLevel="0" collapsed="false">
      <c r="A70" s="18"/>
      <c r="B70" s="19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4" t="str">
        <f aca="false">IF(COUNTA(I70:K70)=0,"",SUMPRODUCT((((COUNTIF(I70:K70,'2 Courses'!$G$2:$G$200)*('2 Courses'!$G$2:$G$200&lt;&gt;""))+(COUNTIF(I70:K70,'2 Courses'!$H$2:$H$200)*('2 Courses'!$H$2:$H$200&lt;&gt;""))+(COUNTIF(I70:K70,'2 Courses'!$I$2:$I$200)*('2 Courses'!$I$2:$I$200&lt;&gt;"")))&gt;0)*((L70="")+(L70="Diploma or degree")+('2 Courses'!$E$2:$E$200=L70)&gt;0)))</f>
        <v/>
      </c>
      <c r="N70" s="18"/>
      <c r="O70" s="18"/>
      <c r="P70" s="18"/>
      <c r="Q70" s="19"/>
      <c r="R70" s="19"/>
      <c r="S70" s="18"/>
      <c r="T70" s="18"/>
      <c r="U70" s="18"/>
    </row>
    <row r="71" customFormat="false" ht="15" hidden="false" customHeight="false" outlineLevel="0" collapsed="false">
      <c r="A71" s="18"/>
      <c r="B71" s="19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4" t="str">
        <f aca="false">IF(COUNTA(I71:K71)=0,"",SUMPRODUCT((((COUNTIF(I71:K71,'2 Courses'!$G$2:$G$200)*('2 Courses'!$G$2:$G$200&lt;&gt;""))+(COUNTIF(I71:K71,'2 Courses'!$H$2:$H$200)*('2 Courses'!$H$2:$H$200&lt;&gt;""))+(COUNTIF(I71:K71,'2 Courses'!$I$2:$I$200)*('2 Courses'!$I$2:$I$200&lt;&gt;"")))&gt;0)*((L71="")+(L71="Diploma or degree")+('2 Courses'!$E$2:$E$200=L71)&gt;0)))</f>
        <v/>
      </c>
      <c r="N71" s="18"/>
      <c r="O71" s="18"/>
      <c r="P71" s="18"/>
      <c r="Q71" s="19"/>
      <c r="R71" s="19"/>
      <c r="S71" s="18"/>
      <c r="T71" s="18"/>
      <c r="U71" s="18"/>
    </row>
    <row r="72" customFormat="false" ht="15" hidden="false" customHeight="false" outlineLevel="0" collapsed="false">
      <c r="A72" s="18"/>
      <c r="B72" s="19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4" t="str">
        <f aca="false">IF(COUNTA(I72:K72)=0,"",SUMPRODUCT((((COUNTIF(I72:K72,'2 Courses'!$G$2:$G$200)*('2 Courses'!$G$2:$G$200&lt;&gt;""))+(COUNTIF(I72:K72,'2 Courses'!$H$2:$H$200)*('2 Courses'!$H$2:$H$200&lt;&gt;""))+(COUNTIF(I72:K72,'2 Courses'!$I$2:$I$200)*('2 Courses'!$I$2:$I$200&lt;&gt;"")))&gt;0)*((L72="")+(L72="Diploma or degree")+('2 Courses'!$E$2:$E$200=L72)&gt;0)))</f>
        <v/>
      </c>
      <c r="N72" s="18"/>
      <c r="O72" s="18"/>
      <c r="P72" s="18"/>
      <c r="Q72" s="19"/>
      <c r="R72" s="19"/>
      <c r="S72" s="18"/>
      <c r="T72" s="18"/>
      <c r="U72" s="18"/>
    </row>
    <row r="73" customFormat="false" ht="15" hidden="false" customHeight="false" outlineLevel="0" collapsed="false">
      <c r="A73" s="18"/>
      <c r="B73" s="19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4" t="str">
        <f aca="false">IF(COUNTA(I73:K73)=0,"",SUMPRODUCT((((COUNTIF(I73:K73,'2 Courses'!$G$2:$G$200)*('2 Courses'!$G$2:$G$200&lt;&gt;""))+(COUNTIF(I73:K73,'2 Courses'!$H$2:$H$200)*('2 Courses'!$H$2:$H$200&lt;&gt;""))+(COUNTIF(I73:K73,'2 Courses'!$I$2:$I$200)*('2 Courses'!$I$2:$I$200&lt;&gt;"")))&gt;0)*((L73="")+(L73="Diploma or degree")+('2 Courses'!$E$2:$E$200=L73)&gt;0)))</f>
        <v/>
      </c>
      <c r="N73" s="18"/>
      <c r="O73" s="18"/>
      <c r="P73" s="18"/>
      <c r="Q73" s="19"/>
      <c r="R73" s="19"/>
      <c r="S73" s="18"/>
      <c r="T73" s="18"/>
      <c r="U73" s="18"/>
    </row>
    <row r="74" customFormat="false" ht="15" hidden="false" customHeight="false" outlineLevel="0" collapsed="false">
      <c r="A74" s="18"/>
      <c r="B74" s="19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4" t="str">
        <f aca="false">IF(COUNTA(I74:K74)=0,"",SUMPRODUCT((((COUNTIF(I74:K74,'2 Courses'!$G$2:$G$200)*('2 Courses'!$G$2:$G$200&lt;&gt;""))+(COUNTIF(I74:K74,'2 Courses'!$H$2:$H$200)*('2 Courses'!$H$2:$H$200&lt;&gt;""))+(COUNTIF(I74:K74,'2 Courses'!$I$2:$I$200)*('2 Courses'!$I$2:$I$200&lt;&gt;"")))&gt;0)*((L74="")+(L74="Diploma or degree")+('2 Courses'!$E$2:$E$200=L74)&gt;0)))</f>
        <v/>
      </c>
      <c r="N74" s="18"/>
      <c r="O74" s="18"/>
      <c r="P74" s="18"/>
      <c r="Q74" s="19"/>
      <c r="R74" s="19"/>
      <c r="S74" s="18"/>
      <c r="T74" s="18"/>
      <c r="U74" s="18"/>
    </row>
    <row r="75" customFormat="false" ht="15" hidden="false" customHeight="false" outlineLevel="0" collapsed="false">
      <c r="A75" s="18"/>
      <c r="B75" s="19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4" t="str">
        <f aca="false">IF(COUNTA(I75:K75)=0,"",SUMPRODUCT((((COUNTIF(I75:K75,'2 Courses'!$G$2:$G$200)*('2 Courses'!$G$2:$G$200&lt;&gt;""))+(COUNTIF(I75:K75,'2 Courses'!$H$2:$H$200)*('2 Courses'!$H$2:$H$200&lt;&gt;""))+(COUNTIF(I75:K75,'2 Courses'!$I$2:$I$200)*('2 Courses'!$I$2:$I$200&lt;&gt;"")))&gt;0)*((L75="")+(L75="Diploma or degree")+('2 Courses'!$E$2:$E$200=L75)&gt;0)))</f>
        <v/>
      </c>
      <c r="N75" s="18"/>
      <c r="O75" s="18"/>
      <c r="P75" s="18"/>
      <c r="Q75" s="19"/>
      <c r="R75" s="19"/>
      <c r="S75" s="18"/>
      <c r="T75" s="18"/>
      <c r="U75" s="18"/>
    </row>
    <row r="76" customFormat="false" ht="15" hidden="false" customHeight="false" outlineLevel="0" collapsed="false">
      <c r="A76" s="18"/>
      <c r="B76" s="19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4" t="str">
        <f aca="false">IF(COUNTA(I76:K76)=0,"",SUMPRODUCT((((COUNTIF(I76:K76,'2 Courses'!$G$2:$G$200)*('2 Courses'!$G$2:$G$200&lt;&gt;""))+(COUNTIF(I76:K76,'2 Courses'!$H$2:$H$200)*('2 Courses'!$H$2:$H$200&lt;&gt;""))+(COUNTIF(I76:K76,'2 Courses'!$I$2:$I$200)*('2 Courses'!$I$2:$I$200&lt;&gt;"")))&gt;0)*((L76="")+(L76="Diploma or degree")+('2 Courses'!$E$2:$E$200=L76)&gt;0)))</f>
        <v/>
      </c>
      <c r="N76" s="18"/>
      <c r="O76" s="18"/>
      <c r="P76" s="18"/>
      <c r="Q76" s="19"/>
      <c r="R76" s="19"/>
      <c r="S76" s="18"/>
      <c r="T76" s="18"/>
      <c r="U76" s="18"/>
    </row>
    <row r="77" customFormat="false" ht="15" hidden="false" customHeight="false" outlineLevel="0" collapsed="false">
      <c r="A77" s="18"/>
      <c r="B77" s="19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4" t="str">
        <f aca="false">IF(COUNTA(I77:K77)=0,"",SUMPRODUCT((((COUNTIF(I77:K77,'2 Courses'!$G$2:$G$200)*('2 Courses'!$G$2:$G$200&lt;&gt;""))+(COUNTIF(I77:K77,'2 Courses'!$H$2:$H$200)*('2 Courses'!$H$2:$H$200&lt;&gt;""))+(COUNTIF(I77:K77,'2 Courses'!$I$2:$I$200)*('2 Courses'!$I$2:$I$200&lt;&gt;"")))&gt;0)*((L77="")+(L77="Diploma or degree")+('2 Courses'!$E$2:$E$200=L77)&gt;0)))</f>
        <v/>
      </c>
      <c r="N77" s="18"/>
      <c r="O77" s="18"/>
      <c r="P77" s="18"/>
      <c r="Q77" s="19"/>
      <c r="R77" s="19"/>
      <c r="S77" s="18"/>
      <c r="T77" s="18"/>
      <c r="U77" s="18"/>
    </row>
    <row r="78" customFormat="false" ht="15" hidden="false" customHeight="false" outlineLevel="0" collapsed="false">
      <c r="A78" s="18"/>
      <c r="B78" s="19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4" t="str">
        <f aca="false">IF(COUNTA(I78:K78)=0,"",SUMPRODUCT((((COUNTIF(I78:K78,'2 Courses'!$G$2:$G$200)*('2 Courses'!$G$2:$G$200&lt;&gt;""))+(COUNTIF(I78:K78,'2 Courses'!$H$2:$H$200)*('2 Courses'!$H$2:$H$200&lt;&gt;""))+(COUNTIF(I78:K78,'2 Courses'!$I$2:$I$200)*('2 Courses'!$I$2:$I$200&lt;&gt;"")))&gt;0)*((L78="")+(L78="Diploma or degree")+('2 Courses'!$E$2:$E$200=L78)&gt;0)))</f>
        <v/>
      </c>
      <c r="N78" s="18"/>
      <c r="O78" s="18"/>
      <c r="P78" s="18"/>
      <c r="Q78" s="19"/>
      <c r="R78" s="19"/>
      <c r="S78" s="18"/>
      <c r="T78" s="18"/>
      <c r="U78" s="18"/>
    </row>
    <row r="79" customFormat="false" ht="15" hidden="false" customHeight="false" outlineLevel="0" collapsed="false">
      <c r="A79" s="18"/>
      <c r="B79" s="19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4" t="str">
        <f aca="false">IF(COUNTA(I79:K79)=0,"",SUMPRODUCT((((COUNTIF(I79:K79,'2 Courses'!$G$2:$G$200)*('2 Courses'!$G$2:$G$200&lt;&gt;""))+(COUNTIF(I79:K79,'2 Courses'!$H$2:$H$200)*('2 Courses'!$H$2:$H$200&lt;&gt;""))+(COUNTIF(I79:K79,'2 Courses'!$I$2:$I$200)*('2 Courses'!$I$2:$I$200&lt;&gt;"")))&gt;0)*((L79="")+(L79="Diploma or degree")+('2 Courses'!$E$2:$E$200=L79)&gt;0)))</f>
        <v/>
      </c>
      <c r="N79" s="18"/>
      <c r="O79" s="18"/>
      <c r="P79" s="18"/>
      <c r="Q79" s="19"/>
      <c r="R79" s="19"/>
      <c r="S79" s="18"/>
      <c r="T79" s="18"/>
      <c r="U79" s="18"/>
    </row>
    <row r="80" customFormat="false" ht="15" hidden="false" customHeight="false" outlineLevel="0" collapsed="false">
      <c r="A80" s="18"/>
      <c r="B80" s="19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4" t="str">
        <f aca="false">IF(COUNTA(I80:K80)=0,"",SUMPRODUCT((((COUNTIF(I80:K80,'2 Courses'!$G$2:$G$200)*('2 Courses'!$G$2:$G$200&lt;&gt;""))+(COUNTIF(I80:K80,'2 Courses'!$H$2:$H$200)*('2 Courses'!$H$2:$H$200&lt;&gt;""))+(COUNTIF(I80:K80,'2 Courses'!$I$2:$I$200)*('2 Courses'!$I$2:$I$200&lt;&gt;"")))&gt;0)*((L80="")+(L80="Diploma or degree")+('2 Courses'!$E$2:$E$200=L80)&gt;0)))</f>
        <v/>
      </c>
      <c r="N80" s="18"/>
      <c r="O80" s="18"/>
      <c r="P80" s="18"/>
      <c r="Q80" s="19"/>
      <c r="R80" s="19"/>
      <c r="S80" s="18"/>
      <c r="T80" s="18"/>
      <c r="U80" s="18"/>
    </row>
    <row r="81" customFormat="false" ht="15" hidden="false" customHeight="false" outlineLevel="0" collapsed="false">
      <c r="A81" s="18"/>
      <c r="B81" s="19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4" t="str">
        <f aca="false">IF(COUNTA(I81:K81)=0,"",SUMPRODUCT((((COUNTIF(I81:K81,'2 Courses'!$G$2:$G$200)*('2 Courses'!$G$2:$G$200&lt;&gt;""))+(COUNTIF(I81:K81,'2 Courses'!$H$2:$H$200)*('2 Courses'!$H$2:$H$200&lt;&gt;""))+(COUNTIF(I81:K81,'2 Courses'!$I$2:$I$200)*('2 Courses'!$I$2:$I$200&lt;&gt;"")))&gt;0)*((L81="")+(L81="Diploma or degree")+('2 Courses'!$E$2:$E$200=L81)&gt;0)))</f>
        <v/>
      </c>
      <c r="N81" s="18"/>
      <c r="O81" s="18"/>
      <c r="P81" s="18"/>
      <c r="Q81" s="19"/>
      <c r="R81" s="19"/>
      <c r="S81" s="18"/>
      <c r="T81" s="18"/>
      <c r="U81" s="18"/>
    </row>
    <row r="82" customFormat="false" ht="15" hidden="false" customHeight="false" outlineLevel="0" collapsed="false">
      <c r="A82" s="18"/>
      <c r="B82" s="19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4" t="str">
        <f aca="false">IF(COUNTA(I82:K82)=0,"",SUMPRODUCT((((COUNTIF(I82:K82,'2 Courses'!$G$2:$G$200)*('2 Courses'!$G$2:$G$200&lt;&gt;""))+(COUNTIF(I82:K82,'2 Courses'!$H$2:$H$200)*('2 Courses'!$H$2:$H$200&lt;&gt;""))+(COUNTIF(I82:K82,'2 Courses'!$I$2:$I$200)*('2 Courses'!$I$2:$I$200&lt;&gt;"")))&gt;0)*((L82="")+(L82="Diploma or degree")+('2 Courses'!$E$2:$E$200=L82)&gt;0)))</f>
        <v/>
      </c>
      <c r="N82" s="18"/>
      <c r="O82" s="18"/>
      <c r="P82" s="18"/>
      <c r="Q82" s="19"/>
      <c r="R82" s="19"/>
      <c r="S82" s="18"/>
      <c r="T82" s="18"/>
      <c r="U82" s="18"/>
    </row>
    <row r="83" customFormat="false" ht="15" hidden="false" customHeight="false" outlineLevel="0" collapsed="false">
      <c r="A83" s="18"/>
      <c r="B83" s="19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4" t="str">
        <f aca="false">IF(COUNTA(I83:K83)=0,"",SUMPRODUCT((((COUNTIF(I83:K83,'2 Courses'!$G$2:$G$200)*('2 Courses'!$G$2:$G$200&lt;&gt;""))+(COUNTIF(I83:K83,'2 Courses'!$H$2:$H$200)*('2 Courses'!$H$2:$H$200&lt;&gt;""))+(COUNTIF(I83:K83,'2 Courses'!$I$2:$I$200)*('2 Courses'!$I$2:$I$200&lt;&gt;"")))&gt;0)*((L83="")+(L83="Diploma or degree")+('2 Courses'!$E$2:$E$200=L83)&gt;0)))</f>
        <v/>
      </c>
      <c r="N83" s="18"/>
      <c r="O83" s="18"/>
      <c r="P83" s="18"/>
      <c r="Q83" s="19"/>
      <c r="R83" s="19"/>
      <c r="S83" s="18"/>
      <c r="T83" s="18"/>
      <c r="U83" s="18"/>
    </row>
    <row r="84" customFormat="false" ht="15" hidden="false" customHeight="false" outlineLevel="0" collapsed="false">
      <c r="A84" s="18"/>
      <c r="B84" s="19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4" t="str">
        <f aca="false">IF(COUNTA(I84:K84)=0,"",SUMPRODUCT((((COUNTIF(I84:K84,'2 Courses'!$G$2:$G$200)*('2 Courses'!$G$2:$G$200&lt;&gt;""))+(COUNTIF(I84:K84,'2 Courses'!$H$2:$H$200)*('2 Courses'!$H$2:$H$200&lt;&gt;""))+(COUNTIF(I84:K84,'2 Courses'!$I$2:$I$200)*('2 Courses'!$I$2:$I$200&lt;&gt;"")))&gt;0)*((L84="")+(L84="Diploma or degree")+('2 Courses'!$E$2:$E$200=L84)&gt;0)))</f>
        <v/>
      </c>
      <c r="N84" s="18"/>
      <c r="O84" s="18"/>
      <c r="P84" s="18"/>
      <c r="Q84" s="19"/>
      <c r="R84" s="19"/>
      <c r="S84" s="18"/>
      <c r="T84" s="18"/>
      <c r="U84" s="18"/>
    </row>
    <row r="85" customFormat="false" ht="15" hidden="false" customHeight="false" outlineLevel="0" collapsed="false">
      <c r="A85" s="18"/>
      <c r="B85" s="19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4" t="str">
        <f aca="false">IF(COUNTA(I85:K85)=0,"",SUMPRODUCT((((COUNTIF(I85:K85,'2 Courses'!$G$2:$G$200)*('2 Courses'!$G$2:$G$200&lt;&gt;""))+(COUNTIF(I85:K85,'2 Courses'!$H$2:$H$200)*('2 Courses'!$H$2:$H$200&lt;&gt;""))+(COUNTIF(I85:K85,'2 Courses'!$I$2:$I$200)*('2 Courses'!$I$2:$I$200&lt;&gt;"")))&gt;0)*((L85="")+(L85="Diploma or degree")+('2 Courses'!$E$2:$E$200=L85)&gt;0)))</f>
        <v/>
      </c>
      <c r="N85" s="18"/>
      <c r="O85" s="18"/>
      <c r="P85" s="18"/>
      <c r="Q85" s="19"/>
      <c r="R85" s="19"/>
      <c r="S85" s="18"/>
      <c r="T85" s="18"/>
      <c r="U85" s="18"/>
    </row>
    <row r="86" customFormat="false" ht="15" hidden="false" customHeight="false" outlineLevel="0" collapsed="false">
      <c r="A86" s="18"/>
      <c r="B86" s="19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4" t="str">
        <f aca="false">IF(COUNTA(I86:K86)=0,"",SUMPRODUCT((((COUNTIF(I86:K86,'2 Courses'!$G$2:$G$200)*('2 Courses'!$G$2:$G$200&lt;&gt;""))+(COUNTIF(I86:K86,'2 Courses'!$H$2:$H$200)*('2 Courses'!$H$2:$H$200&lt;&gt;""))+(COUNTIF(I86:K86,'2 Courses'!$I$2:$I$200)*('2 Courses'!$I$2:$I$200&lt;&gt;"")))&gt;0)*((L86="")+(L86="Diploma or degree")+('2 Courses'!$E$2:$E$200=L86)&gt;0)))</f>
        <v/>
      </c>
      <c r="N86" s="18"/>
      <c r="O86" s="18"/>
      <c r="P86" s="18"/>
      <c r="Q86" s="19"/>
      <c r="R86" s="19"/>
      <c r="S86" s="18"/>
      <c r="T86" s="18"/>
      <c r="U86" s="18"/>
    </row>
    <row r="87" customFormat="false" ht="15" hidden="false" customHeight="false" outlineLevel="0" collapsed="false">
      <c r="A87" s="18"/>
      <c r="B87" s="19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4" t="str">
        <f aca="false">IF(COUNTA(I87:K87)=0,"",SUMPRODUCT((((COUNTIF(I87:K87,'2 Courses'!$G$2:$G$200)*('2 Courses'!$G$2:$G$200&lt;&gt;""))+(COUNTIF(I87:K87,'2 Courses'!$H$2:$H$200)*('2 Courses'!$H$2:$H$200&lt;&gt;""))+(COUNTIF(I87:K87,'2 Courses'!$I$2:$I$200)*('2 Courses'!$I$2:$I$200&lt;&gt;"")))&gt;0)*((L87="")+(L87="Diploma or degree")+('2 Courses'!$E$2:$E$200=L87)&gt;0)))</f>
        <v/>
      </c>
      <c r="N87" s="18"/>
      <c r="O87" s="18"/>
      <c r="P87" s="18"/>
      <c r="Q87" s="19"/>
      <c r="R87" s="19"/>
      <c r="S87" s="18"/>
      <c r="T87" s="18"/>
      <c r="U87" s="18"/>
    </row>
    <row r="88" customFormat="false" ht="15" hidden="false" customHeight="false" outlineLevel="0" collapsed="false">
      <c r="A88" s="18"/>
      <c r="B88" s="19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4" t="str">
        <f aca="false">IF(COUNTA(I88:K88)=0,"",SUMPRODUCT((((COUNTIF(I88:K88,'2 Courses'!$G$2:$G$200)*('2 Courses'!$G$2:$G$200&lt;&gt;""))+(COUNTIF(I88:K88,'2 Courses'!$H$2:$H$200)*('2 Courses'!$H$2:$H$200&lt;&gt;""))+(COUNTIF(I88:K88,'2 Courses'!$I$2:$I$200)*('2 Courses'!$I$2:$I$200&lt;&gt;"")))&gt;0)*((L88="")+(L88="Diploma or degree")+('2 Courses'!$E$2:$E$200=L88)&gt;0)))</f>
        <v/>
      </c>
      <c r="N88" s="18"/>
      <c r="O88" s="18"/>
      <c r="P88" s="18"/>
      <c r="Q88" s="19"/>
      <c r="R88" s="19"/>
      <c r="S88" s="18"/>
      <c r="T88" s="18"/>
      <c r="U88" s="18"/>
    </row>
    <row r="89" customFormat="false" ht="15" hidden="false" customHeight="false" outlineLevel="0" collapsed="false">
      <c r="A89" s="18"/>
      <c r="B89" s="19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4" t="str">
        <f aca="false">IF(COUNTA(I89:K89)=0,"",SUMPRODUCT((((COUNTIF(I89:K89,'2 Courses'!$G$2:$G$200)*('2 Courses'!$G$2:$G$200&lt;&gt;""))+(COUNTIF(I89:K89,'2 Courses'!$H$2:$H$200)*('2 Courses'!$H$2:$H$200&lt;&gt;""))+(COUNTIF(I89:K89,'2 Courses'!$I$2:$I$200)*('2 Courses'!$I$2:$I$200&lt;&gt;"")))&gt;0)*((L89="")+(L89="Diploma or degree")+('2 Courses'!$E$2:$E$200=L89)&gt;0)))</f>
        <v/>
      </c>
      <c r="N89" s="18"/>
      <c r="O89" s="18"/>
      <c r="P89" s="18"/>
      <c r="Q89" s="19"/>
      <c r="R89" s="19"/>
      <c r="S89" s="18"/>
      <c r="T89" s="18"/>
      <c r="U89" s="18"/>
    </row>
    <row r="90" customFormat="false" ht="15" hidden="false" customHeight="false" outlineLevel="0" collapsed="false">
      <c r="A90" s="18"/>
      <c r="B90" s="19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4" t="str">
        <f aca="false">IF(COUNTA(I90:K90)=0,"",SUMPRODUCT((((COUNTIF(I90:K90,'2 Courses'!$G$2:$G$200)*('2 Courses'!$G$2:$G$200&lt;&gt;""))+(COUNTIF(I90:K90,'2 Courses'!$H$2:$H$200)*('2 Courses'!$H$2:$H$200&lt;&gt;""))+(COUNTIF(I90:K90,'2 Courses'!$I$2:$I$200)*('2 Courses'!$I$2:$I$200&lt;&gt;"")))&gt;0)*((L90="")+(L90="Diploma or degree")+('2 Courses'!$E$2:$E$200=L90)&gt;0)))</f>
        <v/>
      </c>
      <c r="N90" s="18"/>
      <c r="O90" s="18"/>
      <c r="P90" s="18"/>
      <c r="Q90" s="19"/>
      <c r="R90" s="19"/>
      <c r="S90" s="18"/>
      <c r="T90" s="18"/>
      <c r="U90" s="18"/>
    </row>
    <row r="91" customFormat="false" ht="15" hidden="false" customHeight="false" outlineLevel="0" collapsed="false">
      <c r="A91" s="18"/>
      <c r="B91" s="19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4" t="str">
        <f aca="false">IF(COUNTA(I91:K91)=0,"",SUMPRODUCT((((COUNTIF(I91:K91,'2 Courses'!$G$2:$G$200)*('2 Courses'!$G$2:$G$200&lt;&gt;""))+(COUNTIF(I91:K91,'2 Courses'!$H$2:$H$200)*('2 Courses'!$H$2:$H$200&lt;&gt;""))+(COUNTIF(I91:K91,'2 Courses'!$I$2:$I$200)*('2 Courses'!$I$2:$I$200&lt;&gt;"")))&gt;0)*((L91="")+(L91="Diploma or degree")+('2 Courses'!$E$2:$E$200=L91)&gt;0)))</f>
        <v/>
      </c>
      <c r="N91" s="18"/>
      <c r="O91" s="18"/>
      <c r="P91" s="18"/>
      <c r="Q91" s="19"/>
      <c r="R91" s="19"/>
      <c r="S91" s="18"/>
      <c r="T91" s="18"/>
      <c r="U91" s="18"/>
    </row>
    <row r="92" customFormat="false" ht="15" hidden="false" customHeight="false" outlineLevel="0" collapsed="false">
      <c r="A92" s="18"/>
      <c r="B92" s="19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4" t="str">
        <f aca="false">IF(COUNTA(I92:K92)=0,"",SUMPRODUCT((((COUNTIF(I92:K92,'2 Courses'!$G$2:$G$200)*('2 Courses'!$G$2:$G$200&lt;&gt;""))+(COUNTIF(I92:K92,'2 Courses'!$H$2:$H$200)*('2 Courses'!$H$2:$H$200&lt;&gt;""))+(COUNTIF(I92:K92,'2 Courses'!$I$2:$I$200)*('2 Courses'!$I$2:$I$200&lt;&gt;"")))&gt;0)*((L92="")+(L92="Diploma or degree")+('2 Courses'!$E$2:$E$200=L92)&gt;0)))</f>
        <v/>
      </c>
      <c r="N92" s="18"/>
      <c r="O92" s="18"/>
      <c r="P92" s="18"/>
      <c r="Q92" s="19"/>
      <c r="R92" s="19"/>
      <c r="S92" s="18"/>
      <c r="T92" s="18"/>
      <c r="U92" s="18"/>
    </row>
    <row r="93" customFormat="false" ht="15" hidden="false" customHeight="false" outlineLevel="0" collapsed="false">
      <c r="A93" s="18"/>
      <c r="B93" s="19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4" t="str">
        <f aca="false">IF(COUNTA(I93:K93)=0,"",SUMPRODUCT((((COUNTIF(I93:K93,'2 Courses'!$G$2:$G$200)*('2 Courses'!$G$2:$G$200&lt;&gt;""))+(COUNTIF(I93:K93,'2 Courses'!$H$2:$H$200)*('2 Courses'!$H$2:$H$200&lt;&gt;""))+(COUNTIF(I93:K93,'2 Courses'!$I$2:$I$200)*('2 Courses'!$I$2:$I$200&lt;&gt;"")))&gt;0)*((L93="")+(L93="Diploma or degree")+('2 Courses'!$E$2:$E$200=L93)&gt;0)))</f>
        <v/>
      </c>
      <c r="N93" s="18"/>
      <c r="O93" s="18"/>
      <c r="P93" s="18"/>
      <c r="Q93" s="19"/>
      <c r="R93" s="19"/>
      <c r="S93" s="18"/>
      <c r="T93" s="18"/>
      <c r="U93" s="18"/>
    </row>
    <row r="94" customFormat="false" ht="15" hidden="false" customHeight="false" outlineLevel="0" collapsed="false">
      <c r="A94" s="18"/>
      <c r="B94" s="19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4" t="str">
        <f aca="false">IF(COUNTA(I94:K94)=0,"",SUMPRODUCT((((COUNTIF(I94:K94,'2 Courses'!$G$2:$G$200)*('2 Courses'!$G$2:$G$200&lt;&gt;""))+(COUNTIF(I94:K94,'2 Courses'!$H$2:$H$200)*('2 Courses'!$H$2:$H$200&lt;&gt;""))+(COUNTIF(I94:K94,'2 Courses'!$I$2:$I$200)*('2 Courses'!$I$2:$I$200&lt;&gt;"")))&gt;0)*((L94="")+(L94="Diploma or degree")+('2 Courses'!$E$2:$E$200=L94)&gt;0)))</f>
        <v/>
      </c>
      <c r="N94" s="18"/>
      <c r="O94" s="18"/>
      <c r="P94" s="18"/>
      <c r="Q94" s="19"/>
      <c r="R94" s="19"/>
      <c r="S94" s="18"/>
      <c r="T94" s="18"/>
      <c r="U94" s="18"/>
    </row>
    <row r="95" customFormat="false" ht="15" hidden="false" customHeight="false" outlineLevel="0" collapsed="false">
      <c r="A95" s="18"/>
      <c r="B95" s="19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4" t="str">
        <f aca="false">IF(COUNTA(I95:K95)=0,"",SUMPRODUCT((((COUNTIF(I95:K95,'2 Courses'!$G$2:$G$200)*('2 Courses'!$G$2:$G$200&lt;&gt;""))+(COUNTIF(I95:K95,'2 Courses'!$H$2:$H$200)*('2 Courses'!$H$2:$H$200&lt;&gt;""))+(COUNTIF(I95:K95,'2 Courses'!$I$2:$I$200)*('2 Courses'!$I$2:$I$200&lt;&gt;"")))&gt;0)*((L95="")+(L95="Diploma or degree")+('2 Courses'!$E$2:$E$200=L95)&gt;0)))</f>
        <v/>
      </c>
      <c r="N95" s="18"/>
      <c r="O95" s="18"/>
      <c r="P95" s="18"/>
      <c r="Q95" s="19"/>
      <c r="R95" s="19"/>
      <c r="S95" s="18"/>
      <c r="T95" s="18"/>
      <c r="U95" s="18"/>
    </row>
    <row r="96" customFormat="false" ht="15" hidden="false" customHeight="false" outlineLevel="0" collapsed="false">
      <c r="A96" s="18"/>
      <c r="B96" s="19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4" t="str">
        <f aca="false">IF(COUNTA(I96:K96)=0,"",SUMPRODUCT((((COUNTIF(I96:K96,'2 Courses'!$G$2:$G$200)*('2 Courses'!$G$2:$G$200&lt;&gt;""))+(COUNTIF(I96:K96,'2 Courses'!$H$2:$H$200)*('2 Courses'!$H$2:$H$200&lt;&gt;""))+(COUNTIF(I96:K96,'2 Courses'!$I$2:$I$200)*('2 Courses'!$I$2:$I$200&lt;&gt;"")))&gt;0)*((L96="")+(L96="Diploma or degree")+('2 Courses'!$E$2:$E$200=L96)&gt;0)))</f>
        <v/>
      </c>
      <c r="N96" s="18"/>
      <c r="O96" s="18"/>
      <c r="P96" s="18"/>
      <c r="Q96" s="19"/>
      <c r="R96" s="19"/>
      <c r="S96" s="18"/>
      <c r="T96" s="18"/>
      <c r="U96" s="18"/>
    </row>
    <row r="97" customFormat="false" ht="15" hidden="false" customHeight="false" outlineLevel="0" collapsed="false">
      <c r="A97" s="18"/>
      <c r="B97" s="19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4" t="str">
        <f aca="false">IF(COUNTA(I97:K97)=0,"",SUMPRODUCT((((COUNTIF(I97:K97,'2 Courses'!$G$2:$G$200)*('2 Courses'!$G$2:$G$200&lt;&gt;""))+(COUNTIF(I97:K97,'2 Courses'!$H$2:$H$200)*('2 Courses'!$H$2:$H$200&lt;&gt;""))+(COUNTIF(I97:K97,'2 Courses'!$I$2:$I$200)*('2 Courses'!$I$2:$I$200&lt;&gt;"")))&gt;0)*((L97="")+(L97="Diploma or degree")+('2 Courses'!$E$2:$E$200=L97)&gt;0)))</f>
        <v/>
      </c>
      <c r="N97" s="18"/>
      <c r="O97" s="18"/>
      <c r="P97" s="18"/>
      <c r="Q97" s="19"/>
      <c r="R97" s="19"/>
      <c r="S97" s="18"/>
      <c r="T97" s="18"/>
      <c r="U97" s="18"/>
    </row>
    <row r="98" customFormat="false" ht="15" hidden="false" customHeight="false" outlineLevel="0" collapsed="false">
      <c r="A98" s="18"/>
      <c r="B98" s="19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4" t="str">
        <f aca="false">IF(COUNTA(I98:K98)=0,"",SUMPRODUCT((((COUNTIF(I98:K98,'2 Courses'!$G$2:$G$200)*('2 Courses'!$G$2:$G$200&lt;&gt;""))+(COUNTIF(I98:K98,'2 Courses'!$H$2:$H$200)*('2 Courses'!$H$2:$H$200&lt;&gt;""))+(COUNTIF(I98:K98,'2 Courses'!$I$2:$I$200)*('2 Courses'!$I$2:$I$200&lt;&gt;"")))&gt;0)*((L98="")+(L98="Diploma or degree")+('2 Courses'!$E$2:$E$200=L98)&gt;0)))</f>
        <v/>
      </c>
      <c r="N98" s="18"/>
      <c r="O98" s="18"/>
      <c r="P98" s="18"/>
      <c r="Q98" s="19"/>
      <c r="R98" s="19"/>
      <c r="S98" s="18"/>
      <c r="T98" s="18"/>
      <c r="U98" s="18"/>
    </row>
    <row r="99" customFormat="false" ht="15" hidden="false" customHeight="false" outlineLevel="0" collapsed="false">
      <c r="A99" s="18"/>
      <c r="B99" s="19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4" t="str">
        <f aca="false">IF(COUNTA(I99:K99)=0,"",SUMPRODUCT((((COUNTIF(I99:K99,'2 Courses'!$G$2:$G$200)*('2 Courses'!$G$2:$G$200&lt;&gt;""))+(COUNTIF(I99:K99,'2 Courses'!$H$2:$H$200)*('2 Courses'!$H$2:$H$200&lt;&gt;""))+(COUNTIF(I99:K99,'2 Courses'!$I$2:$I$200)*('2 Courses'!$I$2:$I$200&lt;&gt;"")))&gt;0)*((L99="")+(L99="Diploma or degree")+('2 Courses'!$E$2:$E$200=L99)&gt;0)))</f>
        <v/>
      </c>
      <c r="N99" s="18"/>
      <c r="O99" s="18"/>
      <c r="P99" s="18"/>
      <c r="Q99" s="19"/>
      <c r="R99" s="19"/>
      <c r="S99" s="18"/>
      <c r="T99" s="18"/>
      <c r="U99" s="18"/>
    </row>
    <row r="100" customFormat="false" ht="15" hidden="false" customHeight="false" outlineLevel="0" collapsed="false">
      <c r="A100" s="18"/>
      <c r="B100" s="19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4" t="str">
        <f aca="false">IF(COUNTA(I100:K100)=0,"",SUMPRODUCT((((COUNTIF(I100:K100,'2 Courses'!$G$2:$G$200)*('2 Courses'!$G$2:$G$200&lt;&gt;""))+(COUNTIF(I100:K100,'2 Courses'!$H$2:$H$200)*('2 Courses'!$H$2:$H$200&lt;&gt;""))+(COUNTIF(I100:K100,'2 Courses'!$I$2:$I$200)*('2 Courses'!$I$2:$I$200&lt;&gt;"")))&gt;0)*((L100="")+(L100="Diploma or degree")+('2 Courses'!$E$2:$E$200=L100)&gt;0)))</f>
        <v/>
      </c>
      <c r="N100" s="18"/>
      <c r="O100" s="18"/>
      <c r="P100" s="18"/>
      <c r="Q100" s="19"/>
      <c r="R100" s="19"/>
      <c r="S100" s="18"/>
      <c r="T100" s="18"/>
      <c r="U100" s="18"/>
    </row>
    <row r="101" customFormat="false" ht="15" hidden="false" customHeight="false" outlineLevel="0" collapsed="false">
      <c r="A101" s="18"/>
      <c r="B101" s="19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4" t="str">
        <f aca="false">IF(COUNTA(I101:K101)=0,"",SUMPRODUCT((((COUNTIF(I101:K101,'2 Courses'!$G$2:$G$200)*('2 Courses'!$G$2:$G$200&lt;&gt;""))+(COUNTIF(I101:K101,'2 Courses'!$H$2:$H$200)*('2 Courses'!$H$2:$H$200&lt;&gt;""))+(COUNTIF(I101:K101,'2 Courses'!$I$2:$I$200)*('2 Courses'!$I$2:$I$200&lt;&gt;"")))&gt;0)*((L101="")+(L101="Diploma or degree")+('2 Courses'!$E$2:$E$200=L101)&gt;0)))</f>
        <v/>
      </c>
      <c r="N101" s="18"/>
      <c r="O101" s="18"/>
      <c r="P101" s="18"/>
      <c r="Q101" s="19"/>
      <c r="R101" s="19"/>
      <c r="S101" s="18"/>
      <c r="T101" s="18"/>
      <c r="U101" s="18"/>
    </row>
    <row r="102" customFormat="false" ht="15" hidden="false" customHeight="false" outlineLevel="0" collapsed="false">
      <c r="A102" s="18"/>
      <c r="B102" s="19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4" t="str">
        <f aca="false">IF(COUNTA(I102:K102)=0,"",SUMPRODUCT((((COUNTIF(I102:K102,'2 Courses'!$G$2:$G$200)*('2 Courses'!$G$2:$G$200&lt;&gt;""))+(COUNTIF(I102:K102,'2 Courses'!$H$2:$H$200)*('2 Courses'!$H$2:$H$200&lt;&gt;""))+(COUNTIF(I102:K102,'2 Courses'!$I$2:$I$200)*('2 Courses'!$I$2:$I$200&lt;&gt;"")))&gt;0)*((L102="")+(L102="Diploma or degree")+('2 Courses'!$E$2:$E$200=L102)&gt;0)))</f>
        <v/>
      </c>
      <c r="N102" s="18"/>
      <c r="O102" s="18"/>
      <c r="P102" s="18"/>
      <c r="Q102" s="19"/>
      <c r="R102" s="19"/>
      <c r="S102" s="18"/>
      <c r="T102" s="18"/>
      <c r="U102" s="18"/>
    </row>
    <row r="103" customFormat="false" ht="15" hidden="false" customHeight="false" outlineLevel="0" collapsed="false">
      <c r="A103" s="18"/>
      <c r="B103" s="19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4" t="str">
        <f aca="false">IF(COUNTA(I103:K103)=0,"",SUMPRODUCT((((COUNTIF(I103:K103,'2 Courses'!$G$2:$G$200)*('2 Courses'!$G$2:$G$200&lt;&gt;""))+(COUNTIF(I103:K103,'2 Courses'!$H$2:$H$200)*('2 Courses'!$H$2:$H$200&lt;&gt;""))+(COUNTIF(I103:K103,'2 Courses'!$I$2:$I$200)*('2 Courses'!$I$2:$I$200&lt;&gt;"")))&gt;0)*((L103="")+(L103="Diploma or degree")+('2 Courses'!$E$2:$E$200=L103)&gt;0)))</f>
        <v/>
      </c>
      <c r="N103" s="18"/>
      <c r="O103" s="18"/>
      <c r="P103" s="18"/>
      <c r="Q103" s="19"/>
      <c r="R103" s="19"/>
      <c r="S103" s="18"/>
      <c r="T103" s="18"/>
      <c r="U103" s="18"/>
    </row>
    <row r="104" customFormat="false" ht="15" hidden="false" customHeight="false" outlineLevel="0" collapsed="false">
      <c r="A104" s="18"/>
      <c r="B104" s="19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4" t="str">
        <f aca="false">IF(COUNTA(I104:K104)=0,"",SUMPRODUCT((((COUNTIF(I104:K104,'2 Courses'!$G$2:$G$200)*('2 Courses'!$G$2:$G$200&lt;&gt;""))+(COUNTIF(I104:K104,'2 Courses'!$H$2:$H$200)*('2 Courses'!$H$2:$H$200&lt;&gt;""))+(COUNTIF(I104:K104,'2 Courses'!$I$2:$I$200)*('2 Courses'!$I$2:$I$200&lt;&gt;"")))&gt;0)*((L104="")+(L104="Diploma or degree")+('2 Courses'!$E$2:$E$200=L104)&gt;0)))</f>
        <v/>
      </c>
      <c r="N104" s="18"/>
      <c r="O104" s="18"/>
      <c r="P104" s="18"/>
      <c r="Q104" s="19"/>
      <c r="R104" s="19"/>
      <c r="S104" s="18"/>
      <c r="T104" s="18"/>
      <c r="U104" s="18"/>
    </row>
    <row r="105" customFormat="false" ht="15" hidden="false" customHeight="false" outlineLevel="0" collapsed="false">
      <c r="A105" s="18"/>
      <c r="B105" s="19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4" t="str">
        <f aca="false">IF(COUNTA(I105:K105)=0,"",SUMPRODUCT((((COUNTIF(I105:K105,'2 Courses'!$G$2:$G$200)*('2 Courses'!$G$2:$G$200&lt;&gt;""))+(COUNTIF(I105:K105,'2 Courses'!$H$2:$H$200)*('2 Courses'!$H$2:$H$200&lt;&gt;""))+(COUNTIF(I105:K105,'2 Courses'!$I$2:$I$200)*('2 Courses'!$I$2:$I$200&lt;&gt;"")))&gt;0)*((L105="")+(L105="Diploma or degree")+('2 Courses'!$E$2:$E$200=L105)&gt;0)))</f>
        <v/>
      </c>
      <c r="N105" s="18"/>
      <c r="O105" s="18"/>
      <c r="P105" s="18"/>
      <c r="Q105" s="19"/>
      <c r="R105" s="19"/>
      <c r="S105" s="18"/>
      <c r="T105" s="18"/>
      <c r="U105" s="18"/>
    </row>
    <row r="106" customFormat="false" ht="15" hidden="false" customHeight="false" outlineLevel="0" collapsed="false">
      <c r="A106" s="18"/>
      <c r="B106" s="19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4" t="str">
        <f aca="false">IF(COUNTA(I106:K106)=0,"",SUMPRODUCT((((COUNTIF(I106:K106,'2 Courses'!$G$2:$G$200)*('2 Courses'!$G$2:$G$200&lt;&gt;""))+(COUNTIF(I106:K106,'2 Courses'!$H$2:$H$200)*('2 Courses'!$H$2:$H$200&lt;&gt;""))+(COUNTIF(I106:K106,'2 Courses'!$I$2:$I$200)*('2 Courses'!$I$2:$I$200&lt;&gt;"")))&gt;0)*((L106="")+(L106="Diploma or degree")+('2 Courses'!$E$2:$E$200=L106)&gt;0)))</f>
        <v/>
      </c>
      <c r="N106" s="18"/>
      <c r="O106" s="18"/>
      <c r="P106" s="18"/>
      <c r="Q106" s="19"/>
      <c r="R106" s="19"/>
      <c r="S106" s="18"/>
      <c r="T106" s="18"/>
      <c r="U106" s="18"/>
    </row>
    <row r="107" customFormat="false" ht="15" hidden="false" customHeight="false" outlineLevel="0" collapsed="false">
      <c r="A107" s="18"/>
      <c r="B107" s="19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4" t="str">
        <f aca="false">IF(COUNTA(I107:K107)=0,"",SUMPRODUCT((((COUNTIF(I107:K107,'2 Courses'!$G$2:$G$200)*('2 Courses'!$G$2:$G$200&lt;&gt;""))+(COUNTIF(I107:K107,'2 Courses'!$H$2:$H$200)*('2 Courses'!$H$2:$H$200&lt;&gt;""))+(COUNTIF(I107:K107,'2 Courses'!$I$2:$I$200)*('2 Courses'!$I$2:$I$200&lt;&gt;"")))&gt;0)*((L107="")+(L107="Diploma or degree")+('2 Courses'!$E$2:$E$200=L107)&gt;0)))</f>
        <v/>
      </c>
      <c r="N107" s="18"/>
      <c r="O107" s="18"/>
      <c r="P107" s="18"/>
      <c r="Q107" s="19"/>
      <c r="R107" s="19"/>
      <c r="S107" s="18"/>
      <c r="T107" s="18"/>
      <c r="U107" s="18"/>
    </row>
    <row r="108" customFormat="false" ht="15" hidden="false" customHeight="false" outlineLevel="0" collapsed="false">
      <c r="A108" s="18"/>
      <c r="B108" s="19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4" t="str">
        <f aca="false">IF(COUNTA(I108:K108)=0,"",SUMPRODUCT((((COUNTIF(I108:K108,'2 Courses'!$G$2:$G$200)*('2 Courses'!$G$2:$G$200&lt;&gt;""))+(COUNTIF(I108:K108,'2 Courses'!$H$2:$H$200)*('2 Courses'!$H$2:$H$200&lt;&gt;""))+(COUNTIF(I108:K108,'2 Courses'!$I$2:$I$200)*('2 Courses'!$I$2:$I$200&lt;&gt;"")))&gt;0)*((L108="")+(L108="Diploma or degree")+('2 Courses'!$E$2:$E$200=L108)&gt;0)))</f>
        <v/>
      </c>
      <c r="N108" s="18"/>
      <c r="O108" s="18"/>
      <c r="P108" s="18"/>
      <c r="Q108" s="19"/>
      <c r="R108" s="19"/>
      <c r="S108" s="18"/>
      <c r="T108" s="18"/>
      <c r="U108" s="18"/>
    </row>
    <row r="109" customFormat="false" ht="15" hidden="false" customHeight="false" outlineLevel="0" collapsed="false">
      <c r="A109" s="18"/>
      <c r="B109" s="19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4" t="str">
        <f aca="false">IF(COUNTA(I109:K109)=0,"",SUMPRODUCT((((COUNTIF(I109:K109,'2 Courses'!$G$2:$G$200)*('2 Courses'!$G$2:$G$200&lt;&gt;""))+(COUNTIF(I109:K109,'2 Courses'!$H$2:$H$200)*('2 Courses'!$H$2:$H$200&lt;&gt;""))+(COUNTIF(I109:K109,'2 Courses'!$I$2:$I$200)*('2 Courses'!$I$2:$I$200&lt;&gt;"")))&gt;0)*((L109="")+(L109="Diploma or degree")+('2 Courses'!$E$2:$E$200=L109)&gt;0)))</f>
        <v/>
      </c>
      <c r="N109" s="18"/>
      <c r="O109" s="18"/>
      <c r="P109" s="18"/>
      <c r="Q109" s="19"/>
      <c r="R109" s="19"/>
      <c r="S109" s="18"/>
      <c r="T109" s="18"/>
      <c r="U109" s="18"/>
    </row>
    <row r="110" customFormat="false" ht="15" hidden="false" customHeight="false" outlineLevel="0" collapsed="false">
      <c r="A110" s="18"/>
      <c r="B110" s="19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4" t="str">
        <f aca="false">IF(COUNTA(I110:K110)=0,"",SUMPRODUCT((((COUNTIF(I110:K110,'2 Courses'!$G$2:$G$200)*('2 Courses'!$G$2:$G$200&lt;&gt;""))+(COUNTIF(I110:K110,'2 Courses'!$H$2:$H$200)*('2 Courses'!$H$2:$H$200&lt;&gt;""))+(COUNTIF(I110:K110,'2 Courses'!$I$2:$I$200)*('2 Courses'!$I$2:$I$200&lt;&gt;"")))&gt;0)*((L110="")+(L110="Diploma or degree")+('2 Courses'!$E$2:$E$200=L110)&gt;0)))</f>
        <v/>
      </c>
      <c r="N110" s="18"/>
      <c r="O110" s="18"/>
      <c r="P110" s="18"/>
      <c r="Q110" s="19"/>
      <c r="R110" s="19"/>
      <c r="S110" s="18"/>
      <c r="T110" s="18"/>
      <c r="U110" s="18"/>
    </row>
    <row r="111" customFormat="false" ht="15" hidden="false" customHeight="false" outlineLevel="0" collapsed="false">
      <c r="A111" s="18"/>
      <c r="B111" s="19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4" t="str">
        <f aca="false">IF(COUNTA(I111:K111)=0,"",SUMPRODUCT((((COUNTIF(I111:K111,'2 Courses'!$G$2:$G$200)*('2 Courses'!$G$2:$G$200&lt;&gt;""))+(COUNTIF(I111:K111,'2 Courses'!$H$2:$H$200)*('2 Courses'!$H$2:$H$200&lt;&gt;""))+(COUNTIF(I111:K111,'2 Courses'!$I$2:$I$200)*('2 Courses'!$I$2:$I$200&lt;&gt;"")))&gt;0)*((L111="")+(L111="Diploma or degree")+('2 Courses'!$E$2:$E$200=L111)&gt;0)))</f>
        <v/>
      </c>
      <c r="N111" s="18"/>
      <c r="O111" s="18"/>
      <c r="P111" s="18"/>
      <c r="Q111" s="19"/>
      <c r="R111" s="19"/>
      <c r="S111" s="18"/>
      <c r="T111" s="18"/>
      <c r="U111" s="18"/>
    </row>
    <row r="112" customFormat="false" ht="15" hidden="false" customHeight="false" outlineLevel="0" collapsed="false">
      <c r="A112" s="18"/>
      <c r="B112" s="19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4" t="str">
        <f aca="false">IF(COUNTA(I112:K112)=0,"",SUMPRODUCT((((COUNTIF(I112:K112,'2 Courses'!$G$2:$G$200)*('2 Courses'!$G$2:$G$200&lt;&gt;""))+(COUNTIF(I112:K112,'2 Courses'!$H$2:$H$200)*('2 Courses'!$H$2:$H$200&lt;&gt;""))+(COUNTIF(I112:K112,'2 Courses'!$I$2:$I$200)*('2 Courses'!$I$2:$I$200&lt;&gt;"")))&gt;0)*((L112="")+(L112="Diploma or degree")+('2 Courses'!$E$2:$E$200=L112)&gt;0)))</f>
        <v/>
      </c>
      <c r="N112" s="18"/>
      <c r="O112" s="18"/>
      <c r="P112" s="18"/>
      <c r="Q112" s="19"/>
      <c r="R112" s="19"/>
      <c r="S112" s="18"/>
      <c r="T112" s="18"/>
      <c r="U112" s="18"/>
    </row>
    <row r="113" customFormat="false" ht="15" hidden="false" customHeight="false" outlineLevel="0" collapsed="false">
      <c r="A113" s="18"/>
      <c r="B113" s="19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4" t="str">
        <f aca="false">IF(COUNTA(I113:K113)=0,"",SUMPRODUCT((((COUNTIF(I113:K113,'2 Courses'!$G$2:$G$200)*('2 Courses'!$G$2:$G$200&lt;&gt;""))+(COUNTIF(I113:K113,'2 Courses'!$H$2:$H$200)*('2 Courses'!$H$2:$H$200&lt;&gt;""))+(COUNTIF(I113:K113,'2 Courses'!$I$2:$I$200)*('2 Courses'!$I$2:$I$200&lt;&gt;"")))&gt;0)*((L113="")+(L113="Diploma or degree")+('2 Courses'!$E$2:$E$200=L113)&gt;0)))</f>
        <v/>
      </c>
      <c r="N113" s="18"/>
      <c r="O113" s="18"/>
      <c r="P113" s="18"/>
      <c r="Q113" s="19"/>
      <c r="R113" s="19"/>
      <c r="S113" s="18"/>
      <c r="T113" s="18"/>
      <c r="U113" s="18"/>
    </row>
    <row r="114" customFormat="false" ht="15" hidden="false" customHeight="false" outlineLevel="0" collapsed="false">
      <c r="A114" s="18"/>
      <c r="B114" s="19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4" t="str">
        <f aca="false">IF(COUNTA(I114:K114)=0,"",SUMPRODUCT((((COUNTIF(I114:K114,'2 Courses'!$G$2:$G$200)*('2 Courses'!$G$2:$G$200&lt;&gt;""))+(COUNTIF(I114:K114,'2 Courses'!$H$2:$H$200)*('2 Courses'!$H$2:$H$200&lt;&gt;""))+(COUNTIF(I114:K114,'2 Courses'!$I$2:$I$200)*('2 Courses'!$I$2:$I$200&lt;&gt;"")))&gt;0)*((L114="")+(L114="Diploma or degree")+('2 Courses'!$E$2:$E$200=L114)&gt;0)))</f>
        <v/>
      </c>
      <c r="N114" s="18"/>
      <c r="O114" s="18"/>
      <c r="P114" s="18"/>
      <c r="Q114" s="19"/>
      <c r="R114" s="19"/>
      <c r="S114" s="18"/>
      <c r="T114" s="18"/>
      <c r="U114" s="18"/>
    </row>
    <row r="115" customFormat="false" ht="15" hidden="false" customHeight="false" outlineLevel="0" collapsed="false">
      <c r="A115" s="18"/>
      <c r="B115" s="19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4" t="str">
        <f aca="false">IF(COUNTA(I115:K115)=0,"",SUMPRODUCT((((COUNTIF(I115:K115,'2 Courses'!$G$2:$G$200)*('2 Courses'!$G$2:$G$200&lt;&gt;""))+(COUNTIF(I115:K115,'2 Courses'!$H$2:$H$200)*('2 Courses'!$H$2:$H$200&lt;&gt;""))+(COUNTIF(I115:K115,'2 Courses'!$I$2:$I$200)*('2 Courses'!$I$2:$I$200&lt;&gt;"")))&gt;0)*((L115="")+(L115="Diploma or degree")+('2 Courses'!$E$2:$E$200=L115)&gt;0)))</f>
        <v/>
      </c>
      <c r="N115" s="18"/>
      <c r="O115" s="18"/>
      <c r="P115" s="18"/>
      <c r="Q115" s="19"/>
      <c r="R115" s="19"/>
      <c r="S115" s="18"/>
      <c r="T115" s="18"/>
      <c r="U115" s="18"/>
    </row>
    <row r="116" customFormat="false" ht="15" hidden="false" customHeight="false" outlineLevel="0" collapsed="false">
      <c r="A116" s="18"/>
      <c r="B116" s="19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4" t="str">
        <f aca="false">IF(COUNTA(I116:K116)=0,"",SUMPRODUCT((((COUNTIF(I116:K116,'2 Courses'!$G$2:$G$200)*('2 Courses'!$G$2:$G$200&lt;&gt;""))+(COUNTIF(I116:K116,'2 Courses'!$H$2:$H$200)*('2 Courses'!$H$2:$H$200&lt;&gt;""))+(COUNTIF(I116:K116,'2 Courses'!$I$2:$I$200)*('2 Courses'!$I$2:$I$200&lt;&gt;"")))&gt;0)*((L116="")+(L116="Diploma or degree")+('2 Courses'!$E$2:$E$200=L116)&gt;0)))</f>
        <v/>
      </c>
      <c r="N116" s="18"/>
      <c r="O116" s="18"/>
      <c r="P116" s="18"/>
      <c r="Q116" s="19"/>
      <c r="R116" s="19"/>
      <c r="S116" s="18"/>
      <c r="T116" s="18"/>
      <c r="U116" s="18"/>
    </row>
    <row r="117" customFormat="false" ht="15" hidden="false" customHeight="false" outlineLevel="0" collapsed="false">
      <c r="A117" s="18"/>
      <c r="B117" s="19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4" t="str">
        <f aca="false">IF(COUNTA(I117:K117)=0,"",SUMPRODUCT((((COUNTIF(I117:K117,'2 Courses'!$G$2:$G$200)*('2 Courses'!$G$2:$G$200&lt;&gt;""))+(COUNTIF(I117:K117,'2 Courses'!$H$2:$H$200)*('2 Courses'!$H$2:$H$200&lt;&gt;""))+(COUNTIF(I117:K117,'2 Courses'!$I$2:$I$200)*('2 Courses'!$I$2:$I$200&lt;&gt;"")))&gt;0)*((L117="")+(L117="Diploma or degree")+('2 Courses'!$E$2:$E$200=L117)&gt;0)))</f>
        <v/>
      </c>
      <c r="N117" s="18"/>
      <c r="O117" s="18"/>
      <c r="P117" s="18"/>
      <c r="Q117" s="19"/>
      <c r="R117" s="19"/>
      <c r="S117" s="18"/>
      <c r="T117" s="18"/>
      <c r="U117" s="18"/>
    </row>
    <row r="118" customFormat="false" ht="15" hidden="false" customHeight="false" outlineLevel="0" collapsed="false">
      <c r="A118" s="18"/>
      <c r="B118" s="19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4" t="str">
        <f aca="false">IF(COUNTA(I118:K118)=0,"",SUMPRODUCT((((COUNTIF(I118:K118,'2 Courses'!$G$2:$G$200)*('2 Courses'!$G$2:$G$200&lt;&gt;""))+(COUNTIF(I118:K118,'2 Courses'!$H$2:$H$200)*('2 Courses'!$H$2:$H$200&lt;&gt;""))+(COUNTIF(I118:K118,'2 Courses'!$I$2:$I$200)*('2 Courses'!$I$2:$I$200&lt;&gt;"")))&gt;0)*((L118="")+(L118="Diploma or degree")+('2 Courses'!$E$2:$E$200=L118)&gt;0)))</f>
        <v/>
      </c>
      <c r="N118" s="18"/>
      <c r="O118" s="18"/>
      <c r="P118" s="18"/>
      <c r="Q118" s="19"/>
      <c r="R118" s="19"/>
      <c r="S118" s="18"/>
      <c r="T118" s="18"/>
      <c r="U118" s="18"/>
    </row>
    <row r="119" customFormat="false" ht="15" hidden="false" customHeight="false" outlineLevel="0" collapsed="false">
      <c r="A119" s="18"/>
      <c r="B119" s="19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4" t="str">
        <f aca="false">IF(COUNTA(I119:K119)=0,"",SUMPRODUCT((((COUNTIF(I119:K119,'2 Courses'!$G$2:$G$200)*('2 Courses'!$G$2:$G$200&lt;&gt;""))+(COUNTIF(I119:K119,'2 Courses'!$H$2:$H$200)*('2 Courses'!$H$2:$H$200&lt;&gt;""))+(COUNTIF(I119:K119,'2 Courses'!$I$2:$I$200)*('2 Courses'!$I$2:$I$200&lt;&gt;"")))&gt;0)*((L119="")+(L119="Diploma or degree")+('2 Courses'!$E$2:$E$200=L119)&gt;0)))</f>
        <v/>
      </c>
      <c r="N119" s="18"/>
      <c r="O119" s="18"/>
      <c r="P119" s="18"/>
      <c r="Q119" s="19"/>
      <c r="R119" s="19"/>
      <c r="S119" s="18"/>
      <c r="T119" s="18"/>
      <c r="U119" s="18"/>
    </row>
    <row r="120" customFormat="false" ht="15" hidden="false" customHeight="false" outlineLevel="0" collapsed="false">
      <c r="A120" s="18"/>
      <c r="B120" s="19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4" t="str">
        <f aca="false">IF(COUNTA(I120:K120)=0,"",SUMPRODUCT((((COUNTIF(I120:K120,'2 Courses'!$G$2:$G$200)*('2 Courses'!$G$2:$G$200&lt;&gt;""))+(COUNTIF(I120:K120,'2 Courses'!$H$2:$H$200)*('2 Courses'!$H$2:$H$200&lt;&gt;""))+(COUNTIF(I120:K120,'2 Courses'!$I$2:$I$200)*('2 Courses'!$I$2:$I$200&lt;&gt;"")))&gt;0)*((L120="")+(L120="Diploma or degree")+('2 Courses'!$E$2:$E$200=L120)&gt;0)))</f>
        <v/>
      </c>
      <c r="N120" s="18"/>
      <c r="O120" s="18"/>
      <c r="P120" s="18"/>
      <c r="Q120" s="19"/>
      <c r="R120" s="19"/>
      <c r="S120" s="18"/>
      <c r="T120" s="18"/>
      <c r="U120" s="18"/>
    </row>
    <row r="121" customFormat="false" ht="15" hidden="false" customHeight="false" outlineLevel="0" collapsed="false">
      <c r="A121" s="18"/>
      <c r="B121" s="19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4" t="str">
        <f aca="false">IF(COUNTA(I121:K121)=0,"",SUMPRODUCT((((COUNTIF(I121:K121,'2 Courses'!$G$2:$G$200)*('2 Courses'!$G$2:$G$200&lt;&gt;""))+(COUNTIF(I121:K121,'2 Courses'!$H$2:$H$200)*('2 Courses'!$H$2:$H$200&lt;&gt;""))+(COUNTIF(I121:K121,'2 Courses'!$I$2:$I$200)*('2 Courses'!$I$2:$I$200&lt;&gt;"")))&gt;0)*((L121="")+(L121="Diploma or degree")+('2 Courses'!$E$2:$E$200=L121)&gt;0)))</f>
        <v/>
      </c>
      <c r="N121" s="18"/>
      <c r="O121" s="18"/>
      <c r="P121" s="18"/>
      <c r="Q121" s="19"/>
      <c r="R121" s="19"/>
      <c r="S121" s="18"/>
      <c r="T121" s="18"/>
      <c r="U121" s="18"/>
    </row>
    <row r="122" customFormat="false" ht="15" hidden="false" customHeight="false" outlineLevel="0" collapsed="false">
      <c r="A122" s="18"/>
      <c r="B122" s="19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4" t="str">
        <f aca="false">IF(COUNTA(I122:K122)=0,"",SUMPRODUCT((((COUNTIF(I122:K122,'2 Courses'!$G$2:$G$200)*('2 Courses'!$G$2:$G$200&lt;&gt;""))+(COUNTIF(I122:K122,'2 Courses'!$H$2:$H$200)*('2 Courses'!$H$2:$H$200&lt;&gt;""))+(COUNTIF(I122:K122,'2 Courses'!$I$2:$I$200)*('2 Courses'!$I$2:$I$200&lt;&gt;"")))&gt;0)*((L122="")+(L122="Diploma or degree")+('2 Courses'!$E$2:$E$200=L122)&gt;0)))</f>
        <v/>
      </c>
      <c r="N122" s="18"/>
      <c r="O122" s="18"/>
      <c r="P122" s="18"/>
      <c r="Q122" s="19"/>
      <c r="R122" s="19"/>
      <c r="S122" s="18"/>
      <c r="T122" s="18"/>
      <c r="U122" s="18"/>
    </row>
    <row r="123" customFormat="false" ht="15" hidden="false" customHeight="false" outlineLevel="0" collapsed="false">
      <c r="A123" s="18"/>
      <c r="B123" s="19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4" t="str">
        <f aca="false">IF(COUNTA(I123:K123)=0,"",SUMPRODUCT((((COUNTIF(I123:K123,'2 Courses'!$G$2:$G$200)*('2 Courses'!$G$2:$G$200&lt;&gt;""))+(COUNTIF(I123:K123,'2 Courses'!$H$2:$H$200)*('2 Courses'!$H$2:$H$200&lt;&gt;""))+(COUNTIF(I123:K123,'2 Courses'!$I$2:$I$200)*('2 Courses'!$I$2:$I$200&lt;&gt;"")))&gt;0)*((L123="")+(L123="Diploma or degree")+('2 Courses'!$E$2:$E$200=L123)&gt;0)))</f>
        <v/>
      </c>
      <c r="N123" s="18"/>
      <c r="O123" s="18"/>
      <c r="P123" s="18"/>
      <c r="Q123" s="19"/>
      <c r="R123" s="19"/>
      <c r="S123" s="18"/>
      <c r="T123" s="18"/>
      <c r="U123" s="18"/>
    </row>
    <row r="124" customFormat="false" ht="15" hidden="false" customHeight="false" outlineLevel="0" collapsed="false">
      <c r="A124" s="18"/>
      <c r="B124" s="19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4" t="str">
        <f aca="false">IF(COUNTA(I124:K124)=0,"",SUMPRODUCT((((COUNTIF(I124:K124,'2 Courses'!$G$2:$G$200)*('2 Courses'!$G$2:$G$200&lt;&gt;""))+(COUNTIF(I124:K124,'2 Courses'!$H$2:$H$200)*('2 Courses'!$H$2:$H$200&lt;&gt;""))+(COUNTIF(I124:K124,'2 Courses'!$I$2:$I$200)*('2 Courses'!$I$2:$I$200&lt;&gt;"")))&gt;0)*((L124="")+(L124="Diploma or degree")+('2 Courses'!$E$2:$E$200=L124)&gt;0)))</f>
        <v/>
      </c>
      <c r="N124" s="18"/>
      <c r="O124" s="18"/>
      <c r="P124" s="18"/>
      <c r="Q124" s="19"/>
      <c r="R124" s="19"/>
      <c r="S124" s="18"/>
      <c r="T124" s="18"/>
      <c r="U124" s="18"/>
    </row>
    <row r="125" customFormat="false" ht="15" hidden="false" customHeight="false" outlineLevel="0" collapsed="false">
      <c r="A125" s="18"/>
      <c r="B125" s="19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4" t="str">
        <f aca="false">IF(COUNTA(I125:K125)=0,"",SUMPRODUCT((((COUNTIF(I125:K125,'2 Courses'!$G$2:$G$200)*('2 Courses'!$G$2:$G$200&lt;&gt;""))+(COUNTIF(I125:K125,'2 Courses'!$H$2:$H$200)*('2 Courses'!$H$2:$H$200&lt;&gt;""))+(COUNTIF(I125:K125,'2 Courses'!$I$2:$I$200)*('2 Courses'!$I$2:$I$200&lt;&gt;"")))&gt;0)*((L125="")+(L125="Diploma or degree")+('2 Courses'!$E$2:$E$200=L125)&gt;0)))</f>
        <v/>
      </c>
      <c r="N125" s="18"/>
      <c r="O125" s="18"/>
      <c r="P125" s="18"/>
      <c r="Q125" s="19"/>
      <c r="R125" s="19"/>
      <c r="S125" s="18"/>
      <c r="T125" s="18"/>
      <c r="U125" s="18"/>
    </row>
    <row r="126" customFormat="false" ht="15" hidden="false" customHeight="false" outlineLevel="0" collapsed="false">
      <c r="A126" s="18"/>
      <c r="B126" s="19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4" t="str">
        <f aca="false">IF(COUNTA(I126:K126)=0,"",SUMPRODUCT((((COUNTIF(I126:K126,'2 Courses'!$G$2:$G$200)*('2 Courses'!$G$2:$G$200&lt;&gt;""))+(COUNTIF(I126:K126,'2 Courses'!$H$2:$H$200)*('2 Courses'!$H$2:$H$200&lt;&gt;""))+(COUNTIF(I126:K126,'2 Courses'!$I$2:$I$200)*('2 Courses'!$I$2:$I$200&lt;&gt;"")))&gt;0)*((L126="")+(L126="Diploma or degree")+('2 Courses'!$E$2:$E$200=L126)&gt;0)))</f>
        <v/>
      </c>
      <c r="N126" s="18"/>
      <c r="O126" s="18"/>
      <c r="P126" s="18"/>
      <c r="Q126" s="19"/>
      <c r="R126" s="19"/>
      <c r="S126" s="18"/>
      <c r="T126" s="18"/>
      <c r="U126" s="18"/>
    </row>
    <row r="127" customFormat="false" ht="15" hidden="false" customHeight="false" outlineLevel="0" collapsed="false">
      <c r="A127" s="18"/>
      <c r="B127" s="19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4" t="str">
        <f aca="false">IF(COUNTA(I127:K127)=0,"",SUMPRODUCT((((COUNTIF(I127:K127,'2 Courses'!$G$2:$G$200)*('2 Courses'!$G$2:$G$200&lt;&gt;""))+(COUNTIF(I127:K127,'2 Courses'!$H$2:$H$200)*('2 Courses'!$H$2:$H$200&lt;&gt;""))+(COUNTIF(I127:K127,'2 Courses'!$I$2:$I$200)*('2 Courses'!$I$2:$I$200&lt;&gt;"")))&gt;0)*((L127="")+(L127="Diploma or degree")+('2 Courses'!$E$2:$E$200=L127)&gt;0)))</f>
        <v/>
      </c>
      <c r="N127" s="18"/>
      <c r="O127" s="18"/>
      <c r="P127" s="18"/>
      <c r="Q127" s="19"/>
      <c r="R127" s="19"/>
      <c r="S127" s="18"/>
      <c r="T127" s="18"/>
      <c r="U127" s="18"/>
    </row>
    <row r="128" customFormat="false" ht="15" hidden="false" customHeight="false" outlineLevel="0" collapsed="false">
      <c r="A128" s="18"/>
      <c r="B128" s="19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4" t="str">
        <f aca="false">IF(COUNTA(I128:K128)=0,"",SUMPRODUCT((((COUNTIF(I128:K128,'2 Courses'!$G$2:$G$200)*('2 Courses'!$G$2:$G$200&lt;&gt;""))+(COUNTIF(I128:K128,'2 Courses'!$H$2:$H$200)*('2 Courses'!$H$2:$H$200&lt;&gt;""))+(COUNTIF(I128:K128,'2 Courses'!$I$2:$I$200)*('2 Courses'!$I$2:$I$200&lt;&gt;"")))&gt;0)*((L128="")+(L128="Diploma or degree")+('2 Courses'!$E$2:$E$200=L128)&gt;0)))</f>
        <v/>
      </c>
      <c r="N128" s="18"/>
      <c r="O128" s="18"/>
      <c r="P128" s="18"/>
      <c r="Q128" s="19"/>
      <c r="R128" s="19"/>
      <c r="S128" s="18"/>
      <c r="T128" s="18"/>
      <c r="U128" s="18"/>
    </row>
    <row r="129" customFormat="false" ht="15" hidden="false" customHeight="false" outlineLevel="0" collapsed="false">
      <c r="A129" s="18"/>
      <c r="B129" s="19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4" t="str">
        <f aca="false">IF(COUNTA(I129:K129)=0,"",SUMPRODUCT((((COUNTIF(I129:K129,'2 Courses'!$G$2:$G$200)*('2 Courses'!$G$2:$G$200&lt;&gt;""))+(COUNTIF(I129:K129,'2 Courses'!$H$2:$H$200)*('2 Courses'!$H$2:$H$200&lt;&gt;""))+(COUNTIF(I129:K129,'2 Courses'!$I$2:$I$200)*('2 Courses'!$I$2:$I$200&lt;&gt;"")))&gt;0)*((L129="")+(L129="Diploma or degree")+('2 Courses'!$E$2:$E$200=L129)&gt;0)))</f>
        <v/>
      </c>
      <c r="N129" s="18"/>
      <c r="O129" s="18"/>
      <c r="P129" s="18"/>
      <c r="Q129" s="19"/>
      <c r="R129" s="19"/>
      <c r="S129" s="18"/>
      <c r="T129" s="18"/>
      <c r="U129" s="18"/>
    </row>
    <row r="130" customFormat="false" ht="15" hidden="false" customHeight="false" outlineLevel="0" collapsed="false">
      <c r="A130" s="18"/>
      <c r="B130" s="19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4" t="str">
        <f aca="false">IF(COUNTA(I130:K130)=0,"",SUMPRODUCT((((COUNTIF(I130:K130,'2 Courses'!$G$2:$G$200)*('2 Courses'!$G$2:$G$200&lt;&gt;""))+(COUNTIF(I130:K130,'2 Courses'!$H$2:$H$200)*('2 Courses'!$H$2:$H$200&lt;&gt;""))+(COUNTIF(I130:K130,'2 Courses'!$I$2:$I$200)*('2 Courses'!$I$2:$I$200&lt;&gt;"")))&gt;0)*((L130="")+(L130="Diploma or degree")+('2 Courses'!$E$2:$E$200=L130)&gt;0)))</f>
        <v/>
      </c>
      <c r="N130" s="18"/>
      <c r="O130" s="18"/>
      <c r="P130" s="18"/>
      <c r="Q130" s="19"/>
      <c r="R130" s="19"/>
      <c r="S130" s="18"/>
      <c r="T130" s="18"/>
      <c r="U130" s="18"/>
    </row>
    <row r="131" customFormat="false" ht="15" hidden="false" customHeight="false" outlineLevel="0" collapsed="false">
      <c r="A131" s="18"/>
      <c r="B131" s="19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4" t="str">
        <f aca="false">IF(COUNTA(I131:K131)=0,"",SUMPRODUCT((((COUNTIF(I131:K131,'2 Courses'!$G$2:$G$200)*('2 Courses'!$G$2:$G$200&lt;&gt;""))+(COUNTIF(I131:K131,'2 Courses'!$H$2:$H$200)*('2 Courses'!$H$2:$H$200&lt;&gt;""))+(COUNTIF(I131:K131,'2 Courses'!$I$2:$I$200)*('2 Courses'!$I$2:$I$200&lt;&gt;"")))&gt;0)*((L131="")+(L131="Diploma or degree")+('2 Courses'!$E$2:$E$200=L131)&gt;0)))</f>
        <v/>
      </c>
      <c r="N131" s="18"/>
      <c r="O131" s="18"/>
      <c r="P131" s="18"/>
      <c r="Q131" s="19"/>
      <c r="R131" s="19"/>
      <c r="S131" s="18"/>
      <c r="T131" s="18"/>
      <c r="U131" s="18"/>
    </row>
    <row r="132" customFormat="false" ht="15" hidden="false" customHeight="false" outlineLevel="0" collapsed="false">
      <c r="A132" s="18"/>
      <c r="B132" s="19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4" t="str">
        <f aca="false">IF(COUNTA(I132:K132)=0,"",SUMPRODUCT((((COUNTIF(I132:K132,'2 Courses'!$G$2:$G$200)*('2 Courses'!$G$2:$G$200&lt;&gt;""))+(COUNTIF(I132:K132,'2 Courses'!$H$2:$H$200)*('2 Courses'!$H$2:$H$200&lt;&gt;""))+(COUNTIF(I132:K132,'2 Courses'!$I$2:$I$200)*('2 Courses'!$I$2:$I$200&lt;&gt;"")))&gt;0)*((L132="")+(L132="Diploma or degree")+('2 Courses'!$E$2:$E$200=L132)&gt;0)))</f>
        <v/>
      </c>
      <c r="N132" s="18"/>
      <c r="O132" s="18"/>
      <c r="P132" s="18"/>
      <c r="Q132" s="19"/>
      <c r="R132" s="19"/>
      <c r="S132" s="18"/>
      <c r="T132" s="18"/>
      <c r="U132" s="18"/>
    </row>
    <row r="133" customFormat="false" ht="15" hidden="false" customHeight="false" outlineLevel="0" collapsed="false">
      <c r="A133" s="18"/>
      <c r="B133" s="19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4" t="str">
        <f aca="false">IF(COUNTA(I133:K133)=0,"",SUMPRODUCT((((COUNTIF(I133:K133,'2 Courses'!$G$2:$G$200)*('2 Courses'!$G$2:$G$200&lt;&gt;""))+(COUNTIF(I133:K133,'2 Courses'!$H$2:$H$200)*('2 Courses'!$H$2:$H$200&lt;&gt;""))+(COUNTIF(I133:K133,'2 Courses'!$I$2:$I$200)*('2 Courses'!$I$2:$I$200&lt;&gt;"")))&gt;0)*((L133="")+(L133="Diploma or degree")+('2 Courses'!$E$2:$E$200=L133)&gt;0)))</f>
        <v/>
      </c>
      <c r="N133" s="18"/>
      <c r="O133" s="18"/>
      <c r="P133" s="18"/>
      <c r="Q133" s="19"/>
      <c r="R133" s="19"/>
      <c r="S133" s="18"/>
      <c r="T133" s="18"/>
      <c r="U133" s="18"/>
    </row>
    <row r="134" customFormat="false" ht="15" hidden="false" customHeight="false" outlineLevel="0" collapsed="false">
      <c r="A134" s="18"/>
      <c r="B134" s="19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4" t="str">
        <f aca="false">IF(COUNTA(I134:K134)=0,"",SUMPRODUCT((((COUNTIF(I134:K134,'2 Courses'!$G$2:$G$200)*('2 Courses'!$G$2:$G$200&lt;&gt;""))+(COUNTIF(I134:K134,'2 Courses'!$H$2:$H$200)*('2 Courses'!$H$2:$H$200&lt;&gt;""))+(COUNTIF(I134:K134,'2 Courses'!$I$2:$I$200)*('2 Courses'!$I$2:$I$200&lt;&gt;"")))&gt;0)*((L134="")+(L134="Diploma or degree")+('2 Courses'!$E$2:$E$200=L134)&gt;0)))</f>
        <v/>
      </c>
      <c r="N134" s="18"/>
      <c r="O134" s="18"/>
      <c r="P134" s="18"/>
      <c r="Q134" s="19"/>
      <c r="R134" s="19"/>
      <c r="S134" s="18"/>
      <c r="T134" s="18"/>
      <c r="U134" s="18"/>
    </row>
    <row r="135" customFormat="false" ht="15" hidden="false" customHeight="false" outlineLevel="0" collapsed="false">
      <c r="A135" s="18"/>
      <c r="B135" s="19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4" t="str">
        <f aca="false">IF(COUNTA(I135:K135)=0,"",SUMPRODUCT((((COUNTIF(I135:K135,'2 Courses'!$G$2:$G$200)*('2 Courses'!$G$2:$G$200&lt;&gt;""))+(COUNTIF(I135:K135,'2 Courses'!$H$2:$H$200)*('2 Courses'!$H$2:$H$200&lt;&gt;""))+(COUNTIF(I135:K135,'2 Courses'!$I$2:$I$200)*('2 Courses'!$I$2:$I$200&lt;&gt;"")))&gt;0)*((L135="")+(L135="Diploma or degree")+('2 Courses'!$E$2:$E$200=L135)&gt;0)))</f>
        <v/>
      </c>
      <c r="N135" s="18"/>
      <c r="O135" s="18"/>
      <c r="P135" s="18"/>
      <c r="Q135" s="19"/>
      <c r="R135" s="19"/>
      <c r="S135" s="18"/>
      <c r="T135" s="18"/>
      <c r="U135" s="18"/>
    </row>
    <row r="136" customFormat="false" ht="15" hidden="false" customHeight="false" outlineLevel="0" collapsed="false">
      <c r="A136" s="18"/>
      <c r="B136" s="19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4" t="str">
        <f aca="false">IF(COUNTA(I136:K136)=0,"",SUMPRODUCT((((COUNTIF(I136:K136,'2 Courses'!$G$2:$G$200)*('2 Courses'!$G$2:$G$200&lt;&gt;""))+(COUNTIF(I136:K136,'2 Courses'!$H$2:$H$200)*('2 Courses'!$H$2:$H$200&lt;&gt;""))+(COUNTIF(I136:K136,'2 Courses'!$I$2:$I$200)*('2 Courses'!$I$2:$I$200&lt;&gt;"")))&gt;0)*((L136="")+(L136="Diploma or degree")+('2 Courses'!$E$2:$E$200=L136)&gt;0)))</f>
        <v/>
      </c>
      <c r="N136" s="18"/>
      <c r="O136" s="18"/>
      <c r="P136" s="18"/>
      <c r="Q136" s="19"/>
      <c r="R136" s="19"/>
      <c r="S136" s="18"/>
      <c r="T136" s="18"/>
      <c r="U136" s="18"/>
    </row>
    <row r="137" customFormat="false" ht="15" hidden="false" customHeight="false" outlineLevel="0" collapsed="false">
      <c r="A137" s="18"/>
      <c r="B137" s="19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4" t="str">
        <f aca="false">IF(COUNTA(I137:K137)=0,"",SUMPRODUCT((((COUNTIF(I137:K137,'2 Courses'!$G$2:$G$200)*('2 Courses'!$G$2:$G$200&lt;&gt;""))+(COUNTIF(I137:K137,'2 Courses'!$H$2:$H$200)*('2 Courses'!$H$2:$H$200&lt;&gt;""))+(COUNTIF(I137:K137,'2 Courses'!$I$2:$I$200)*('2 Courses'!$I$2:$I$200&lt;&gt;"")))&gt;0)*((L137="")+(L137="Diploma or degree")+('2 Courses'!$E$2:$E$200=L137)&gt;0)))</f>
        <v/>
      </c>
      <c r="N137" s="18"/>
      <c r="O137" s="18"/>
      <c r="P137" s="18"/>
      <c r="Q137" s="19"/>
      <c r="R137" s="19"/>
      <c r="S137" s="18"/>
      <c r="T137" s="18"/>
      <c r="U137" s="18"/>
    </row>
    <row r="138" customFormat="false" ht="15" hidden="false" customHeight="false" outlineLevel="0" collapsed="false">
      <c r="A138" s="18"/>
      <c r="B138" s="19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4" t="str">
        <f aca="false">IF(COUNTA(I138:K138)=0,"",SUMPRODUCT((((COUNTIF(I138:K138,'2 Courses'!$G$2:$G$200)*('2 Courses'!$G$2:$G$200&lt;&gt;""))+(COUNTIF(I138:K138,'2 Courses'!$H$2:$H$200)*('2 Courses'!$H$2:$H$200&lt;&gt;""))+(COUNTIF(I138:K138,'2 Courses'!$I$2:$I$200)*('2 Courses'!$I$2:$I$200&lt;&gt;"")))&gt;0)*((L138="")+(L138="Diploma or degree")+('2 Courses'!$E$2:$E$200=L138)&gt;0)))</f>
        <v/>
      </c>
      <c r="N138" s="18"/>
      <c r="O138" s="18"/>
      <c r="P138" s="18"/>
      <c r="Q138" s="19"/>
      <c r="R138" s="19"/>
      <c r="S138" s="18"/>
      <c r="T138" s="18"/>
      <c r="U138" s="18"/>
    </row>
    <row r="139" customFormat="false" ht="15" hidden="false" customHeight="false" outlineLevel="0" collapsed="false">
      <c r="A139" s="18"/>
      <c r="B139" s="19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4" t="str">
        <f aca="false">IF(COUNTA(I139:K139)=0,"",SUMPRODUCT((((COUNTIF(I139:K139,'2 Courses'!$G$2:$G$200)*('2 Courses'!$G$2:$G$200&lt;&gt;""))+(COUNTIF(I139:K139,'2 Courses'!$H$2:$H$200)*('2 Courses'!$H$2:$H$200&lt;&gt;""))+(COUNTIF(I139:K139,'2 Courses'!$I$2:$I$200)*('2 Courses'!$I$2:$I$200&lt;&gt;"")))&gt;0)*((L139="")+(L139="Diploma or degree")+('2 Courses'!$E$2:$E$200=L139)&gt;0)))</f>
        <v/>
      </c>
      <c r="N139" s="18"/>
      <c r="O139" s="18"/>
      <c r="P139" s="18"/>
      <c r="Q139" s="19"/>
      <c r="R139" s="19"/>
      <c r="S139" s="18"/>
      <c r="T139" s="18"/>
      <c r="U139" s="18"/>
    </row>
    <row r="140" customFormat="false" ht="15" hidden="false" customHeight="false" outlineLevel="0" collapsed="false">
      <c r="A140" s="18"/>
      <c r="B140" s="19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4" t="str">
        <f aca="false">IF(COUNTA(I140:K140)=0,"",SUMPRODUCT((((COUNTIF(I140:K140,'2 Courses'!$G$2:$G$200)*('2 Courses'!$G$2:$G$200&lt;&gt;""))+(COUNTIF(I140:K140,'2 Courses'!$H$2:$H$200)*('2 Courses'!$H$2:$H$200&lt;&gt;""))+(COUNTIF(I140:K140,'2 Courses'!$I$2:$I$200)*('2 Courses'!$I$2:$I$200&lt;&gt;"")))&gt;0)*((L140="")+(L140="Diploma or degree")+('2 Courses'!$E$2:$E$200=L140)&gt;0)))</f>
        <v/>
      </c>
      <c r="N140" s="18"/>
      <c r="O140" s="18"/>
      <c r="P140" s="18"/>
      <c r="Q140" s="19"/>
      <c r="R140" s="19"/>
      <c r="S140" s="18"/>
      <c r="T140" s="18"/>
      <c r="U140" s="18"/>
    </row>
    <row r="141" customFormat="false" ht="15" hidden="false" customHeight="false" outlineLevel="0" collapsed="false">
      <c r="A141" s="18"/>
      <c r="B141" s="19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4" t="str">
        <f aca="false">IF(COUNTA(I141:K141)=0,"",SUMPRODUCT((((COUNTIF(I141:K141,'2 Courses'!$G$2:$G$200)*('2 Courses'!$G$2:$G$200&lt;&gt;""))+(COUNTIF(I141:K141,'2 Courses'!$H$2:$H$200)*('2 Courses'!$H$2:$H$200&lt;&gt;""))+(COUNTIF(I141:K141,'2 Courses'!$I$2:$I$200)*('2 Courses'!$I$2:$I$200&lt;&gt;"")))&gt;0)*((L141="")+(L141="Diploma or degree")+('2 Courses'!$E$2:$E$200=L141)&gt;0)))</f>
        <v/>
      </c>
      <c r="N141" s="18"/>
      <c r="O141" s="18"/>
      <c r="P141" s="18"/>
      <c r="Q141" s="19"/>
      <c r="R141" s="19"/>
      <c r="S141" s="18"/>
      <c r="T141" s="18"/>
      <c r="U141" s="18"/>
    </row>
    <row r="142" customFormat="false" ht="15" hidden="false" customHeight="false" outlineLevel="0" collapsed="false">
      <c r="A142" s="18"/>
      <c r="B142" s="19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4" t="str">
        <f aca="false">IF(COUNTA(I142:K142)=0,"",SUMPRODUCT((((COUNTIF(I142:K142,'2 Courses'!$G$2:$G$200)*('2 Courses'!$G$2:$G$200&lt;&gt;""))+(COUNTIF(I142:K142,'2 Courses'!$H$2:$H$200)*('2 Courses'!$H$2:$H$200&lt;&gt;""))+(COUNTIF(I142:K142,'2 Courses'!$I$2:$I$200)*('2 Courses'!$I$2:$I$200&lt;&gt;"")))&gt;0)*((L142="")+(L142="Diploma or degree")+('2 Courses'!$E$2:$E$200=L142)&gt;0)))</f>
        <v/>
      </c>
      <c r="N142" s="18"/>
      <c r="O142" s="18"/>
      <c r="P142" s="18"/>
      <c r="Q142" s="19"/>
      <c r="R142" s="19"/>
      <c r="S142" s="18"/>
      <c r="T142" s="18"/>
      <c r="U142" s="18"/>
    </row>
    <row r="143" customFormat="false" ht="15" hidden="false" customHeight="false" outlineLevel="0" collapsed="false">
      <c r="A143" s="18"/>
      <c r="B143" s="19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4" t="str">
        <f aca="false">IF(COUNTA(I143:K143)=0,"",SUMPRODUCT((((COUNTIF(I143:K143,'2 Courses'!$G$2:$G$200)*('2 Courses'!$G$2:$G$200&lt;&gt;""))+(COUNTIF(I143:K143,'2 Courses'!$H$2:$H$200)*('2 Courses'!$H$2:$H$200&lt;&gt;""))+(COUNTIF(I143:K143,'2 Courses'!$I$2:$I$200)*('2 Courses'!$I$2:$I$200&lt;&gt;"")))&gt;0)*((L143="")+(L143="Diploma or degree")+('2 Courses'!$E$2:$E$200=L143)&gt;0)))</f>
        <v/>
      </c>
      <c r="N143" s="18"/>
      <c r="O143" s="18"/>
      <c r="P143" s="18"/>
      <c r="Q143" s="19"/>
      <c r="R143" s="19"/>
      <c r="S143" s="18"/>
      <c r="T143" s="18"/>
      <c r="U143" s="18"/>
    </row>
    <row r="144" customFormat="false" ht="15" hidden="false" customHeight="false" outlineLevel="0" collapsed="false">
      <c r="A144" s="18"/>
      <c r="B144" s="19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4" t="str">
        <f aca="false">IF(COUNTA(I144:K144)=0,"",SUMPRODUCT((((COUNTIF(I144:K144,'2 Courses'!$G$2:$G$200)*('2 Courses'!$G$2:$G$200&lt;&gt;""))+(COUNTIF(I144:K144,'2 Courses'!$H$2:$H$200)*('2 Courses'!$H$2:$H$200&lt;&gt;""))+(COUNTIF(I144:K144,'2 Courses'!$I$2:$I$200)*('2 Courses'!$I$2:$I$200&lt;&gt;"")))&gt;0)*((L144="")+(L144="Diploma or degree")+('2 Courses'!$E$2:$E$200=L144)&gt;0)))</f>
        <v/>
      </c>
      <c r="N144" s="18"/>
      <c r="O144" s="18"/>
      <c r="P144" s="18"/>
      <c r="Q144" s="19"/>
      <c r="R144" s="19"/>
      <c r="S144" s="18"/>
      <c r="T144" s="18"/>
      <c r="U144" s="18"/>
    </row>
    <row r="145" customFormat="false" ht="15" hidden="false" customHeight="false" outlineLevel="0" collapsed="false">
      <c r="A145" s="18"/>
      <c r="B145" s="19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4" t="str">
        <f aca="false">IF(COUNTA(I145:K145)=0,"",SUMPRODUCT((((COUNTIF(I145:K145,'2 Courses'!$G$2:$G$200)*('2 Courses'!$G$2:$G$200&lt;&gt;""))+(COUNTIF(I145:K145,'2 Courses'!$H$2:$H$200)*('2 Courses'!$H$2:$H$200&lt;&gt;""))+(COUNTIF(I145:K145,'2 Courses'!$I$2:$I$200)*('2 Courses'!$I$2:$I$200&lt;&gt;"")))&gt;0)*((L145="")+(L145="Diploma or degree")+('2 Courses'!$E$2:$E$200=L145)&gt;0)))</f>
        <v/>
      </c>
      <c r="N145" s="18"/>
      <c r="O145" s="18"/>
      <c r="P145" s="18"/>
      <c r="Q145" s="19"/>
      <c r="R145" s="19"/>
      <c r="S145" s="18"/>
      <c r="T145" s="18"/>
      <c r="U145" s="18"/>
    </row>
    <row r="146" customFormat="false" ht="15" hidden="false" customHeight="false" outlineLevel="0" collapsed="false">
      <c r="A146" s="18"/>
      <c r="B146" s="19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4" t="str">
        <f aca="false">IF(COUNTA(I146:K146)=0,"",SUMPRODUCT((((COUNTIF(I146:K146,'2 Courses'!$G$2:$G$200)*('2 Courses'!$G$2:$G$200&lt;&gt;""))+(COUNTIF(I146:K146,'2 Courses'!$H$2:$H$200)*('2 Courses'!$H$2:$H$200&lt;&gt;""))+(COUNTIF(I146:K146,'2 Courses'!$I$2:$I$200)*('2 Courses'!$I$2:$I$200&lt;&gt;"")))&gt;0)*((L146="")+(L146="Diploma or degree")+('2 Courses'!$E$2:$E$200=L146)&gt;0)))</f>
        <v/>
      </c>
      <c r="N146" s="18"/>
      <c r="O146" s="18"/>
      <c r="P146" s="18"/>
      <c r="Q146" s="19"/>
      <c r="R146" s="19"/>
      <c r="S146" s="18"/>
      <c r="T146" s="18"/>
      <c r="U146" s="18"/>
    </row>
    <row r="147" customFormat="false" ht="15" hidden="false" customHeight="false" outlineLevel="0" collapsed="false">
      <c r="A147" s="18"/>
      <c r="B147" s="19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4" t="str">
        <f aca="false">IF(COUNTA(I147:K147)=0,"",SUMPRODUCT((((COUNTIF(I147:K147,'2 Courses'!$G$2:$G$200)*('2 Courses'!$G$2:$G$200&lt;&gt;""))+(COUNTIF(I147:K147,'2 Courses'!$H$2:$H$200)*('2 Courses'!$H$2:$H$200&lt;&gt;""))+(COUNTIF(I147:K147,'2 Courses'!$I$2:$I$200)*('2 Courses'!$I$2:$I$200&lt;&gt;"")))&gt;0)*((L147="")+(L147="Diploma or degree")+('2 Courses'!$E$2:$E$200=L147)&gt;0)))</f>
        <v/>
      </c>
      <c r="N147" s="18"/>
      <c r="O147" s="18"/>
      <c r="P147" s="18"/>
      <c r="Q147" s="19"/>
      <c r="R147" s="19"/>
      <c r="S147" s="18"/>
      <c r="T147" s="18"/>
      <c r="U147" s="18"/>
    </row>
    <row r="148" customFormat="false" ht="15" hidden="false" customHeight="false" outlineLevel="0" collapsed="false">
      <c r="A148" s="18"/>
      <c r="B148" s="19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4" t="str">
        <f aca="false">IF(COUNTA(I148:K148)=0,"",SUMPRODUCT((((COUNTIF(I148:K148,'2 Courses'!$G$2:$G$200)*('2 Courses'!$G$2:$G$200&lt;&gt;""))+(COUNTIF(I148:K148,'2 Courses'!$H$2:$H$200)*('2 Courses'!$H$2:$H$200&lt;&gt;""))+(COUNTIF(I148:K148,'2 Courses'!$I$2:$I$200)*('2 Courses'!$I$2:$I$200&lt;&gt;"")))&gt;0)*((L148="")+(L148="Diploma or degree")+('2 Courses'!$E$2:$E$200=L148)&gt;0)))</f>
        <v/>
      </c>
      <c r="N148" s="18"/>
      <c r="O148" s="18"/>
      <c r="P148" s="18"/>
      <c r="Q148" s="19"/>
      <c r="R148" s="19"/>
      <c r="S148" s="18"/>
      <c r="T148" s="18"/>
      <c r="U148" s="18"/>
    </row>
    <row r="149" customFormat="false" ht="15" hidden="false" customHeight="false" outlineLevel="0" collapsed="false">
      <c r="A149" s="18"/>
      <c r="B149" s="19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4" t="str">
        <f aca="false">IF(COUNTA(I149:K149)=0,"",SUMPRODUCT((((COUNTIF(I149:K149,'2 Courses'!$G$2:$G$200)*('2 Courses'!$G$2:$G$200&lt;&gt;""))+(COUNTIF(I149:K149,'2 Courses'!$H$2:$H$200)*('2 Courses'!$H$2:$H$200&lt;&gt;""))+(COUNTIF(I149:K149,'2 Courses'!$I$2:$I$200)*('2 Courses'!$I$2:$I$200&lt;&gt;"")))&gt;0)*((L149="")+(L149="Diploma or degree")+('2 Courses'!$E$2:$E$200=L149)&gt;0)))</f>
        <v/>
      </c>
      <c r="N149" s="18"/>
      <c r="O149" s="18"/>
      <c r="P149" s="18"/>
      <c r="Q149" s="19"/>
      <c r="R149" s="19"/>
      <c r="S149" s="18"/>
      <c r="T149" s="18"/>
      <c r="U149" s="18"/>
    </row>
    <row r="150" customFormat="false" ht="15" hidden="false" customHeight="false" outlineLevel="0" collapsed="false">
      <c r="A150" s="18"/>
      <c r="B150" s="19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4" t="str">
        <f aca="false">IF(COUNTA(I150:K150)=0,"",SUMPRODUCT((((COUNTIF(I150:K150,'2 Courses'!$G$2:$G$200)*('2 Courses'!$G$2:$G$200&lt;&gt;""))+(COUNTIF(I150:K150,'2 Courses'!$H$2:$H$200)*('2 Courses'!$H$2:$H$200&lt;&gt;""))+(COUNTIF(I150:K150,'2 Courses'!$I$2:$I$200)*('2 Courses'!$I$2:$I$200&lt;&gt;"")))&gt;0)*((L150="")+(L150="Diploma or degree")+('2 Courses'!$E$2:$E$200=L150)&gt;0)))</f>
        <v/>
      </c>
      <c r="N150" s="18"/>
      <c r="O150" s="18"/>
      <c r="P150" s="18"/>
      <c r="Q150" s="19"/>
      <c r="R150" s="19"/>
      <c r="S150" s="18"/>
      <c r="T150" s="18"/>
      <c r="U150" s="18"/>
    </row>
    <row r="151" customFormat="false" ht="15" hidden="false" customHeight="false" outlineLevel="0" collapsed="false">
      <c r="A151" s="18"/>
      <c r="B151" s="19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4" t="str">
        <f aca="false">IF(COUNTA(I151:K151)=0,"",SUMPRODUCT((((COUNTIF(I151:K151,'2 Courses'!$G$2:$G$200)*('2 Courses'!$G$2:$G$200&lt;&gt;""))+(COUNTIF(I151:K151,'2 Courses'!$H$2:$H$200)*('2 Courses'!$H$2:$H$200&lt;&gt;""))+(COUNTIF(I151:K151,'2 Courses'!$I$2:$I$200)*('2 Courses'!$I$2:$I$200&lt;&gt;"")))&gt;0)*((L151="")+(L151="Diploma or degree")+('2 Courses'!$E$2:$E$200=L151)&gt;0)))</f>
        <v/>
      </c>
      <c r="N151" s="18"/>
      <c r="O151" s="18"/>
      <c r="P151" s="18"/>
      <c r="Q151" s="19"/>
      <c r="R151" s="19"/>
      <c r="S151" s="18"/>
      <c r="T151" s="18"/>
      <c r="U151" s="18"/>
    </row>
    <row r="152" customFormat="false" ht="15" hidden="false" customHeight="false" outlineLevel="0" collapsed="false">
      <c r="A152" s="18"/>
      <c r="B152" s="19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4" t="str">
        <f aca="false">IF(COUNTA(I152:K152)=0,"",SUMPRODUCT((((COUNTIF(I152:K152,'2 Courses'!$G$2:$G$200)*('2 Courses'!$G$2:$G$200&lt;&gt;""))+(COUNTIF(I152:K152,'2 Courses'!$H$2:$H$200)*('2 Courses'!$H$2:$H$200&lt;&gt;""))+(COUNTIF(I152:K152,'2 Courses'!$I$2:$I$200)*('2 Courses'!$I$2:$I$200&lt;&gt;"")))&gt;0)*((L152="")+(L152="Diploma or degree")+('2 Courses'!$E$2:$E$200=L152)&gt;0)))</f>
        <v/>
      </c>
      <c r="N152" s="18"/>
      <c r="O152" s="18"/>
      <c r="P152" s="18"/>
      <c r="Q152" s="19"/>
      <c r="R152" s="19"/>
      <c r="S152" s="18"/>
      <c r="T152" s="18"/>
      <c r="U152" s="18"/>
    </row>
    <row r="153" customFormat="false" ht="15" hidden="false" customHeight="false" outlineLevel="0" collapsed="false">
      <c r="A153" s="18"/>
      <c r="B153" s="19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4" t="str">
        <f aca="false">IF(COUNTA(I153:K153)=0,"",SUMPRODUCT((((COUNTIF(I153:K153,'2 Courses'!$G$2:$G$200)*('2 Courses'!$G$2:$G$200&lt;&gt;""))+(COUNTIF(I153:K153,'2 Courses'!$H$2:$H$200)*('2 Courses'!$H$2:$H$200&lt;&gt;""))+(COUNTIF(I153:K153,'2 Courses'!$I$2:$I$200)*('2 Courses'!$I$2:$I$200&lt;&gt;"")))&gt;0)*((L153="")+(L153="Diploma or degree")+('2 Courses'!$E$2:$E$200=L153)&gt;0)))</f>
        <v/>
      </c>
      <c r="N153" s="18"/>
      <c r="O153" s="18"/>
      <c r="P153" s="18"/>
      <c r="Q153" s="19"/>
      <c r="R153" s="19"/>
      <c r="S153" s="18"/>
      <c r="T153" s="18"/>
      <c r="U153" s="18"/>
    </row>
    <row r="154" customFormat="false" ht="15" hidden="false" customHeight="false" outlineLevel="0" collapsed="false">
      <c r="A154" s="18"/>
      <c r="B154" s="19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4" t="str">
        <f aca="false">IF(COUNTA(I154:K154)=0,"",SUMPRODUCT((((COUNTIF(I154:K154,'2 Courses'!$G$2:$G$200)*('2 Courses'!$G$2:$G$200&lt;&gt;""))+(COUNTIF(I154:K154,'2 Courses'!$H$2:$H$200)*('2 Courses'!$H$2:$H$200&lt;&gt;""))+(COUNTIF(I154:K154,'2 Courses'!$I$2:$I$200)*('2 Courses'!$I$2:$I$200&lt;&gt;"")))&gt;0)*((L154="")+(L154="Diploma or degree")+('2 Courses'!$E$2:$E$200=L154)&gt;0)))</f>
        <v/>
      </c>
      <c r="N154" s="18"/>
      <c r="O154" s="18"/>
      <c r="P154" s="18"/>
      <c r="Q154" s="19"/>
      <c r="R154" s="19"/>
      <c r="S154" s="18"/>
      <c r="T154" s="18"/>
      <c r="U154" s="18"/>
    </row>
    <row r="155" customFormat="false" ht="15" hidden="false" customHeight="false" outlineLevel="0" collapsed="false">
      <c r="A155" s="18"/>
      <c r="B155" s="19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4" t="str">
        <f aca="false">IF(COUNTA(I155:K155)=0,"",SUMPRODUCT((((COUNTIF(I155:K155,'2 Courses'!$G$2:$G$200)*('2 Courses'!$G$2:$G$200&lt;&gt;""))+(COUNTIF(I155:K155,'2 Courses'!$H$2:$H$200)*('2 Courses'!$H$2:$H$200&lt;&gt;""))+(COUNTIF(I155:K155,'2 Courses'!$I$2:$I$200)*('2 Courses'!$I$2:$I$200&lt;&gt;"")))&gt;0)*((L155="")+(L155="Diploma or degree")+('2 Courses'!$E$2:$E$200=L155)&gt;0)))</f>
        <v/>
      </c>
      <c r="N155" s="18"/>
      <c r="O155" s="18"/>
      <c r="P155" s="18"/>
      <c r="Q155" s="19"/>
      <c r="R155" s="19"/>
      <c r="S155" s="18"/>
      <c r="T155" s="18"/>
      <c r="U155" s="18"/>
    </row>
    <row r="156" customFormat="false" ht="15" hidden="false" customHeight="false" outlineLevel="0" collapsed="false">
      <c r="A156" s="18"/>
      <c r="B156" s="19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4" t="str">
        <f aca="false">IF(COUNTA(I156:K156)=0,"",SUMPRODUCT((((COUNTIF(I156:K156,'2 Courses'!$G$2:$G$200)*('2 Courses'!$G$2:$G$200&lt;&gt;""))+(COUNTIF(I156:K156,'2 Courses'!$H$2:$H$200)*('2 Courses'!$H$2:$H$200&lt;&gt;""))+(COUNTIF(I156:K156,'2 Courses'!$I$2:$I$200)*('2 Courses'!$I$2:$I$200&lt;&gt;"")))&gt;0)*((L156="")+(L156="Diploma or degree")+('2 Courses'!$E$2:$E$200=L156)&gt;0)))</f>
        <v/>
      </c>
      <c r="N156" s="18"/>
      <c r="O156" s="18"/>
      <c r="P156" s="18"/>
      <c r="Q156" s="19"/>
      <c r="R156" s="19"/>
      <c r="S156" s="18"/>
      <c r="T156" s="18"/>
      <c r="U156" s="18"/>
    </row>
    <row r="157" customFormat="false" ht="15" hidden="false" customHeight="false" outlineLevel="0" collapsed="false">
      <c r="A157" s="18"/>
      <c r="B157" s="19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4" t="str">
        <f aca="false">IF(COUNTA(I157:K157)=0,"",SUMPRODUCT((((COUNTIF(I157:K157,'2 Courses'!$G$2:$G$200)*('2 Courses'!$G$2:$G$200&lt;&gt;""))+(COUNTIF(I157:K157,'2 Courses'!$H$2:$H$200)*('2 Courses'!$H$2:$H$200&lt;&gt;""))+(COUNTIF(I157:K157,'2 Courses'!$I$2:$I$200)*('2 Courses'!$I$2:$I$200&lt;&gt;"")))&gt;0)*((L157="")+(L157="Diploma or degree")+('2 Courses'!$E$2:$E$200=L157)&gt;0)))</f>
        <v/>
      </c>
      <c r="N157" s="18"/>
      <c r="O157" s="18"/>
      <c r="P157" s="18"/>
      <c r="Q157" s="19"/>
      <c r="R157" s="19"/>
      <c r="S157" s="18"/>
      <c r="T157" s="18"/>
      <c r="U157" s="18"/>
    </row>
    <row r="158" customFormat="false" ht="15" hidden="false" customHeight="false" outlineLevel="0" collapsed="false">
      <c r="A158" s="18"/>
      <c r="B158" s="19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4" t="str">
        <f aca="false">IF(COUNTA(I158:K158)=0,"",SUMPRODUCT((((COUNTIF(I158:K158,'2 Courses'!$G$2:$G$200)*('2 Courses'!$G$2:$G$200&lt;&gt;""))+(COUNTIF(I158:K158,'2 Courses'!$H$2:$H$200)*('2 Courses'!$H$2:$H$200&lt;&gt;""))+(COUNTIF(I158:K158,'2 Courses'!$I$2:$I$200)*('2 Courses'!$I$2:$I$200&lt;&gt;"")))&gt;0)*((L158="")+(L158="Diploma or degree")+('2 Courses'!$E$2:$E$200=L158)&gt;0)))</f>
        <v/>
      </c>
      <c r="N158" s="18"/>
      <c r="O158" s="18"/>
      <c r="P158" s="18"/>
      <c r="Q158" s="19"/>
      <c r="R158" s="19"/>
      <c r="S158" s="18"/>
      <c r="T158" s="18"/>
      <c r="U158" s="18"/>
    </row>
    <row r="159" customFormat="false" ht="15" hidden="false" customHeight="false" outlineLevel="0" collapsed="false">
      <c r="A159" s="18"/>
      <c r="B159" s="19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4" t="str">
        <f aca="false">IF(COUNTA(I159:K159)=0,"",SUMPRODUCT((((COUNTIF(I159:K159,'2 Courses'!$G$2:$G$200)*('2 Courses'!$G$2:$G$200&lt;&gt;""))+(COUNTIF(I159:K159,'2 Courses'!$H$2:$H$200)*('2 Courses'!$H$2:$H$200&lt;&gt;""))+(COUNTIF(I159:K159,'2 Courses'!$I$2:$I$200)*('2 Courses'!$I$2:$I$200&lt;&gt;"")))&gt;0)*((L159="")+(L159="Diploma or degree")+('2 Courses'!$E$2:$E$200=L159)&gt;0)))</f>
        <v/>
      </c>
      <c r="N159" s="18"/>
      <c r="O159" s="18"/>
      <c r="P159" s="18"/>
      <c r="Q159" s="19"/>
      <c r="R159" s="19"/>
      <c r="S159" s="18"/>
      <c r="T159" s="18"/>
      <c r="U159" s="18"/>
    </row>
    <row r="160" customFormat="false" ht="15" hidden="false" customHeight="false" outlineLevel="0" collapsed="false">
      <c r="A160" s="18"/>
      <c r="B160" s="19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4" t="str">
        <f aca="false">IF(COUNTA(I160:K160)=0,"",SUMPRODUCT((((COUNTIF(I160:K160,'2 Courses'!$G$2:$G$200)*('2 Courses'!$G$2:$G$200&lt;&gt;""))+(COUNTIF(I160:K160,'2 Courses'!$H$2:$H$200)*('2 Courses'!$H$2:$H$200&lt;&gt;""))+(COUNTIF(I160:K160,'2 Courses'!$I$2:$I$200)*('2 Courses'!$I$2:$I$200&lt;&gt;"")))&gt;0)*((L160="")+(L160="Diploma or degree")+('2 Courses'!$E$2:$E$200=L160)&gt;0)))</f>
        <v/>
      </c>
      <c r="N160" s="18"/>
      <c r="O160" s="18"/>
      <c r="P160" s="18"/>
      <c r="Q160" s="19"/>
      <c r="R160" s="19"/>
      <c r="S160" s="18"/>
      <c r="T160" s="18"/>
      <c r="U160" s="18"/>
    </row>
    <row r="161" customFormat="false" ht="15" hidden="false" customHeight="false" outlineLevel="0" collapsed="false">
      <c r="A161" s="18"/>
      <c r="B161" s="19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4" t="str">
        <f aca="false">IF(COUNTA(I161:K161)=0,"",SUMPRODUCT((((COUNTIF(I161:K161,'2 Courses'!$G$2:$G$200)*('2 Courses'!$G$2:$G$200&lt;&gt;""))+(COUNTIF(I161:K161,'2 Courses'!$H$2:$H$200)*('2 Courses'!$H$2:$H$200&lt;&gt;""))+(COUNTIF(I161:K161,'2 Courses'!$I$2:$I$200)*('2 Courses'!$I$2:$I$200&lt;&gt;"")))&gt;0)*((L161="")+(L161="Diploma or degree")+('2 Courses'!$E$2:$E$200=L161)&gt;0)))</f>
        <v/>
      </c>
      <c r="N161" s="18"/>
      <c r="O161" s="18"/>
      <c r="P161" s="18"/>
      <c r="Q161" s="19"/>
      <c r="R161" s="19"/>
      <c r="S161" s="18"/>
      <c r="T161" s="18"/>
      <c r="U161" s="18"/>
    </row>
    <row r="162" customFormat="false" ht="15" hidden="false" customHeight="false" outlineLevel="0" collapsed="false">
      <c r="A162" s="18"/>
      <c r="B162" s="19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4" t="str">
        <f aca="false">IF(COUNTA(I162:K162)=0,"",SUMPRODUCT((((COUNTIF(I162:K162,'2 Courses'!$G$2:$G$200)*('2 Courses'!$G$2:$G$200&lt;&gt;""))+(COUNTIF(I162:K162,'2 Courses'!$H$2:$H$200)*('2 Courses'!$H$2:$H$200&lt;&gt;""))+(COUNTIF(I162:K162,'2 Courses'!$I$2:$I$200)*('2 Courses'!$I$2:$I$200&lt;&gt;"")))&gt;0)*((L162="")+(L162="Diploma or degree")+('2 Courses'!$E$2:$E$200=L162)&gt;0)))</f>
        <v/>
      </c>
      <c r="N162" s="18"/>
      <c r="O162" s="18"/>
      <c r="P162" s="18"/>
      <c r="Q162" s="19"/>
      <c r="R162" s="19"/>
      <c r="S162" s="18"/>
      <c r="T162" s="18"/>
      <c r="U162" s="18"/>
    </row>
    <row r="163" customFormat="false" ht="15" hidden="false" customHeight="false" outlineLevel="0" collapsed="false">
      <c r="A163" s="18"/>
      <c r="B163" s="19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4" t="str">
        <f aca="false">IF(COUNTA(I163:K163)=0,"",SUMPRODUCT((((COUNTIF(I163:K163,'2 Courses'!$G$2:$G$200)*('2 Courses'!$G$2:$G$200&lt;&gt;""))+(COUNTIF(I163:K163,'2 Courses'!$H$2:$H$200)*('2 Courses'!$H$2:$H$200&lt;&gt;""))+(COUNTIF(I163:K163,'2 Courses'!$I$2:$I$200)*('2 Courses'!$I$2:$I$200&lt;&gt;"")))&gt;0)*((L163="")+(L163="Diploma or degree")+('2 Courses'!$E$2:$E$200=L163)&gt;0)))</f>
        <v/>
      </c>
      <c r="N163" s="18"/>
      <c r="O163" s="18"/>
      <c r="P163" s="18"/>
      <c r="Q163" s="19"/>
      <c r="R163" s="19"/>
      <c r="S163" s="18"/>
      <c r="T163" s="18"/>
      <c r="U163" s="18"/>
    </row>
    <row r="164" customFormat="false" ht="15" hidden="false" customHeight="false" outlineLevel="0" collapsed="false">
      <c r="A164" s="18"/>
      <c r="B164" s="19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4" t="str">
        <f aca="false">IF(COUNTA(I164:K164)=0,"",SUMPRODUCT((((COUNTIF(I164:K164,'2 Courses'!$G$2:$G$200)*('2 Courses'!$G$2:$G$200&lt;&gt;""))+(COUNTIF(I164:K164,'2 Courses'!$H$2:$H$200)*('2 Courses'!$H$2:$H$200&lt;&gt;""))+(COUNTIF(I164:K164,'2 Courses'!$I$2:$I$200)*('2 Courses'!$I$2:$I$200&lt;&gt;"")))&gt;0)*((L164="")+(L164="Diploma or degree")+('2 Courses'!$E$2:$E$200=L164)&gt;0)))</f>
        <v/>
      </c>
      <c r="N164" s="18"/>
      <c r="O164" s="18"/>
      <c r="P164" s="18"/>
      <c r="Q164" s="19"/>
      <c r="R164" s="19"/>
      <c r="S164" s="18"/>
      <c r="T164" s="18"/>
      <c r="U164" s="18"/>
    </row>
    <row r="165" customFormat="false" ht="15" hidden="false" customHeight="false" outlineLevel="0" collapsed="false">
      <c r="A165" s="18"/>
      <c r="B165" s="19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4" t="str">
        <f aca="false">IF(COUNTA(I165:K165)=0,"",SUMPRODUCT((((COUNTIF(I165:K165,'2 Courses'!$G$2:$G$200)*('2 Courses'!$G$2:$G$200&lt;&gt;""))+(COUNTIF(I165:K165,'2 Courses'!$H$2:$H$200)*('2 Courses'!$H$2:$H$200&lt;&gt;""))+(COUNTIF(I165:K165,'2 Courses'!$I$2:$I$200)*('2 Courses'!$I$2:$I$200&lt;&gt;"")))&gt;0)*((L165="")+(L165="Diploma or degree")+('2 Courses'!$E$2:$E$200=L165)&gt;0)))</f>
        <v/>
      </c>
      <c r="N165" s="18"/>
      <c r="O165" s="18"/>
      <c r="P165" s="18"/>
      <c r="Q165" s="19"/>
      <c r="R165" s="19"/>
      <c r="S165" s="18"/>
      <c r="T165" s="18"/>
      <c r="U165" s="18"/>
    </row>
    <row r="166" customFormat="false" ht="15" hidden="false" customHeight="false" outlineLevel="0" collapsed="false">
      <c r="A166" s="18"/>
      <c r="B166" s="19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4" t="str">
        <f aca="false">IF(COUNTA(I166:K166)=0,"",SUMPRODUCT((((COUNTIF(I166:K166,'2 Courses'!$G$2:$G$200)*('2 Courses'!$G$2:$G$200&lt;&gt;""))+(COUNTIF(I166:K166,'2 Courses'!$H$2:$H$200)*('2 Courses'!$H$2:$H$200&lt;&gt;""))+(COUNTIF(I166:K166,'2 Courses'!$I$2:$I$200)*('2 Courses'!$I$2:$I$200&lt;&gt;"")))&gt;0)*((L166="")+(L166="Diploma or degree")+('2 Courses'!$E$2:$E$200=L166)&gt;0)))</f>
        <v/>
      </c>
      <c r="N166" s="18"/>
      <c r="O166" s="18"/>
      <c r="P166" s="18"/>
      <c r="Q166" s="19"/>
      <c r="R166" s="19"/>
      <c r="S166" s="18"/>
      <c r="T166" s="18"/>
      <c r="U166" s="18"/>
    </row>
    <row r="167" customFormat="false" ht="15" hidden="false" customHeight="false" outlineLevel="0" collapsed="false">
      <c r="A167" s="18"/>
      <c r="B167" s="19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4" t="str">
        <f aca="false">IF(COUNTA(I167:K167)=0,"",SUMPRODUCT((((COUNTIF(I167:K167,'2 Courses'!$G$2:$G$200)*('2 Courses'!$G$2:$G$200&lt;&gt;""))+(COUNTIF(I167:K167,'2 Courses'!$H$2:$H$200)*('2 Courses'!$H$2:$H$200&lt;&gt;""))+(COUNTIF(I167:K167,'2 Courses'!$I$2:$I$200)*('2 Courses'!$I$2:$I$200&lt;&gt;"")))&gt;0)*((L167="")+(L167="Diploma or degree")+('2 Courses'!$E$2:$E$200=L167)&gt;0)))</f>
        <v/>
      </c>
      <c r="N167" s="18"/>
      <c r="O167" s="18"/>
      <c r="P167" s="18"/>
      <c r="Q167" s="19"/>
      <c r="R167" s="19"/>
      <c r="S167" s="18"/>
      <c r="T167" s="18"/>
      <c r="U167" s="18"/>
    </row>
    <row r="168" customFormat="false" ht="15" hidden="false" customHeight="false" outlineLevel="0" collapsed="false">
      <c r="A168" s="18"/>
      <c r="B168" s="19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4" t="str">
        <f aca="false">IF(COUNTA(I168:K168)=0,"",SUMPRODUCT((((COUNTIF(I168:K168,'2 Courses'!$G$2:$G$200)*('2 Courses'!$G$2:$G$200&lt;&gt;""))+(COUNTIF(I168:K168,'2 Courses'!$H$2:$H$200)*('2 Courses'!$H$2:$H$200&lt;&gt;""))+(COUNTIF(I168:K168,'2 Courses'!$I$2:$I$200)*('2 Courses'!$I$2:$I$200&lt;&gt;"")))&gt;0)*((L168="")+(L168="Diploma or degree")+('2 Courses'!$E$2:$E$200=L168)&gt;0)))</f>
        <v/>
      </c>
      <c r="N168" s="18"/>
      <c r="O168" s="18"/>
      <c r="P168" s="18"/>
      <c r="Q168" s="19"/>
      <c r="R168" s="19"/>
      <c r="S168" s="18"/>
      <c r="T168" s="18"/>
      <c r="U168" s="18"/>
    </row>
    <row r="169" customFormat="false" ht="15" hidden="false" customHeight="false" outlineLevel="0" collapsed="false">
      <c r="A169" s="18"/>
      <c r="B169" s="19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4" t="str">
        <f aca="false">IF(COUNTA(I169:K169)=0,"",SUMPRODUCT((((COUNTIF(I169:K169,'2 Courses'!$G$2:$G$200)*('2 Courses'!$G$2:$G$200&lt;&gt;""))+(COUNTIF(I169:K169,'2 Courses'!$H$2:$H$200)*('2 Courses'!$H$2:$H$200&lt;&gt;""))+(COUNTIF(I169:K169,'2 Courses'!$I$2:$I$200)*('2 Courses'!$I$2:$I$200&lt;&gt;"")))&gt;0)*((L169="")+(L169="Diploma or degree")+('2 Courses'!$E$2:$E$200=L169)&gt;0)))</f>
        <v/>
      </c>
      <c r="N169" s="18"/>
      <c r="O169" s="18"/>
      <c r="P169" s="18"/>
      <c r="Q169" s="19"/>
      <c r="R169" s="19"/>
      <c r="S169" s="18"/>
      <c r="T169" s="18"/>
      <c r="U169" s="18"/>
    </row>
    <row r="170" customFormat="false" ht="15" hidden="false" customHeight="false" outlineLevel="0" collapsed="false">
      <c r="A170" s="18"/>
      <c r="B170" s="19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4" t="str">
        <f aca="false">IF(COUNTA(I170:K170)=0,"",SUMPRODUCT((((COUNTIF(I170:K170,'2 Courses'!$G$2:$G$200)*('2 Courses'!$G$2:$G$200&lt;&gt;""))+(COUNTIF(I170:K170,'2 Courses'!$H$2:$H$200)*('2 Courses'!$H$2:$H$200&lt;&gt;""))+(COUNTIF(I170:K170,'2 Courses'!$I$2:$I$200)*('2 Courses'!$I$2:$I$200&lt;&gt;"")))&gt;0)*((L170="")+(L170="Diploma or degree")+('2 Courses'!$E$2:$E$200=L170)&gt;0)))</f>
        <v/>
      </c>
      <c r="N170" s="18"/>
      <c r="O170" s="18"/>
      <c r="P170" s="18"/>
      <c r="Q170" s="19"/>
      <c r="R170" s="19"/>
      <c r="S170" s="18"/>
      <c r="T170" s="18"/>
      <c r="U170" s="18"/>
    </row>
    <row r="171" customFormat="false" ht="15" hidden="false" customHeight="false" outlineLevel="0" collapsed="false">
      <c r="A171" s="18"/>
      <c r="B171" s="19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4" t="str">
        <f aca="false">IF(COUNTA(I171:K171)=0,"",SUMPRODUCT((((COUNTIF(I171:K171,'2 Courses'!$G$2:$G$200)*('2 Courses'!$G$2:$G$200&lt;&gt;""))+(COUNTIF(I171:K171,'2 Courses'!$H$2:$H$200)*('2 Courses'!$H$2:$H$200&lt;&gt;""))+(COUNTIF(I171:K171,'2 Courses'!$I$2:$I$200)*('2 Courses'!$I$2:$I$200&lt;&gt;"")))&gt;0)*((L171="")+(L171="Diploma or degree")+('2 Courses'!$E$2:$E$200=L171)&gt;0)))</f>
        <v/>
      </c>
      <c r="N171" s="18"/>
      <c r="O171" s="18"/>
      <c r="P171" s="18"/>
      <c r="Q171" s="19"/>
      <c r="R171" s="19"/>
      <c r="S171" s="18"/>
      <c r="T171" s="18"/>
      <c r="U171" s="18"/>
    </row>
    <row r="172" customFormat="false" ht="15" hidden="false" customHeight="false" outlineLevel="0" collapsed="false">
      <c r="A172" s="18"/>
      <c r="B172" s="19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4" t="str">
        <f aca="false">IF(COUNTA(I172:K172)=0,"",SUMPRODUCT((((COUNTIF(I172:K172,'2 Courses'!$G$2:$G$200)*('2 Courses'!$G$2:$G$200&lt;&gt;""))+(COUNTIF(I172:K172,'2 Courses'!$H$2:$H$200)*('2 Courses'!$H$2:$H$200&lt;&gt;""))+(COUNTIF(I172:K172,'2 Courses'!$I$2:$I$200)*('2 Courses'!$I$2:$I$200&lt;&gt;"")))&gt;0)*((L172="")+(L172="Diploma or degree")+('2 Courses'!$E$2:$E$200=L172)&gt;0)))</f>
        <v/>
      </c>
      <c r="N172" s="18"/>
      <c r="O172" s="18"/>
      <c r="P172" s="18"/>
      <c r="Q172" s="19"/>
      <c r="R172" s="19"/>
      <c r="S172" s="18"/>
      <c r="T172" s="18"/>
      <c r="U172" s="18"/>
    </row>
    <row r="173" customFormat="false" ht="15" hidden="false" customHeight="false" outlineLevel="0" collapsed="false">
      <c r="A173" s="18"/>
      <c r="B173" s="19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4" t="str">
        <f aca="false">IF(COUNTA(I173:K173)=0,"",SUMPRODUCT((((COUNTIF(I173:K173,'2 Courses'!$G$2:$G$200)*('2 Courses'!$G$2:$G$200&lt;&gt;""))+(COUNTIF(I173:K173,'2 Courses'!$H$2:$H$200)*('2 Courses'!$H$2:$H$200&lt;&gt;""))+(COUNTIF(I173:K173,'2 Courses'!$I$2:$I$200)*('2 Courses'!$I$2:$I$200&lt;&gt;"")))&gt;0)*((L173="")+(L173="Diploma or degree")+('2 Courses'!$E$2:$E$200=L173)&gt;0)))</f>
        <v/>
      </c>
      <c r="N173" s="18"/>
      <c r="O173" s="18"/>
      <c r="P173" s="18"/>
      <c r="Q173" s="19"/>
      <c r="R173" s="19"/>
      <c r="S173" s="18"/>
      <c r="T173" s="18"/>
      <c r="U173" s="18"/>
    </row>
    <row r="174" customFormat="false" ht="15" hidden="false" customHeight="false" outlineLevel="0" collapsed="false">
      <c r="A174" s="18"/>
      <c r="B174" s="19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4" t="str">
        <f aca="false">IF(COUNTA(I174:K174)=0,"",SUMPRODUCT((((COUNTIF(I174:K174,'2 Courses'!$G$2:$G$200)*('2 Courses'!$G$2:$G$200&lt;&gt;""))+(COUNTIF(I174:K174,'2 Courses'!$H$2:$H$200)*('2 Courses'!$H$2:$H$200&lt;&gt;""))+(COUNTIF(I174:K174,'2 Courses'!$I$2:$I$200)*('2 Courses'!$I$2:$I$200&lt;&gt;"")))&gt;0)*((L174="")+(L174="Diploma or degree")+('2 Courses'!$E$2:$E$200=L174)&gt;0)))</f>
        <v/>
      </c>
      <c r="N174" s="18"/>
      <c r="O174" s="18"/>
      <c r="P174" s="18"/>
      <c r="Q174" s="19"/>
      <c r="R174" s="19"/>
      <c r="S174" s="18"/>
      <c r="T174" s="18"/>
      <c r="U174" s="18"/>
    </row>
    <row r="175" customFormat="false" ht="15" hidden="false" customHeight="false" outlineLevel="0" collapsed="false">
      <c r="A175" s="18"/>
      <c r="B175" s="19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4" t="str">
        <f aca="false">IF(COUNTA(I175:K175)=0,"",SUMPRODUCT((((COUNTIF(I175:K175,'2 Courses'!$G$2:$G$200)*('2 Courses'!$G$2:$G$200&lt;&gt;""))+(COUNTIF(I175:K175,'2 Courses'!$H$2:$H$200)*('2 Courses'!$H$2:$H$200&lt;&gt;""))+(COUNTIF(I175:K175,'2 Courses'!$I$2:$I$200)*('2 Courses'!$I$2:$I$200&lt;&gt;"")))&gt;0)*((L175="")+(L175="Diploma or degree")+('2 Courses'!$E$2:$E$200=L175)&gt;0)))</f>
        <v/>
      </c>
      <c r="N175" s="18"/>
      <c r="O175" s="18"/>
      <c r="P175" s="18"/>
      <c r="Q175" s="19"/>
      <c r="R175" s="19"/>
      <c r="S175" s="18"/>
      <c r="T175" s="18"/>
      <c r="U175" s="18"/>
    </row>
    <row r="176" customFormat="false" ht="15" hidden="false" customHeight="false" outlineLevel="0" collapsed="false">
      <c r="A176" s="18"/>
      <c r="B176" s="19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4" t="str">
        <f aca="false">IF(COUNTA(I176:K176)=0,"",SUMPRODUCT((((COUNTIF(I176:K176,'2 Courses'!$G$2:$G$200)*('2 Courses'!$G$2:$G$200&lt;&gt;""))+(COUNTIF(I176:K176,'2 Courses'!$H$2:$H$200)*('2 Courses'!$H$2:$H$200&lt;&gt;""))+(COUNTIF(I176:K176,'2 Courses'!$I$2:$I$200)*('2 Courses'!$I$2:$I$200&lt;&gt;"")))&gt;0)*((L176="")+(L176="Diploma or degree")+('2 Courses'!$E$2:$E$200=L176)&gt;0)))</f>
        <v/>
      </c>
      <c r="N176" s="18"/>
      <c r="O176" s="18"/>
      <c r="P176" s="18"/>
      <c r="Q176" s="19"/>
      <c r="R176" s="19"/>
      <c r="S176" s="18"/>
      <c r="T176" s="18"/>
      <c r="U176" s="18"/>
    </row>
    <row r="177" customFormat="false" ht="15" hidden="false" customHeight="false" outlineLevel="0" collapsed="false">
      <c r="A177" s="18"/>
      <c r="B177" s="19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4" t="str">
        <f aca="false">IF(COUNTA(I177:K177)=0,"",SUMPRODUCT((((COUNTIF(I177:K177,'2 Courses'!$G$2:$G$200)*('2 Courses'!$G$2:$G$200&lt;&gt;""))+(COUNTIF(I177:K177,'2 Courses'!$H$2:$H$200)*('2 Courses'!$H$2:$H$200&lt;&gt;""))+(COUNTIF(I177:K177,'2 Courses'!$I$2:$I$200)*('2 Courses'!$I$2:$I$200&lt;&gt;"")))&gt;0)*((L177="")+(L177="Diploma or degree")+('2 Courses'!$E$2:$E$200=L177)&gt;0)))</f>
        <v/>
      </c>
      <c r="N177" s="18"/>
      <c r="O177" s="18"/>
      <c r="P177" s="18"/>
      <c r="Q177" s="19"/>
      <c r="R177" s="19"/>
      <c r="S177" s="18"/>
      <c r="T177" s="18"/>
      <c r="U177" s="18"/>
    </row>
    <row r="178" customFormat="false" ht="15" hidden="false" customHeight="false" outlineLevel="0" collapsed="false">
      <c r="A178" s="18"/>
      <c r="B178" s="19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4" t="str">
        <f aca="false">IF(COUNTA(I178:K178)=0,"",SUMPRODUCT((((COUNTIF(I178:K178,'2 Courses'!$G$2:$G$200)*('2 Courses'!$G$2:$G$200&lt;&gt;""))+(COUNTIF(I178:K178,'2 Courses'!$H$2:$H$200)*('2 Courses'!$H$2:$H$200&lt;&gt;""))+(COUNTIF(I178:K178,'2 Courses'!$I$2:$I$200)*('2 Courses'!$I$2:$I$200&lt;&gt;"")))&gt;0)*((L178="")+(L178="Diploma or degree")+('2 Courses'!$E$2:$E$200=L178)&gt;0)))</f>
        <v/>
      </c>
      <c r="N178" s="18"/>
      <c r="O178" s="18"/>
      <c r="P178" s="18"/>
      <c r="Q178" s="19"/>
      <c r="R178" s="19"/>
      <c r="S178" s="18"/>
      <c r="T178" s="18"/>
      <c r="U178" s="18"/>
    </row>
    <row r="179" customFormat="false" ht="15" hidden="false" customHeight="false" outlineLevel="0" collapsed="false">
      <c r="A179" s="18"/>
      <c r="B179" s="19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4" t="str">
        <f aca="false">IF(COUNTA(I179:K179)=0,"",SUMPRODUCT((((COUNTIF(I179:K179,'2 Courses'!$G$2:$G$200)*('2 Courses'!$G$2:$G$200&lt;&gt;""))+(COUNTIF(I179:K179,'2 Courses'!$H$2:$H$200)*('2 Courses'!$H$2:$H$200&lt;&gt;""))+(COUNTIF(I179:K179,'2 Courses'!$I$2:$I$200)*('2 Courses'!$I$2:$I$200&lt;&gt;"")))&gt;0)*((L179="")+(L179="Diploma or degree")+('2 Courses'!$E$2:$E$200=L179)&gt;0)))</f>
        <v/>
      </c>
      <c r="N179" s="18"/>
      <c r="O179" s="18"/>
      <c r="P179" s="18"/>
      <c r="Q179" s="19"/>
      <c r="R179" s="19"/>
      <c r="S179" s="18"/>
      <c r="T179" s="18"/>
      <c r="U179" s="18"/>
    </row>
    <row r="180" customFormat="false" ht="15" hidden="false" customHeight="false" outlineLevel="0" collapsed="false">
      <c r="A180" s="18"/>
      <c r="B180" s="19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4" t="str">
        <f aca="false">IF(COUNTA(I180:K180)=0,"",SUMPRODUCT((((COUNTIF(I180:K180,'2 Courses'!$G$2:$G$200)*('2 Courses'!$G$2:$G$200&lt;&gt;""))+(COUNTIF(I180:K180,'2 Courses'!$H$2:$H$200)*('2 Courses'!$H$2:$H$200&lt;&gt;""))+(COUNTIF(I180:K180,'2 Courses'!$I$2:$I$200)*('2 Courses'!$I$2:$I$200&lt;&gt;"")))&gt;0)*((L180="")+(L180="Diploma or degree")+('2 Courses'!$E$2:$E$200=L180)&gt;0)))</f>
        <v/>
      </c>
      <c r="N180" s="18"/>
      <c r="O180" s="18"/>
      <c r="P180" s="18"/>
      <c r="Q180" s="19"/>
      <c r="R180" s="19"/>
      <c r="S180" s="18"/>
      <c r="T180" s="18"/>
      <c r="U180" s="18"/>
    </row>
    <row r="181" customFormat="false" ht="15" hidden="false" customHeight="false" outlineLevel="0" collapsed="false">
      <c r="A181" s="18"/>
      <c r="B181" s="19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4" t="str">
        <f aca="false">IF(COUNTA(I181:K181)=0,"",SUMPRODUCT((((COUNTIF(I181:K181,'2 Courses'!$G$2:$G$200)*('2 Courses'!$G$2:$G$200&lt;&gt;""))+(COUNTIF(I181:K181,'2 Courses'!$H$2:$H$200)*('2 Courses'!$H$2:$H$200&lt;&gt;""))+(COUNTIF(I181:K181,'2 Courses'!$I$2:$I$200)*('2 Courses'!$I$2:$I$200&lt;&gt;"")))&gt;0)*((L181="")+(L181="Diploma or degree")+('2 Courses'!$E$2:$E$200=L181)&gt;0)))</f>
        <v/>
      </c>
      <c r="N181" s="18"/>
      <c r="O181" s="18"/>
      <c r="P181" s="18"/>
      <c r="Q181" s="19"/>
      <c r="R181" s="19"/>
      <c r="S181" s="18"/>
      <c r="T181" s="18"/>
      <c r="U181" s="18"/>
    </row>
    <row r="182" customFormat="false" ht="15" hidden="false" customHeight="false" outlineLevel="0" collapsed="false">
      <c r="A182" s="18"/>
      <c r="B182" s="19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4" t="str">
        <f aca="false">IF(COUNTA(I182:K182)=0,"",SUMPRODUCT((((COUNTIF(I182:K182,'2 Courses'!$G$2:$G$200)*('2 Courses'!$G$2:$G$200&lt;&gt;""))+(COUNTIF(I182:K182,'2 Courses'!$H$2:$H$200)*('2 Courses'!$H$2:$H$200&lt;&gt;""))+(COUNTIF(I182:K182,'2 Courses'!$I$2:$I$200)*('2 Courses'!$I$2:$I$200&lt;&gt;"")))&gt;0)*((L182="")+(L182="Diploma or degree")+('2 Courses'!$E$2:$E$200=L182)&gt;0)))</f>
        <v/>
      </c>
      <c r="N182" s="18"/>
      <c r="O182" s="18"/>
      <c r="P182" s="18"/>
      <c r="Q182" s="19"/>
      <c r="R182" s="19"/>
      <c r="S182" s="18"/>
      <c r="T182" s="18"/>
      <c r="U182" s="18"/>
    </row>
    <row r="183" customFormat="false" ht="15" hidden="false" customHeight="false" outlineLevel="0" collapsed="false">
      <c r="A183" s="18"/>
      <c r="B183" s="19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4" t="str">
        <f aca="false">IF(COUNTA(I183:K183)=0,"",SUMPRODUCT((((COUNTIF(I183:K183,'2 Courses'!$G$2:$G$200)*('2 Courses'!$G$2:$G$200&lt;&gt;""))+(COUNTIF(I183:K183,'2 Courses'!$H$2:$H$200)*('2 Courses'!$H$2:$H$200&lt;&gt;""))+(COUNTIF(I183:K183,'2 Courses'!$I$2:$I$200)*('2 Courses'!$I$2:$I$200&lt;&gt;"")))&gt;0)*((L183="")+(L183="Diploma or degree")+('2 Courses'!$E$2:$E$200=L183)&gt;0)))</f>
        <v/>
      </c>
      <c r="N183" s="18"/>
      <c r="O183" s="18"/>
      <c r="P183" s="18"/>
      <c r="Q183" s="19"/>
      <c r="R183" s="19"/>
      <c r="S183" s="18"/>
      <c r="T183" s="18"/>
      <c r="U183" s="18"/>
    </row>
    <row r="184" customFormat="false" ht="15" hidden="false" customHeight="false" outlineLevel="0" collapsed="false">
      <c r="A184" s="18"/>
      <c r="B184" s="19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4" t="str">
        <f aca="false">IF(COUNTA(I184:K184)=0,"",SUMPRODUCT((((COUNTIF(I184:K184,'2 Courses'!$G$2:$G$200)*('2 Courses'!$G$2:$G$200&lt;&gt;""))+(COUNTIF(I184:K184,'2 Courses'!$H$2:$H$200)*('2 Courses'!$H$2:$H$200&lt;&gt;""))+(COUNTIF(I184:K184,'2 Courses'!$I$2:$I$200)*('2 Courses'!$I$2:$I$200&lt;&gt;"")))&gt;0)*((L184="")+(L184="Diploma or degree")+('2 Courses'!$E$2:$E$200=L184)&gt;0)))</f>
        <v/>
      </c>
      <c r="N184" s="18"/>
      <c r="O184" s="18"/>
      <c r="P184" s="18"/>
      <c r="Q184" s="19"/>
      <c r="R184" s="19"/>
      <c r="S184" s="18"/>
      <c r="T184" s="18"/>
      <c r="U184" s="18"/>
    </row>
    <row r="185" customFormat="false" ht="15" hidden="false" customHeight="false" outlineLevel="0" collapsed="false">
      <c r="A185" s="18"/>
      <c r="B185" s="19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4" t="str">
        <f aca="false">IF(COUNTA(I185:K185)=0,"",SUMPRODUCT((((COUNTIF(I185:K185,'2 Courses'!$G$2:$G$200)*('2 Courses'!$G$2:$G$200&lt;&gt;""))+(COUNTIF(I185:K185,'2 Courses'!$H$2:$H$200)*('2 Courses'!$H$2:$H$200&lt;&gt;""))+(COUNTIF(I185:K185,'2 Courses'!$I$2:$I$200)*('2 Courses'!$I$2:$I$200&lt;&gt;"")))&gt;0)*((L185="")+(L185="Diploma or degree")+('2 Courses'!$E$2:$E$200=L185)&gt;0)))</f>
        <v/>
      </c>
      <c r="N185" s="18"/>
      <c r="O185" s="18"/>
      <c r="P185" s="18"/>
      <c r="Q185" s="19"/>
      <c r="R185" s="19"/>
      <c r="S185" s="18"/>
      <c r="T185" s="18"/>
      <c r="U185" s="18"/>
    </row>
    <row r="186" customFormat="false" ht="15" hidden="false" customHeight="false" outlineLevel="0" collapsed="false">
      <c r="A186" s="18"/>
      <c r="B186" s="19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4" t="str">
        <f aca="false">IF(COUNTA(I186:K186)=0,"",SUMPRODUCT((((COUNTIF(I186:K186,'2 Courses'!$G$2:$G$200)*('2 Courses'!$G$2:$G$200&lt;&gt;""))+(COUNTIF(I186:K186,'2 Courses'!$H$2:$H$200)*('2 Courses'!$H$2:$H$200&lt;&gt;""))+(COUNTIF(I186:K186,'2 Courses'!$I$2:$I$200)*('2 Courses'!$I$2:$I$200&lt;&gt;"")))&gt;0)*((L186="")+(L186="Diploma or degree")+('2 Courses'!$E$2:$E$200=L186)&gt;0)))</f>
        <v/>
      </c>
      <c r="N186" s="18"/>
      <c r="O186" s="18"/>
      <c r="P186" s="18"/>
      <c r="Q186" s="19"/>
      <c r="R186" s="19"/>
      <c r="S186" s="18"/>
      <c r="T186" s="18"/>
      <c r="U186" s="18"/>
    </row>
    <row r="187" customFormat="false" ht="15" hidden="false" customHeight="false" outlineLevel="0" collapsed="false">
      <c r="A187" s="18"/>
      <c r="B187" s="19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4" t="str">
        <f aca="false">IF(COUNTA(I187:K187)=0,"",SUMPRODUCT((((COUNTIF(I187:K187,'2 Courses'!$G$2:$G$200)*('2 Courses'!$G$2:$G$200&lt;&gt;""))+(COUNTIF(I187:K187,'2 Courses'!$H$2:$H$200)*('2 Courses'!$H$2:$H$200&lt;&gt;""))+(COUNTIF(I187:K187,'2 Courses'!$I$2:$I$200)*('2 Courses'!$I$2:$I$200&lt;&gt;"")))&gt;0)*((L187="")+(L187="Diploma or degree")+('2 Courses'!$E$2:$E$200=L187)&gt;0)))</f>
        <v/>
      </c>
      <c r="N187" s="18"/>
      <c r="O187" s="18"/>
      <c r="P187" s="18"/>
      <c r="Q187" s="19"/>
      <c r="R187" s="19"/>
      <c r="S187" s="18"/>
      <c r="T187" s="18"/>
      <c r="U187" s="18"/>
    </row>
    <row r="188" customFormat="false" ht="15" hidden="false" customHeight="false" outlineLevel="0" collapsed="false">
      <c r="A188" s="18"/>
      <c r="B188" s="19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4" t="str">
        <f aca="false">IF(COUNTA(I188:K188)=0,"",SUMPRODUCT((((COUNTIF(I188:K188,'2 Courses'!$G$2:$G$200)*('2 Courses'!$G$2:$G$200&lt;&gt;""))+(COUNTIF(I188:K188,'2 Courses'!$H$2:$H$200)*('2 Courses'!$H$2:$H$200&lt;&gt;""))+(COUNTIF(I188:K188,'2 Courses'!$I$2:$I$200)*('2 Courses'!$I$2:$I$200&lt;&gt;"")))&gt;0)*((L188="")+(L188="Diploma or degree")+('2 Courses'!$E$2:$E$200=L188)&gt;0)))</f>
        <v/>
      </c>
      <c r="N188" s="18"/>
      <c r="O188" s="18"/>
      <c r="P188" s="18"/>
      <c r="Q188" s="19"/>
      <c r="R188" s="19"/>
      <c r="S188" s="18"/>
      <c r="T188" s="18"/>
      <c r="U188" s="18"/>
    </row>
    <row r="189" customFormat="false" ht="15" hidden="false" customHeight="false" outlineLevel="0" collapsed="false">
      <c r="A189" s="18"/>
      <c r="B189" s="19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4" t="str">
        <f aca="false">IF(COUNTA(I189:K189)=0,"",SUMPRODUCT((((COUNTIF(I189:K189,'2 Courses'!$G$2:$G$200)*('2 Courses'!$G$2:$G$200&lt;&gt;""))+(COUNTIF(I189:K189,'2 Courses'!$H$2:$H$200)*('2 Courses'!$H$2:$H$200&lt;&gt;""))+(COUNTIF(I189:K189,'2 Courses'!$I$2:$I$200)*('2 Courses'!$I$2:$I$200&lt;&gt;"")))&gt;0)*((L189="")+(L189="Diploma or degree")+('2 Courses'!$E$2:$E$200=L189)&gt;0)))</f>
        <v/>
      </c>
      <c r="N189" s="18"/>
      <c r="O189" s="18"/>
      <c r="P189" s="18"/>
      <c r="Q189" s="19"/>
      <c r="R189" s="19"/>
      <c r="S189" s="18"/>
      <c r="T189" s="18"/>
      <c r="U189" s="18"/>
    </row>
    <row r="190" customFormat="false" ht="15" hidden="false" customHeight="false" outlineLevel="0" collapsed="false">
      <c r="A190" s="18"/>
      <c r="B190" s="19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4" t="str">
        <f aca="false">IF(COUNTA(I190:K190)=0,"",SUMPRODUCT((((COUNTIF(I190:K190,'2 Courses'!$G$2:$G$200)*('2 Courses'!$G$2:$G$200&lt;&gt;""))+(COUNTIF(I190:K190,'2 Courses'!$H$2:$H$200)*('2 Courses'!$H$2:$H$200&lt;&gt;""))+(COUNTIF(I190:K190,'2 Courses'!$I$2:$I$200)*('2 Courses'!$I$2:$I$200&lt;&gt;"")))&gt;0)*((L190="")+(L190="Diploma or degree")+('2 Courses'!$E$2:$E$200=L190)&gt;0)))</f>
        <v/>
      </c>
      <c r="N190" s="18"/>
      <c r="O190" s="18"/>
      <c r="P190" s="18"/>
      <c r="Q190" s="19"/>
      <c r="R190" s="19"/>
      <c r="S190" s="18"/>
      <c r="T190" s="18"/>
      <c r="U190" s="18"/>
    </row>
    <row r="191" customFormat="false" ht="15" hidden="false" customHeight="false" outlineLevel="0" collapsed="false">
      <c r="A191" s="18"/>
      <c r="B191" s="19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4" t="str">
        <f aca="false">IF(COUNTA(I191:K191)=0,"",SUMPRODUCT((((COUNTIF(I191:K191,'2 Courses'!$G$2:$G$200)*('2 Courses'!$G$2:$G$200&lt;&gt;""))+(COUNTIF(I191:K191,'2 Courses'!$H$2:$H$200)*('2 Courses'!$H$2:$H$200&lt;&gt;""))+(COUNTIF(I191:K191,'2 Courses'!$I$2:$I$200)*('2 Courses'!$I$2:$I$200&lt;&gt;"")))&gt;0)*((L191="")+(L191="Diploma or degree")+('2 Courses'!$E$2:$E$200=L191)&gt;0)))</f>
        <v/>
      </c>
      <c r="N191" s="18"/>
      <c r="O191" s="18"/>
      <c r="P191" s="18"/>
      <c r="Q191" s="19"/>
      <c r="R191" s="19"/>
      <c r="S191" s="18"/>
      <c r="T191" s="18"/>
      <c r="U191" s="18"/>
    </row>
    <row r="192" customFormat="false" ht="15" hidden="false" customHeight="false" outlineLevel="0" collapsed="false">
      <c r="A192" s="18"/>
      <c r="B192" s="19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4" t="str">
        <f aca="false">IF(COUNTA(I192:K192)=0,"",SUMPRODUCT((((COUNTIF(I192:K192,'2 Courses'!$G$2:$G$200)*('2 Courses'!$G$2:$G$200&lt;&gt;""))+(COUNTIF(I192:K192,'2 Courses'!$H$2:$H$200)*('2 Courses'!$H$2:$H$200&lt;&gt;""))+(COUNTIF(I192:K192,'2 Courses'!$I$2:$I$200)*('2 Courses'!$I$2:$I$200&lt;&gt;"")))&gt;0)*((L192="")+(L192="Diploma or degree")+('2 Courses'!$E$2:$E$200=L192)&gt;0)))</f>
        <v/>
      </c>
      <c r="N192" s="18"/>
      <c r="O192" s="18"/>
      <c r="P192" s="18"/>
      <c r="Q192" s="19"/>
      <c r="R192" s="19"/>
      <c r="S192" s="18"/>
      <c r="T192" s="18"/>
      <c r="U192" s="18"/>
    </row>
    <row r="193" customFormat="false" ht="15" hidden="false" customHeight="false" outlineLevel="0" collapsed="false">
      <c r="A193" s="18"/>
      <c r="B193" s="19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4" t="str">
        <f aca="false">IF(COUNTA(I193:K193)=0,"",SUMPRODUCT((((COUNTIF(I193:K193,'2 Courses'!$G$2:$G$200)*('2 Courses'!$G$2:$G$200&lt;&gt;""))+(COUNTIF(I193:K193,'2 Courses'!$H$2:$H$200)*('2 Courses'!$H$2:$H$200&lt;&gt;""))+(COUNTIF(I193:K193,'2 Courses'!$I$2:$I$200)*('2 Courses'!$I$2:$I$200&lt;&gt;"")))&gt;0)*((L193="")+(L193="Diploma or degree")+('2 Courses'!$E$2:$E$200=L193)&gt;0)))</f>
        <v/>
      </c>
      <c r="N193" s="18"/>
      <c r="O193" s="18"/>
      <c r="P193" s="18"/>
      <c r="Q193" s="19"/>
      <c r="R193" s="19"/>
      <c r="S193" s="18"/>
      <c r="T193" s="18"/>
      <c r="U193" s="18"/>
    </row>
    <row r="194" customFormat="false" ht="15" hidden="false" customHeight="false" outlineLevel="0" collapsed="false">
      <c r="A194" s="18"/>
      <c r="B194" s="19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4" t="str">
        <f aca="false">IF(COUNTA(I194:K194)=0,"",SUMPRODUCT((((COUNTIF(I194:K194,'2 Courses'!$G$2:$G$200)*('2 Courses'!$G$2:$G$200&lt;&gt;""))+(COUNTIF(I194:K194,'2 Courses'!$H$2:$H$200)*('2 Courses'!$H$2:$H$200&lt;&gt;""))+(COUNTIF(I194:K194,'2 Courses'!$I$2:$I$200)*('2 Courses'!$I$2:$I$200&lt;&gt;"")))&gt;0)*((L194="")+(L194="Diploma or degree")+('2 Courses'!$E$2:$E$200=L194)&gt;0)))</f>
        <v/>
      </c>
      <c r="N194" s="18"/>
      <c r="O194" s="18"/>
      <c r="P194" s="18"/>
      <c r="Q194" s="19"/>
      <c r="R194" s="19"/>
      <c r="S194" s="18"/>
      <c r="T194" s="18"/>
      <c r="U194" s="18"/>
    </row>
    <row r="195" customFormat="false" ht="15" hidden="false" customHeight="false" outlineLevel="0" collapsed="false">
      <c r="A195" s="18"/>
      <c r="B195" s="19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4" t="str">
        <f aca="false">IF(COUNTA(I195:K195)=0,"",SUMPRODUCT((((COUNTIF(I195:K195,'2 Courses'!$G$2:$G$200)*('2 Courses'!$G$2:$G$200&lt;&gt;""))+(COUNTIF(I195:K195,'2 Courses'!$H$2:$H$200)*('2 Courses'!$H$2:$H$200&lt;&gt;""))+(COUNTIF(I195:K195,'2 Courses'!$I$2:$I$200)*('2 Courses'!$I$2:$I$200&lt;&gt;"")))&gt;0)*((L195="")+(L195="Diploma or degree")+('2 Courses'!$E$2:$E$200=L195)&gt;0)))</f>
        <v/>
      </c>
      <c r="N195" s="18"/>
      <c r="O195" s="18"/>
      <c r="P195" s="18"/>
      <c r="Q195" s="19"/>
      <c r="R195" s="19"/>
      <c r="S195" s="18"/>
      <c r="T195" s="18"/>
      <c r="U195" s="18"/>
    </row>
    <row r="196" customFormat="false" ht="15" hidden="false" customHeight="false" outlineLevel="0" collapsed="false">
      <c r="A196" s="18"/>
      <c r="B196" s="19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4" t="str">
        <f aca="false">IF(COUNTA(I196:K196)=0,"",SUMPRODUCT((((COUNTIF(I196:K196,'2 Courses'!$G$2:$G$200)*('2 Courses'!$G$2:$G$200&lt;&gt;""))+(COUNTIF(I196:K196,'2 Courses'!$H$2:$H$200)*('2 Courses'!$H$2:$H$200&lt;&gt;""))+(COUNTIF(I196:K196,'2 Courses'!$I$2:$I$200)*('2 Courses'!$I$2:$I$200&lt;&gt;"")))&gt;0)*((L196="")+(L196="Diploma or degree")+('2 Courses'!$E$2:$E$200=L196)&gt;0)))</f>
        <v/>
      </c>
      <c r="N196" s="18"/>
      <c r="O196" s="18"/>
      <c r="P196" s="18"/>
      <c r="Q196" s="19"/>
      <c r="R196" s="19"/>
      <c r="S196" s="18"/>
      <c r="T196" s="18"/>
      <c r="U196" s="18"/>
    </row>
    <row r="197" customFormat="false" ht="15" hidden="false" customHeight="false" outlineLevel="0" collapsed="false">
      <c r="A197" s="18"/>
      <c r="B197" s="19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4" t="str">
        <f aca="false">IF(COUNTA(I197:K197)=0,"",SUMPRODUCT((((COUNTIF(I197:K197,'2 Courses'!$G$2:$G$200)*('2 Courses'!$G$2:$G$200&lt;&gt;""))+(COUNTIF(I197:K197,'2 Courses'!$H$2:$H$200)*('2 Courses'!$H$2:$H$200&lt;&gt;""))+(COUNTIF(I197:K197,'2 Courses'!$I$2:$I$200)*('2 Courses'!$I$2:$I$200&lt;&gt;"")))&gt;0)*((L197="")+(L197="Diploma or degree")+('2 Courses'!$E$2:$E$200=L197)&gt;0)))</f>
        <v/>
      </c>
      <c r="N197" s="18"/>
      <c r="O197" s="18"/>
      <c r="P197" s="18"/>
      <c r="Q197" s="19"/>
      <c r="R197" s="19"/>
      <c r="S197" s="18"/>
      <c r="T197" s="18"/>
      <c r="U197" s="18"/>
    </row>
    <row r="198" customFormat="false" ht="15" hidden="false" customHeight="false" outlineLevel="0" collapsed="false">
      <c r="A198" s="18"/>
      <c r="B198" s="19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4" t="str">
        <f aca="false">IF(COUNTA(I198:K198)=0,"",SUMPRODUCT((((COUNTIF(I198:K198,'2 Courses'!$G$2:$G$200)*('2 Courses'!$G$2:$G$200&lt;&gt;""))+(COUNTIF(I198:K198,'2 Courses'!$H$2:$H$200)*('2 Courses'!$H$2:$H$200&lt;&gt;""))+(COUNTIF(I198:K198,'2 Courses'!$I$2:$I$200)*('2 Courses'!$I$2:$I$200&lt;&gt;"")))&gt;0)*((L198="")+(L198="Diploma or degree")+('2 Courses'!$E$2:$E$200=L198)&gt;0)))</f>
        <v/>
      </c>
      <c r="N198" s="18"/>
      <c r="O198" s="18"/>
      <c r="P198" s="18"/>
      <c r="Q198" s="19"/>
      <c r="R198" s="19"/>
      <c r="S198" s="18"/>
      <c r="T198" s="18"/>
      <c r="U198" s="18"/>
    </row>
    <row r="199" customFormat="false" ht="15" hidden="false" customHeight="false" outlineLevel="0" collapsed="false">
      <c r="A199" s="18"/>
      <c r="B199" s="19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4" t="str">
        <f aca="false">IF(COUNTA(I199:K199)=0,"",SUMPRODUCT((((COUNTIF(I199:K199,'2 Courses'!$G$2:$G$200)*('2 Courses'!$G$2:$G$200&lt;&gt;""))+(COUNTIF(I199:K199,'2 Courses'!$H$2:$H$200)*('2 Courses'!$H$2:$H$200&lt;&gt;""))+(COUNTIF(I199:K199,'2 Courses'!$I$2:$I$200)*('2 Courses'!$I$2:$I$200&lt;&gt;"")))&gt;0)*((L199="")+(L199="Diploma or degree")+('2 Courses'!$E$2:$E$200=L199)&gt;0)))</f>
        <v/>
      </c>
      <c r="N199" s="18"/>
      <c r="O199" s="18"/>
      <c r="P199" s="18"/>
      <c r="Q199" s="19"/>
      <c r="R199" s="19"/>
      <c r="S199" s="18"/>
      <c r="T199" s="18"/>
      <c r="U199" s="18"/>
    </row>
    <row r="200" customFormat="false" ht="15" hidden="false" customHeight="false" outlineLevel="0" collapsed="false">
      <c r="A200" s="18"/>
      <c r="B200" s="19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4" t="str">
        <f aca="false">IF(COUNTA(I200:K200)=0,"",SUMPRODUCT((((COUNTIF(I200:K200,'2 Courses'!$G$2:$G$200)*('2 Courses'!$G$2:$G$200&lt;&gt;""))+(COUNTIF(I200:K200,'2 Courses'!$H$2:$H$200)*('2 Courses'!$H$2:$H$200&lt;&gt;""))+(COUNTIF(I200:K200,'2 Courses'!$I$2:$I$200)*('2 Courses'!$I$2:$I$200&lt;&gt;"")))&gt;0)*((L200="")+(L200="Diploma or degree")+('2 Courses'!$E$2:$E$200=L200)&gt;0)))</f>
        <v/>
      </c>
      <c r="N200" s="18"/>
      <c r="O200" s="18"/>
      <c r="P200" s="18"/>
      <c r="Q200" s="19"/>
      <c r="R200" s="19"/>
      <c r="S200" s="18"/>
      <c r="T200" s="18"/>
      <c r="U200" s="18"/>
    </row>
    <row r="201" customFormat="false" ht="15" hidden="false" customHeight="false" outlineLevel="0" collapsed="false">
      <c r="A201" s="18"/>
      <c r="B201" s="19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4" t="str">
        <f aca="false">IF(COUNTA(I201:K201)=0,"",SUMPRODUCT((((COUNTIF(I201:K201,'2 Courses'!$G$2:$G$200)*('2 Courses'!$G$2:$G$200&lt;&gt;""))+(COUNTIF(I201:K201,'2 Courses'!$H$2:$H$200)*('2 Courses'!$H$2:$H$200&lt;&gt;""))+(COUNTIF(I201:K201,'2 Courses'!$I$2:$I$200)*('2 Courses'!$I$2:$I$200&lt;&gt;"")))&gt;0)*((L201="")+(L201="Diploma or degree")+('2 Courses'!$E$2:$E$200=L201)&gt;0)))</f>
        <v/>
      </c>
      <c r="N201" s="18"/>
      <c r="O201" s="18"/>
      <c r="P201" s="18"/>
      <c r="Q201" s="19"/>
      <c r="R201" s="19"/>
      <c r="S201" s="18"/>
      <c r="T201" s="18"/>
      <c r="U201" s="18"/>
    </row>
    <row r="202" customFormat="false" ht="15" hidden="false" customHeight="false" outlineLevel="0" collapsed="false">
      <c r="A202" s="18"/>
      <c r="B202" s="19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4" t="str">
        <f aca="false">IF(COUNTA(I202:K202)=0,"",SUMPRODUCT((((COUNTIF(I202:K202,'2 Courses'!$G$2:$G$200)*('2 Courses'!$G$2:$G$200&lt;&gt;""))+(COUNTIF(I202:K202,'2 Courses'!$H$2:$H$200)*('2 Courses'!$H$2:$H$200&lt;&gt;""))+(COUNTIF(I202:K202,'2 Courses'!$I$2:$I$200)*('2 Courses'!$I$2:$I$200&lt;&gt;"")))&gt;0)*((L202="")+(L202="Diploma or degree")+('2 Courses'!$E$2:$E$200=L202)&gt;0)))</f>
        <v/>
      </c>
      <c r="N202" s="18"/>
      <c r="O202" s="18"/>
      <c r="P202" s="18"/>
      <c r="Q202" s="19"/>
      <c r="R202" s="19"/>
      <c r="S202" s="18"/>
      <c r="T202" s="18"/>
      <c r="U202" s="18"/>
    </row>
    <row r="203" customFormat="false" ht="15" hidden="false" customHeight="false" outlineLevel="0" collapsed="false">
      <c r="A203" s="18"/>
      <c r="B203" s="19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4" t="str">
        <f aca="false">IF(COUNTA(I203:K203)=0,"",SUMPRODUCT((((COUNTIF(I203:K203,'2 Courses'!$G$2:$G$200)*('2 Courses'!$G$2:$G$200&lt;&gt;""))+(COUNTIF(I203:K203,'2 Courses'!$H$2:$H$200)*('2 Courses'!$H$2:$H$200&lt;&gt;""))+(COUNTIF(I203:K203,'2 Courses'!$I$2:$I$200)*('2 Courses'!$I$2:$I$200&lt;&gt;"")))&gt;0)*((L203="")+(L203="Diploma or degree")+('2 Courses'!$E$2:$E$200=L203)&gt;0)))</f>
        <v/>
      </c>
      <c r="N203" s="18"/>
      <c r="O203" s="18"/>
      <c r="P203" s="18"/>
      <c r="Q203" s="19"/>
      <c r="R203" s="19"/>
      <c r="S203" s="18"/>
      <c r="T203" s="18"/>
      <c r="U203" s="18"/>
    </row>
    <row r="204" customFormat="false" ht="15" hidden="false" customHeight="false" outlineLevel="0" collapsed="false">
      <c r="A204" s="18"/>
      <c r="B204" s="19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4" t="str">
        <f aca="false">IF(COUNTA(I204:K204)=0,"",SUMPRODUCT((((COUNTIF(I204:K204,'2 Courses'!$G$2:$G$200)*('2 Courses'!$G$2:$G$200&lt;&gt;""))+(COUNTIF(I204:K204,'2 Courses'!$H$2:$H$200)*('2 Courses'!$H$2:$H$200&lt;&gt;""))+(COUNTIF(I204:K204,'2 Courses'!$I$2:$I$200)*('2 Courses'!$I$2:$I$200&lt;&gt;"")))&gt;0)*((L204="")+(L204="Diploma or degree")+('2 Courses'!$E$2:$E$200=L204)&gt;0)))</f>
        <v/>
      </c>
      <c r="N204" s="18"/>
      <c r="O204" s="18"/>
      <c r="P204" s="18"/>
      <c r="Q204" s="19"/>
      <c r="R204" s="19"/>
      <c r="S204" s="18"/>
      <c r="T204" s="18"/>
      <c r="U204" s="18"/>
    </row>
    <row r="205" customFormat="false" ht="15" hidden="false" customHeight="false" outlineLevel="0" collapsed="false">
      <c r="A205" s="18"/>
      <c r="B205" s="19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4" t="str">
        <f aca="false">IF(COUNTA(I205:K205)=0,"",SUMPRODUCT((((COUNTIF(I205:K205,'2 Courses'!$G$2:$G$200)*('2 Courses'!$G$2:$G$200&lt;&gt;""))+(COUNTIF(I205:K205,'2 Courses'!$H$2:$H$200)*('2 Courses'!$H$2:$H$200&lt;&gt;""))+(COUNTIF(I205:K205,'2 Courses'!$I$2:$I$200)*('2 Courses'!$I$2:$I$200&lt;&gt;"")))&gt;0)*((L205="")+(L205="Diploma or degree")+('2 Courses'!$E$2:$E$200=L205)&gt;0)))</f>
        <v/>
      </c>
      <c r="N205" s="18"/>
      <c r="O205" s="18"/>
      <c r="P205" s="18"/>
      <c r="Q205" s="19"/>
      <c r="R205" s="19"/>
      <c r="S205" s="18"/>
      <c r="T205" s="18"/>
      <c r="U205" s="18"/>
    </row>
    <row r="206" customFormat="false" ht="15" hidden="false" customHeight="false" outlineLevel="0" collapsed="false">
      <c r="A206" s="18"/>
      <c r="B206" s="19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4" t="str">
        <f aca="false">IF(COUNTA(I206:K206)=0,"",SUMPRODUCT((((COUNTIF(I206:K206,'2 Courses'!$G$2:$G$200)*('2 Courses'!$G$2:$G$200&lt;&gt;""))+(COUNTIF(I206:K206,'2 Courses'!$H$2:$H$200)*('2 Courses'!$H$2:$H$200&lt;&gt;""))+(COUNTIF(I206:K206,'2 Courses'!$I$2:$I$200)*('2 Courses'!$I$2:$I$200&lt;&gt;"")))&gt;0)*((L206="")+(L206="Diploma or degree")+('2 Courses'!$E$2:$E$200=L206)&gt;0)))</f>
        <v/>
      </c>
      <c r="N206" s="18"/>
      <c r="O206" s="18"/>
      <c r="P206" s="18"/>
      <c r="Q206" s="19"/>
      <c r="R206" s="19"/>
      <c r="S206" s="18"/>
      <c r="T206" s="18"/>
      <c r="U206" s="18"/>
    </row>
    <row r="207" customFormat="false" ht="15" hidden="false" customHeight="false" outlineLevel="0" collapsed="false">
      <c r="A207" s="18"/>
      <c r="B207" s="19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4" t="str">
        <f aca="false">IF(COUNTA(I207:K207)=0,"",SUMPRODUCT((((COUNTIF(I207:K207,'2 Courses'!$G$2:$G$200)*('2 Courses'!$G$2:$G$200&lt;&gt;""))+(COUNTIF(I207:K207,'2 Courses'!$H$2:$H$200)*('2 Courses'!$H$2:$H$200&lt;&gt;""))+(COUNTIF(I207:K207,'2 Courses'!$I$2:$I$200)*('2 Courses'!$I$2:$I$200&lt;&gt;"")))&gt;0)*((L207="")+(L207="Diploma or degree")+('2 Courses'!$E$2:$E$200=L207)&gt;0)))</f>
        <v/>
      </c>
      <c r="N207" s="18"/>
      <c r="O207" s="18"/>
      <c r="P207" s="18"/>
      <c r="Q207" s="19"/>
      <c r="R207" s="19"/>
      <c r="S207" s="18"/>
      <c r="T207" s="18"/>
      <c r="U207" s="18"/>
    </row>
    <row r="208" customFormat="false" ht="15" hidden="false" customHeight="false" outlineLevel="0" collapsed="false">
      <c r="A208" s="18"/>
      <c r="B208" s="19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4" t="str">
        <f aca="false">IF(COUNTA(I208:K208)=0,"",SUMPRODUCT((((COUNTIF(I208:K208,'2 Courses'!$G$2:$G$200)*('2 Courses'!$G$2:$G$200&lt;&gt;""))+(COUNTIF(I208:K208,'2 Courses'!$H$2:$H$200)*('2 Courses'!$H$2:$H$200&lt;&gt;""))+(COUNTIF(I208:K208,'2 Courses'!$I$2:$I$200)*('2 Courses'!$I$2:$I$200&lt;&gt;"")))&gt;0)*((L208="")+(L208="Diploma or degree")+('2 Courses'!$E$2:$E$200=L208)&gt;0)))</f>
        <v/>
      </c>
      <c r="N208" s="18"/>
      <c r="O208" s="18"/>
      <c r="P208" s="18"/>
      <c r="Q208" s="19"/>
      <c r="R208" s="19"/>
      <c r="S208" s="18"/>
      <c r="T208" s="18"/>
      <c r="U208" s="18"/>
    </row>
    <row r="209" customFormat="false" ht="15" hidden="false" customHeight="false" outlineLevel="0" collapsed="false">
      <c r="A209" s="18"/>
      <c r="B209" s="19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4" t="str">
        <f aca="false">IF(COUNTA(I209:K209)=0,"",SUMPRODUCT((((COUNTIF(I209:K209,'2 Courses'!$G$2:$G$200)*('2 Courses'!$G$2:$G$200&lt;&gt;""))+(COUNTIF(I209:K209,'2 Courses'!$H$2:$H$200)*('2 Courses'!$H$2:$H$200&lt;&gt;""))+(COUNTIF(I209:K209,'2 Courses'!$I$2:$I$200)*('2 Courses'!$I$2:$I$200&lt;&gt;"")))&gt;0)*((L209="")+(L209="Diploma or degree")+('2 Courses'!$E$2:$E$200=L209)&gt;0)))</f>
        <v/>
      </c>
      <c r="N209" s="18"/>
      <c r="O209" s="18"/>
      <c r="P209" s="18"/>
      <c r="Q209" s="19"/>
      <c r="R209" s="19"/>
      <c r="S209" s="18"/>
      <c r="T209" s="18"/>
      <c r="U209" s="18"/>
    </row>
    <row r="210" customFormat="false" ht="15" hidden="false" customHeight="false" outlineLevel="0" collapsed="false">
      <c r="A210" s="18"/>
      <c r="B210" s="19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4" t="str">
        <f aca="false">IF(COUNTA(I210:K210)=0,"",SUMPRODUCT((((COUNTIF(I210:K210,'2 Courses'!$G$2:$G$200)*('2 Courses'!$G$2:$G$200&lt;&gt;""))+(COUNTIF(I210:K210,'2 Courses'!$H$2:$H$200)*('2 Courses'!$H$2:$H$200&lt;&gt;""))+(COUNTIF(I210:K210,'2 Courses'!$I$2:$I$200)*('2 Courses'!$I$2:$I$200&lt;&gt;"")))&gt;0)*((L210="")+(L210="Diploma or degree")+('2 Courses'!$E$2:$E$200=L210)&gt;0)))</f>
        <v/>
      </c>
      <c r="N210" s="18"/>
      <c r="O210" s="18"/>
      <c r="P210" s="18"/>
      <c r="Q210" s="19"/>
      <c r="R210" s="19"/>
      <c r="S210" s="18"/>
      <c r="T210" s="18"/>
      <c r="U210" s="18"/>
    </row>
    <row r="211" customFormat="false" ht="15" hidden="false" customHeight="false" outlineLevel="0" collapsed="false">
      <c r="A211" s="18"/>
      <c r="B211" s="19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4" t="str">
        <f aca="false">IF(COUNTA(I211:K211)=0,"",SUMPRODUCT((((COUNTIF(I211:K211,'2 Courses'!$G$2:$G$200)*('2 Courses'!$G$2:$G$200&lt;&gt;""))+(COUNTIF(I211:K211,'2 Courses'!$H$2:$H$200)*('2 Courses'!$H$2:$H$200&lt;&gt;""))+(COUNTIF(I211:K211,'2 Courses'!$I$2:$I$200)*('2 Courses'!$I$2:$I$200&lt;&gt;"")))&gt;0)*((L211="")+(L211="Diploma or degree")+('2 Courses'!$E$2:$E$200=L211)&gt;0)))</f>
        <v/>
      </c>
      <c r="N211" s="18"/>
      <c r="O211" s="18"/>
      <c r="P211" s="18"/>
      <c r="Q211" s="19"/>
      <c r="R211" s="19"/>
      <c r="S211" s="18"/>
      <c r="T211" s="18"/>
      <c r="U211" s="18"/>
    </row>
    <row r="212" customFormat="false" ht="15" hidden="false" customHeight="false" outlineLevel="0" collapsed="false">
      <c r="A212" s="18"/>
      <c r="B212" s="19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4" t="str">
        <f aca="false">IF(COUNTA(I212:K212)=0,"",SUMPRODUCT((((COUNTIF(I212:K212,'2 Courses'!$G$2:$G$200)*('2 Courses'!$G$2:$G$200&lt;&gt;""))+(COUNTIF(I212:K212,'2 Courses'!$H$2:$H$200)*('2 Courses'!$H$2:$H$200&lt;&gt;""))+(COUNTIF(I212:K212,'2 Courses'!$I$2:$I$200)*('2 Courses'!$I$2:$I$200&lt;&gt;"")))&gt;0)*((L212="")+(L212="Diploma or degree")+('2 Courses'!$E$2:$E$200=L212)&gt;0)))</f>
        <v/>
      </c>
      <c r="N212" s="18"/>
      <c r="O212" s="18"/>
      <c r="P212" s="18"/>
      <c r="Q212" s="19"/>
      <c r="R212" s="19"/>
      <c r="S212" s="18"/>
      <c r="T212" s="18"/>
      <c r="U212" s="18"/>
    </row>
    <row r="213" customFormat="false" ht="15" hidden="false" customHeight="false" outlineLevel="0" collapsed="false">
      <c r="A213" s="18"/>
      <c r="B213" s="19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4" t="str">
        <f aca="false">IF(COUNTA(I213:K213)=0,"",SUMPRODUCT((((COUNTIF(I213:K213,'2 Courses'!$G$2:$G$200)*('2 Courses'!$G$2:$G$200&lt;&gt;""))+(COUNTIF(I213:K213,'2 Courses'!$H$2:$H$200)*('2 Courses'!$H$2:$H$200&lt;&gt;""))+(COUNTIF(I213:K213,'2 Courses'!$I$2:$I$200)*('2 Courses'!$I$2:$I$200&lt;&gt;"")))&gt;0)*((L213="")+(L213="Diploma or degree")+('2 Courses'!$E$2:$E$200=L213)&gt;0)))</f>
        <v/>
      </c>
      <c r="N213" s="18"/>
      <c r="O213" s="18"/>
      <c r="P213" s="18"/>
      <c r="Q213" s="19"/>
      <c r="R213" s="19"/>
      <c r="S213" s="18"/>
      <c r="T213" s="18"/>
      <c r="U213" s="18"/>
    </row>
    <row r="214" customFormat="false" ht="15" hidden="false" customHeight="false" outlineLevel="0" collapsed="false">
      <c r="A214" s="18"/>
      <c r="B214" s="19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4" t="str">
        <f aca="false">IF(COUNTA(I214:K214)=0,"",SUMPRODUCT((((COUNTIF(I214:K214,'2 Courses'!$G$2:$G$200)*('2 Courses'!$G$2:$G$200&lt;&gt;""))+(COUNTIF(I214:K214,'2 Courses'!$H$2:$H$200)*('2 Courses'!$H$2:$H$200&lt;&gt;""))+(COUNTIF(I214:K214,'2 Courses'!$I$2:$I$200)*('2 Courses'!$I$2:$I$200&lt;&gt;"")))&gt;0)*((L214="")+(L214="Diploma or degree")+('2 Courses'!$E$2:$E$200=L214)&gt;0)))</f>
        <v/>
      </c>
      <c r="N214" s="18"/>
      <c r="O214" s="18"/>
      <c r="P214" s="18"/>
      <c r="Q214" s="19"/>
      <c r="R214" s="19"/>
      <c r="S214" s="18"/>
      <c r="T214" s="18"/>
      <c r="U214" s="18"/>
    </row>
    <row r="215" customFormat="false" ht="15" hidden="false" customHeight="false" outlineLevel="0" collapsed="false">
      <c r="A215" s="18"/>
      <c r="B215" s="19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4" t="str">
        <f aca="false">IF(COUNTA(I215:K215)=0,"",SUMPRODUCT((((COUNTIF(I215:K215,'2 Courses'!$G$2:$G$200)*('2 Courses'!$G$2:$G$200&lt;&gt;""))+(COUNTIF(I215:K215,'2 Courses'!$H$2:$H$200)*('2 Courses'!$H$2:$H$200&lt;&gt;""))+(COUNTIF(I215:K215,'2 Courses'!$I$2:$I$200)*('2 Courses'!$I$2:$I$200&lt;&gt;"")))&gt;0)*((L215="")+(L215="Diploma or degree")+('2 Courses'!$E$2:$E$200=L215)&gt;0)))</f>
        <v/>
      </c>
      <c r="N215" s="18"/>
      <c r="O215" s="18"/>
      <c r="P215" s="18"/>
      <c r="Q215" s="19"/>
      <c r="R215" s="19"/>
      <c r="S215" s="18"/>
      <c r="T215" s="18"/>
      <c r="U215" s="18"/>
    </row>
    <row r="216" customFormat="false" ht="15" hidden="false" customHeight="false" outlineLevel="0" collapsed="false">
      <c r="A216" s="18"/>
      <c r="B216" s="19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4" t="str">
        <f aca="false">IF(COUNTA(I216:K216)=0,"",SUMPRODUCT((((COUNTIF(I216:K216,'2 Courses'!$G$2:$G$200)*('2 Courses'!$G$2:$G$200&lt;&gt;""))+(COUNTIF(I216:K216,'2 Courses'!$H$2:$H$200)*('2 Courses'!$H$2:$H$200&lt;&gt;""))+(COUNTIF(I216:K216,'2 Courses'!$I$2:$I$200)*('2 Courses'!$I$2:$I$200&lt;&gt;"")))&gt;0)*((L216="")+(L216="Diploma or degree")+('2 Courses'!$E$2:$E$200=L216)&gt;0)))</f>
        <v/>
      </c>
      <c r="N216" s="18"/>
      <c r="O216" s="18"/>
      <c r="P216" s="18"/>
      <c r="Q216" s="19"/>
      <c r="R216" s="19"/>
      <c r="S216" s="18"/>
      <c r="T216" s="18"/>
      <c r="U216" s="18"/>
    </row>
    <row r="217" customFormat="false" ht="15" hidden="false" customHeight="false" outlineLevel="0" collapsed="false">
      <c r="A217" s="18"/>
      <c r="B217" s="19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4" t="str">
        <f aca="false">IF(COUNTA(I217:K217)=0,"",SUMPRODUCT((((COUNTIF(I217:K217,'2 Courses'!$G$2:$G$200)*('2 Courses'!$G$2:$G$200&lt;&gt;""))+(COUNTIF(I217:K217,'2 Courses'!$H$2:$H$200)*('2 Courses'!$H$2:$H$200&lt;&gt;""))+(COUNTIF(I217:K217,'2 Courses'!$I$2:$I$200)*('2 Courses'!$I$2:$I$200&lt;&gt;"")))&gt;0)*((L217="")+(L217="Diploma or degree")+('2 Courses'!$E$2:$E$200=L217)&gt;0)))</f>
        <v/>
      </c>
      <c r="N217" s="18"/>
      <c r="O217" s="18"/>
      <c r="P217" s="18"/>
      <c r="Q217" s="19"/>
      <c r="R217" s="19"/>
      <c r="S217" s="18"/>
      <c r="T217" s="18"/>
      <c r="U217" s="18"/>
    </row>
    <row r="218" customFormat="false" ht="15" hidden="false" customHeight="false" outlineLevel="0" collapsed="false">
      <c r="A218" s="18"/>
      <c r="B218" s="19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4" t="str">
        <f aca="false">IF(COUNTA(I218:K218)=0,"",SUMPRODUCT((((COUNTIF(I218:K218,'2 Courses'!$G$2:$G$200)*('2 Courses'!$G$2:$G$200&lt;&gt;""))+(COUNTIF(I218:K218,'2 Courses'!$H$2:$H$200)*('2 Courses'!$H$2:$H$200&lt;&gt;""))+(COUNTIF(I218:K218,'2 Courses'!$I$2:$I$200)*('2 Courses'!$I$2:$I$200&lt;&gt;"")))&gt;0)*((L218="")+(L218="Diploma or degree")+('2 Courses'!$E$2:$E$200=L218)&gt;0)))</f>
        <v/>
      </c>
      <c r="N218" s="18"/>
      <c r="O218" s="18"/>
      <c r="P218" s="18"/>
      <c r="Q218" s="19"/>
      <c r="R218" s="19"/>
      <c r="S218" s="18"/>
      <c r="T218" s="18"/>
      <c r="U218" s="18"/>
    </row>
    <row r="219" customFormat="false" ht="15" hidden="false" customHeight="false" outlineLevel="0" collapsed="false">
      <c r="A219" s="18"/>
      <c r="B219" s="19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4" t="str">
        <f aca="false">IF(COUNTA(I219:K219)=0,"",SUMPRODUCT((((COUNTIF(I219:K219,'2 Courses'!$G$2:$G$200)*('2 Courses'!$G$2:$G$200&lt;&gt;""))+(COUNTIF(I219:K219,'2 Courses'!$H$2:$H$200)*('2 Courses'!$H$2:$H$200&lt;&gt;""))+(COUNTIF(I219:K219,'2 Courses'!$I$2:$I$200)*('2 Courses'!$I$2:$I$200&lt;&gt;"")))&gt;0)*((L219="")+(L219="Diploma or degree")+('2 Courses'!$E$2:$E$200=L219)&gt;0)))</f>
        <v/>
      </c>
      <c r="N219" s="18"/>
      <c r="O219" s="18"/>
      <c r="P219" s="18"/>
      <c r="Q219" s="19"/>
      <c r="R219" s="19"/>
      <c r="S219" s="18"/>
      <c r="T219" s="18"/>
      <c r="U219" s="18"/>
    </row>
    <row r="220" customFormat="false" ht="15" hidden="false" customHeight="false" outlineLevel="0" collapsed="false">
      <c r="A220" s="18"/>
      <c r="B220" s="19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4" t="str">
        <f aca="false">IF(COUNTA(I220:K220)=0,"",SUMPRODUCT((((COUNTIF(I220:K220,'2 Courses'!$G$2:$G$200)*('2 Courses'!$G$2:$G$200&lt;&gt;""))+(COUNTIF(I220:K220,'2 Courses'!$H$2:$H$200)*('2 Courses'!$H$2:$H$200&lt;&gt;""))+(COUNTIF(I220:K220,'2 Courses'!$I$2:$I$200)*('2 Courses'!$I$2:$I$200&lt;&gt;"")))&gt;0)*((L220="")+(L220="Diploma or degree")+('2 Courses'!$E$2:$E$200=L220)&gt;0)))</f>
        <v/>
      </c>
      <c r="N220" s="18"/>
      <c r="O220" s="18"/>
      <c r="P220" s="18"/>
      <c r="Q220" s="19"/>
      <c r="R220" s="19"/>
      <c r="S220" s="18"/>
      <c r="T220" s="18"/>
      <c r="U220" s="18"/>
    </row>
    <row r="221" customFormat="false" ht="15" hidden="false" customHeight="false" outlineLevel="0" collapsed="false">
      <c r="A221" s="18"/>
      <c r="B221" s="19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4" t="str">
        <f aca="false">IF(COUNTA(I221:K221)=0,"",SUMPRODUCT((((COUNTIF(I221:K221,'2 Courses'!$G$2:$G$200)*('2 Courses'!$G$2:$G$200&lt;&gt;""))+(COUNTIF(I221:K221,'2 Courses'!$H$2:$H$200)*('2 Courses'!$H$2:$H$200&lt;&gt;""))+(COUNTIF(I221:K221,'2 Courses'!$I$2:$I$200)*('2 Courses'!$I$2:$I$200&lt;&gt;"")))&gt;0)*((L221="")+(L221="Diploma or degree")+('2 Courses'!$E$2:$E$200=L221)&gt;0)))</f>
        <v/>
      </c>
      <c r="N221" s="18"/>
      <c r="O221" s="18"/>
      <c r="P221" s="18"/>
      <c r="Q221" s="19"/>
      <c r="R221" s="19"/>
      <c r="S221" s="18"/>
      <c r="T221" s="18"/>
      <c r="U221" s="18"/>
    </row>
    <row r="222" customFormat="false" ht="15" hidden="false" customHeight="false" outlineLevel="0" collapsed="false">
      <c r="A222" s="18"/>
      <c r="B222" s="19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4" t="str">
        <f aca="false">IF(COUNTA(I222:K222)=0,"",SUMPRODUCT((((COUNTIF(I222:K222,'2 Courses'!$G$2:$G$200)*('2 Courses'!$G$2:$G$200&lt;&gt;""))+(COUNTIF(I222:K222,'2 Courses'!$H$2:$H$200)*('2 Courses'!$H$2:$H$200&lt;&gt;""))+(COUNTIF(I222:K222,'2 Courses'!$I$2:$I$200)*('2 Courses'!$I$2:$I$200&lt;&gt;"")))&gt;0)*((L222="")+(L222="Diploma or degree")+('2 Courses'!$E$2:$E$200=L222)&gt;0)))</f>
        <v/>
      </c>
      <c r="N222" s="18"/>
      <c r="O222" s="18"/>
      <c r="P222" s="18"/>
      <c r="Q222" s="19"/>
      <c r="R222" s="19"/>
      <c r="S222" s="18"/>
      <c r="T222" s="18"/>
      <c r="U222" s="18"/>
    </row>
    <row r="223" customFormat="false" ht="15" hidden="false" customHeight="false" outlineLevel="0" collapsed="false">
      <c r="A223" s="18"/>
      <c r="B223" s="19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4" t="str">
        <f aca="false">IF(COUNTA(I223:K223)=0,"",SUMPRODUCT((((COUNTIF(I223:K223,'2 Courses'!$G$2:$G$200)*('2 Courses'!$G$2:$G$200&lt;&gt;""))+(COUNTIF(I223:K223,'2 Courses'!$H$2:$H$200)*('2 Courses'!$H$2:$H$200&lt;&gt;""))+(COUNTIF(I223:K223,'2 Courses'!$I$2:$I$200)*('2 Courses'!$I$2:$I$200&lt;&gt;"")))&gt;0)*((L223="")+(L223="Diploma or degree")+('2 Courses'!$E$2:$E$200=L223)&gt;0)))</f>
        <v/>
      </c>
      <c r="N223" s="18"/>
      <c r="O223" s="18"/>
      <c r="P223" s="18"/>
      <c r="Q223" s="19"/>
      <c r="R223" s="19"/>
      <c r="S223" s="18"/>
      <c r="T223" s="18"/>
      <c r="U223" s="18"/>
    </row>
    <row r="224" customFormat="false" ht="15" hidden="false" customHeight="false" outlineLevel="0" collapsed="false">
      <c r="A224" s="18"/>
      <c r="B224" s="19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4" t="str">
        <f aca="false">IF(COUNTA(I224:K224)=0,"",SUMPRODUCT((((COUNTIF(I224:K224,'2 Courses'!$G$2:$G$200)*('2 Courses'!$G$2:$G$200&lt;&gt;""))+(COUNTIF(I224:K224,'2 Courses'!$H$2:$H$200)*('2 Courses'!$H$2:$H$200&lt;&gt;""))+(COUNTIF(I224:K224,'2 Courses'!$I$2:$I$200)*('2 Courses'!$I$2:$I$200&lt;&gt;"")))&gt;0)*((L224="")+(L224="Diploma or degree")+('2 Courses'!$E$2:$E$200=L224)&gt;0)))</f>
        <v/>
      </c>
      <c r="N224" s="18"/>
      <c r="O224" s="18"/>
      <c r="P224" s="18"/>
      <c r="Q224" s="19"/>
      <c r="R224" s="19"/>
      <c r="S224" s="18"/>
      <c r="T224" s="18"/>
      <c r="U224" s="18"/>
    </row>
    <row r="225" customFormat="false" ht="15" hidden="false" customHeight="false" outlineLevel="0" collapsed="false">
      <c r="A225" s="18"/>
      <c r="B225" s="19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4" t="str">
        <f aca="false">IF(COUNTA(I225:K225)=0,"",SUMPRODUCT((((COUNTIF(I225:K225,'2 Courses'!$G$2:$G$200)*('2 Courses'!$G$2:$G$200&lt;&gt;""))+(COUNTIF(I225:K225,'2 Courses'!$H$2:$H$200)*('2 Courses'!$H$2:$H$200&lt;&gt;""))+(COUNTIF(I225:K225,'2 Courses'!$I$2:$I$200)*('2 Courses'!$I$2:$I$200&lt;&gt;"")))&gt;0)*((L225="")+(L225="Diploma or degree")+('2 Courses'!$E$2:$E$200=L225)&gt;0)))</f>
        <v/>
      </c>
      <c r="N225" s="18"/>
      <c r="O225" s="18"/>
      <c r="P225" s="18"/>
      <c r="Q225" s="19"/>
      <c r="R225" s="19"/>
      <c r="S225" s="18"/>
      <c r="T225" s="18"/>
      <c r="U225" s="18"/>
    </row>
    <row r="226" customFormat="false" ht="15" hidden="false" customHeight="false" outlineLevel="0" collapsed="false">
      <c r="A226" s="18"/>
      <c r="B226" s="19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4" t="str">
        <f aca="false">IF(COUNTA(I226:K226)=0,"",SUMPRODUCT((((COUNTIF(I226:K226,'2 Courses'!$G$2:$G$200)*('2 Courses'!$G$2:$G$200&lt;&gt;""))+(COUNTIF(I226:K226,'2 Courses'!$H$2:$H$200)*('2 Courses'!$H$2:$H$200&lt;&gt;""))+(COUNTIF(I226:K226,'2 Courses'!$I$2:$I$200)*('2 Courses'!$I$2:$I$200&lt;&gt;"")))&gt;0)*((L226="")+(L226="Diploma or degree")+('2 Courses'!$E$2:$E$200=L226)&gt;0)))</f>
        <v/>
      </c>
      <c r="N226" s="18"/>
      <c r="O226" s="18"/>
      <c r="P226" s="18"/>
      <c r="Q226" s="19"/>
      <c r="R226" s="19"/>
      <c r="S226" s="18"/>
      <c r="T226" s="18"/>
      <c r="U226" s="18"/>
    </row>
    <row r="227" customFormat="false" ht="15" hidden="false" customHeight="false" outlineLevel="0" collapsed="false">
      <c r="A227" s="18"/>
      <c r="B227" s="19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4" t="str">
        <f aca="false">IF(COUNTA(I227:K227)=0,"",SUMPRODUCT((((COUNTIF(I227:K227,'2 Courses'!$G$2:$G$200)*('2 Courses'!$G$2:$G$200&lt;&gt;""))+(COUNTIF(I227:K227,'2 Courses'!$H$2:$H$200)*('2 Courses'!$H$2:$H$200&lt;&gt;""))+(COUNTIF(I227:K227,'2 Courses'!$I$2:$I$200)*('2 Courses'!$I$2:$I$200&lt;&gt;"")))&gt;0)*((L227="")+(L227="Diploma or degree")+('2 Courses'!$E$2:$E$200=L227)&gt;0)))</f>
        <v/>
      </c>
      <c r="N227" s="18"/>
      <c r="O227" s="18"/>
      <c r="P227" s="18"/>
      <c r="Q227" s="19"/>
      <c r="R227" s="19"/>
      <c r="S227" s="18"/>
      <c r="T227" s="18"/>
      <c r="U227" s="18"/>
    </row>
    <row r="228" customFormat="false" ht="15" hidden="false" customHeight="false" outlineLevel="0" collapsed="false">
      <c r="A228" s="18"/>
      <c r="B228" s="19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4" t="str">
        <f aca="false">IF(COUNTA(I228:K228)=0,"",SUMPRODUCT((((COUNTIF(I228:K228,'2 Courses'!$G$2:$G$200)*('2 Courses'!$G$2:$G$200&lt;&gt;""))+(COUNTIF(I228:K228,'2 Courses'!$H$2:$H$200)*('2 Courses'!$H$2:$H$200&lt;&gt;""))+(COUNTIF(I228:K228,'2 Courses'!$I$2:$I$200)*('2 Courses'!$I$2:$I$200&lt;&gt;"")))&gt;0)*((L228="")+(L228="Diploma or degree")+('2 Courses'!$E$2:$E$200=L228)&gt;0)))</f>
        <v/>
      </c>
      <c r="N228" s="18"/>
      <c r="O228" s="18"/>
      <c r="P228" s="18"/>
      <c r="Q228" s="19"/>
      <c r="R228" s="19"/>
      <c r="S228" s="18"/>
      <c r="T228" s="18"/>
      <c r="U228" s="18"/>
    </row>
    <row r="229" customFormat="false" ht="15" hidden="false" customHeight="false" outlineLevel="0" collapsed="false">
      <c r="A229" s="18"/>
      <c r="B229" s="19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4" t="str">
        <f aca="false">IF(COUNTA(I229:K229)=0,"",SUMPRODUCT((((COUNTIF(I229:K229,'2 Courses'!$G$2:$G$200)*('2 Courses'!$G$2:$G$200&lt;&gt;""))+(COUNTIF(I229:K229,'2 Courses'!$H$2:$H$200)*('2 Courses'!$H$2:$H$200&lt;&gt;""))+(COUNTIF(I229:K229,'2 Courses'!$I$2:$I$200)*('2 Courses'!$I$2:$I$200&lt;&gt;"")))&gt;0)*((L229="")+(L229="Diploma or degree")+('2 Courses'!$E$2:$E$200=L229)&gt;0)))</f>
        <v/>
      </c>
      <c r="N229" s="18"/>
      <c r="O229" s="18"/>
      <c r="P229" s="18"/>
      <c r="Q229" s="19"/>
      <c r="R229" s="19"/>
      <c r="S229" s="18"/>
      <c r="T229" s="18"/>
      <c r="U229" s="18"/>
    </row>
    <row r="230" customFormat="false" ht="15" hidden="false" customHeight="false" outlineLevel="0" collapsed="false">
      <c r="A230" s="18"/>
      <c r="B230" s="19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4" t="str">
        <f aca="false">IF(COUNTA(I230:K230)=0,"",SUMPRODUCT((((COUNTIF(I230:K230,'2 Courses'!$G$2:$G$200)*('2 Courses'!$G$2:$G$200&lt;&gt;""))+(COUNTIF(I230:K230,'2 Courses'!$H$2:$H$200)*('2 Courses'!$H$2:$H$200&lt;&gt;""))+(COUNTIF(I230:K230,'2 Courses'!$I$2:$I$200)*('2 Courses'!$I$2:$I$200&lt;&gt;"")))&gt;0)*((L230="")+(L230="Diploma or degree")+('2 Courses'!$E$2:$E$200=L230)&gt;0)))</f>
        <v/>
      </c>
      <c r="N230" s="18"/>
      <c r="O230" s="18"/>
      <c r="P230" s="18"/>
      <c r="Q230" s="19"/>
      <c r="R230" s="19"/>
      <c r="S230" s="18"/>
      <c r="T230" s="18"/>
      <c r="U230" s="18"/>
    </row>
    <row r="231" customFormat="false" ht="15" hidden="false" customHeight="false" outlineLevel="0" collapsed="false">
      <c r="A231" s="18"/>
      <c r="B231" s="19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4" t="str">
        <f aca="false">IF(COUNTA(I231:K231)=0,"",SUMPRODUCT((((COUNTIF(I231:K231,'2 Courses'!$G$2:$G$200)*('2 Courses'!$G$2:$G$200&lt;&gt;""))+(COUNTIF(I231:K231,'2 Courses'!$H$2:$H$200)*('2 Courses'!$H$2:$H$200&lt;&gt;""))+(COUNTIF(I231:K231,'2 Courses'!$I$2:$I$200)*('2 Courses'!$I$2:$I$200&lt;&gt;"")))&gt;0)*((L231="")+(L231="Diploma or degree")+('2 Courses'!$E$2:$E$200=L231)&gt;0)))</f>
        <v/>
      </c>
      <c r="N231" s="18"/>
      <c r="O231" s="18"/>
      <c r="P231" s="18"/>
      <c r="Q231" s="19"/>
      <c r="R231" s="19"/>
      <c r="S231" s="18"/>
      <c r="T231" s="18"/>
      <c r="U231" s="18"/>
    </row>
    <row r="232" customFormat="false" ht="15" hidden="false" customHeight="false" outlineLevel="0" collapsed="false">
      <c r="A232" s="18"/>
      <c r="B232" s="19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4" t="str">
        <f aca="false">IF(COUNTA(I232:K232)=0,"",SUMPRODUCT((((COUNTIF(I232:K232,'2 Courses'!$G$2:$G$200)*('2 Courses'!$G$2:$G$200&lt;&gt;""))+(COUNTIF(I232:K232,'2 Courses'!$H$2:$H$200)*('2 Courses'!$H$2:$H$200&lt;&gt;""))+(COUNTIF(I232:K232,'2 Courses'!$I$2:$I$200)*('2 Courses'!$I$2:$I$200&lt;&gt;"")))&gt;0)*((L232="")+(L232="Diploma or degree")+('2 Courses'!$E$2:$E$200=L232)&gt;0)))</f>
        <v/>
      </c>
      <c r="N232" s="18"/>
      <c r="O232" s="18"/>
      <c r="P232" s="18"/>
      <c r="Q232" s="19"/>
      <c r="R232" s="19"/>
      <c r="S232" s="18"/>
      <c r="T232" s="18"/>
      <c r="U232" s="18"/>
    </row>
    <row r="233" customFormat="false" ht="15" hidden="false" customHeight="false" outlineLevel="0" collapsed="false">
      <c r="A233" s="18"/>
      <c r="B233" s="19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4" t="str">
        <f aca="false">IF(COUNTA(I233:K233)=0,"",SUMPRODUCT((((COUNTIF(I233:K233,'2 Courses'!$G$2:$G$200)*('2 Courses'!$G$2:$G$200&lt;&gt;""))+(COUNTIF(I233:K233,'2 Courses'!$H$2:$H$200)*('2 Courses'!$H$2:$H$200&lt;&gt;""))+(COUNTIF(I233:K233,'2 Courses'!$I$2:$I$200)*('2 Courses'!$I$2:$I$200&lt;&gt;"")))&gt;0)*((L233="")+(L233="Diploma or degree")+('2 Courses'!$E$2:$E$200=L233)&gt;0)))</f>
        <v/>
      </c>
      <c r="N233" s="18"/>
      <c r="O233" s="18"/>
      <c r="P233" s="18"/>
      <c r="Q233" s="19"/>
      <c r="R233" s="19"/>
      <c r="S233" s="18"/>
      <c r="T233" s="18"/>
      <c r="U233" s="18"/>
    </row>
    <row r="234" customFormat="false" ht="15" hidden="false" customHeight="false" outlineLevel="0" collapsed="false">
      <c r="A234" s="18"/>
      <c r="B234" s="19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4" t="str">
        <f aca="false">IF(COUNTA(I234:K234)=0,"",SUMPRODUCT((((COUNTIF(I234:K234,'2 Courses'!$G$2:$G$200)*('2 Courses'!$G$2:$G$200&lt;&gt;""))+(COUNTIF(I234:K234,'2 Courses'!$H$2:$H$200)*('2 Courses'!$H$2:$H$200&lt;&gt;""))+(COUNTIF(I234:K234,'2 Courses'!$I$2:$I$200)*('2 Courses'!$I$2:$I$200&lt;&gt;"")))&gt;0)*((L234="")+(L234="Diploma or degree")+('2 Courses'!$E$2:$E$200=L234)&gt;0)))</f>
        <v/>
      </c>
      <c r="N234" s="18"/>
      <c r="O234" s="18"/>
      <c r="P234" s="18"/>
      <c r="Q234" s="19"/>
      <c r="R234" s="19"/>
      <c r="S234" s="18"/>
      <c r="T234" s="18"/>
      <c r="U234" s="18"/>
    </row>
    <row r="235" customFormat="false" ht="15" hidden="false" customHeight="false" outlineLevel="0" collapsed="false">
      <c r="A235" s="18"/>
      <c r="B235" s="19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4" t="str">
        <f aca="false">IF(COUNTA(I235:K235)=0,"",SUMPRODUCT((((COUNTIF(I235:K235,'2 Courses'!$G$2:$G$200)*('2 Courses'!$G$2:$G$200&lt;&gt;""))+(COUNTIF(I235:K235,'2 Courses'!$H$2:$H$200)*('2 Courses'!$H$2:$H$200&lt;&gt;""))+(COUNTIF(I235:K235,'2 Courses'!$I$2:$I$200)*('2 Courses'!$I$2:$I$200&lt;&gt;"")))&gt;0)*((L235="")+(L235="Diploma or degree")+('2 Courses'!$E$2:$E$200=L235)&gt;0)))</f>
        <v/>
      </c>
      <c r="N235" s="18"/>
      <c r="O235" s="18"/>
      <c r="P235" s="18"/>
      <c r="Q235" s="19"/>
      <c r="R235" s="19"/>
      <c r="S235" s="18"/>
      <c r="T235" s="18"/>
      <c r="U235" s="18"/>
    </row>
    <row r="236" customFormat="false" ht="15" hidden="false" customHeight="false" outlineLevel="0" collapsed="false">
      <c r="A236" s="18"/>
      <c r="B236" s="19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4" t="str">
        <f aca="false">IF(COUNTA(I236:K236)=0,"",SUMPRODUCT((((COUNTIF(I236:K236,'2 Courses'!$G$2:$G$200)*('2 Courses'!$G$2:$G$200&lt;&gt;""))+(COUNTIF(I236:K236,'2 Courses'!$H$2:$H$200)*('2 Courses'!$H$2:$H$200&lt;&gt;""))+(COUNTIF(I236:K236,'2 Courses'!$I$2:$I$200)*('2 Courses'!$I$2:$I$200&lt;&gt;"")))&gt;0)*((L236="")+(L236="Diploma or degree")+('2 Courses'!$E$2:$E$200=L236)&gt;0)))</f>
        <v/>
      </c>
      <c r="N236" s="18"/>
      <c r="O236" s="18"/>
      <c r="P236" s="18"/>
      <c r="Q236" s="19"/>
      <c r="R236" s="19"/>
      <c r="S236" s="18"/>
      <c r="T236" s="18"/>
      <c r="U236" s="18"/>
    </row>
    <row r="237" customFormat="false" ht="15" hidden="false" customHeight="false" outlineLevel="0" collapsed="false">
      <c r="A237" s="18"/>
      <c r="B237" s="19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4" t="str">
        <f aca="false">IF(COUNTA(I237:K237)=0,"",SUMPRODUCT((((COUNTIF(I237:K237,'2 Courses'!$G$2:$G$200)*('2 Courses'!$G$2:$G$200&lt;&gt;""))+(COUNTIF(I237:K237,'2 Courses'!$H$2:$H$200)*('2 Courses'!$H$2:$H$200&lt;&gt;""))+(COUNTIF(I237:K237,'2 Courses'!$I$2:$I$200)*('2 Courses'!$I$2:$I$200&lt;&gt;"")))&gt;0)*((L237="")+(L237="Diploma or degree")+('2 Courses'!$E$2:$E$200=L237)&gt;0)))</f>
        <v/>
      </c>
      <c r="N237" s="18"/>
      <c r="O237" s="18"/>
      <c r="P237" s="18"/>
      <c r="Q237" s="19"/>
      <c r="R237" s="19"/>
      <c r="S237" s="18"/>
      <c r="T237" s="18"/>
      <c r="U237" s="18"/>
    </row>
    <row r="238" customFormat="false" ht="15" hidden="false" customHeight="false" outlineLevel="0" collapsed="false">
      <c r="A238" s="18"/>
      <c r="B238" s="19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4" t="str">
        <f aca="false">IF(COUNTA(I238:K238)=0,"",SUMPRODUCT((((COUNTIF(I238:K238,'2 Courses'!$G$2:$G$200)*('2 Courses'!$G$2:$G$200&lt;&gt;""))+(COUNTIF(I238:K238,'2 Courses'!$H$2:$H$200)*('2 Courses'!$H$2:$H$200&lt;&gt;""))+(COUNTIF(I238:K238,'2 Courses'!$I$2:$I$200)*('2 Courses'!$I$2:$I$200&lt;&gt;"")))&gt;0)*((L238="")+(L238="Diploma or degree")+('2 Courses'!$E$2:$E$200=L238)&gt;0)))</f>
        <v/>
      </c>
      <c r="N238" s="18"/>
      <c r="O238" s="18"/>
      <c r="P238" s="18"/>
      <c r="Q238" s="19"/>
      <c r="R238" s="19"/>
      <c r="S238" s="18"/>
      <c r="T238" s="18"/>
      <c r="U238" s="18"/>
    </row>
    <row r="239" customFormat="false" ht="15" hidden="false" customHeight="false" outlineLevel="0" collapsed="false">
      <c r="A239" s="18"/>
      <c r="B239" s="19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4" t="str">
        <f aca="false">IF(COUNTA(I239:K239)=0,"",SUMPRODUCT((((COUNTIF(I239:K239,'2 Courses'!$G$2:$G$200)*('2 Courses'!$G$2:$G$200&lt;&gt;""))+(COUNTIF(I239:K239,'2 Courses'!$H$2:$H$200)*('2 Courses'!$H$2:$H$200&lt;&gt;""))+(COUNTIF(I239:K239,'2 Courses'!$I$2:$I$200)*('2 Courses'!$I$2:$I$200&lt;&gt;"")))&gt;0)*((L239="")+(L239="Diploma or degree")+('2 Courses'!$E$2:$E$200=L239)&gt;0)))</f>
        <v/>
      </c>
      <c r="N239" s="18"/>
      <c r="O239" s="18"/>
      <c r="P239" s="18"/>
      <c r="Q239" s="19"/>
      <c r="R239" s="19"/>
      <c r="S239" s="18"/>
      <c r="T239" s="18"/>
      <c r="U239" s="18"/>
    </row>
    <row r="240" customFormat="false" ht="15" hidden="false" customHeight="false" outlineLevel="0" collapsed="false">
      <c r="A240" s="18"/>
      <c r="B240" s="19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4" t="str">
        <f aca="false">IF(COUNTA(I240:K240)=0,"",SUMPRODUCT((((COUNTIF(I240:K240,'2 Courses'!$G$2:$G$200)*('2 Courses'!$G$2:$G$200&lt;&gt;""))+(COUNTIF(I240:K240,'2 Courses'!$H$2:$H$200)*('2 Courses'!$H$2:$H$200&lt;&gt;""))+(COUNTIF(I240:K240,'2 Courses'!$I$2:$I$200)*('2 Courses'!$I$2:$I$200&lt;&gt;"")))&gt;0)*((L240="")+(L240="Diploma or degree")+('2 Courses'!$E$2:$E$200=L240)&gt;0)))</f>
        <v/>
      </c>
      <c r="N240" s="18"/>
      <c r="O240" s="18"/>
      <c r="P240" s="18"/>
      <c r="Q240" s="19"/>
      <c r="R240" s="19"/>
      <c r="S240" s="18"/>
      <c r="T240" s="18"/>
      <c r="U240" s="18"/>
    </row>
    <row r="241" customFormat="false" ht="15" hidden="false" customHeight="false" outlineLevel="0" collapsed="false">
      <c r="A241" s="18"/>
      <c r="B241" s="19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4" t="str">
        <f aca="false">IF(COUNTA(I241:K241)=0,"",SUMPRODUCT((((COUNTIF(I241:K241,'2 Courses'!$G$2:$G$200)*('2 Courses'!$G$2:$G$200&lt;&gt;""))+(COUNTIF(I241:K241,'2 Courses'!$H$2:$H$200)*('2 Courses'!$H$2:$H$200&lt;&gt;""))+(COUNTIF(I241:K241,'2 Courses'!$I$2:$I$200)*('2 Courses'!$I$2:$I$200&lt;&gt;"")))&gt;0)*((L241="")+(L241="Diploma or degree")+('2 Courses'!$E$2:$E$200=L241)&gt;0)))</f>
        <v/>
      </c>
      <c r="N241" s="18"/>
      <c r="O241" s="18"/>
      <c r="P241" s="18"/>
      <c r="Q241" s="19"/>
      <c r="R241" s="19"/>
      <c r="S241" s="18"/>
      <c r="T241" s="18"/>
      <c r="U241" s="18"/>
    </row>
    <row r="242" customFormat="false" ht="15" hidden="false" customHeight="false" outlineLevel="0" collapsed="false">
      <c r="A242" s="18"/>
      <c r="B242" s="19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4" t="str">
        <f aca="false">IF(COUNTA(I242:K242)=0,"",SUMPRODUCT((((COUNTIF(I242:K242,'2 Courses'!$G$2:$G$200)*('2 Courses'!$G$2:$G$200&lt;&gt;""))+(COUNTIF(I242:K242,'2 Courses'!$H$2:$H$200)*('2 Courses'!$H$2:$H$200&lt;&gt;""))+(COUNTIF(I242:K242,'2 Courses'!$I$2:$I$200)*('2 Courses'!$I$2:$I$200&lt;&gt;"")))&gt;0)*((L242="")+(L242="Diploma or degree")+('2 Courses'!$E$2:$E$200=L242)&gt;0)))</f>
        <v/>
      </c>
      <c r="N242" s="18"/>
      <c r="O242" s="18"/>
      <c r="P242" s="18"/>
      <c r="Q242" s="19"/>
      <c r="R242" s="19"/>
      <c r="S242" s="18"/>
      <c r="T242" s="18"/>
      <c r="U242" s="18"/>
    </row>
    <row r="243" customFormat="false" ht="15" hidden="false" customHeight="false" outlineLevel="0" collapsed="false">
      <c r="A243" s="18"/>
      <c r="B243" s="19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4" t="str">
        <f aca="false">IF(COUNTA(I243:K243)=0,"",SUMPRODUCT((((COUNTIF(I243:K243,'2 Courses'!$G$2:$G$200)*('2 Courses'!$G$2:$G$200&lt;&gt;""))+(COUNTIF(I243:K243,'2 Courses'!$H$2:$H$200)*('2 Courses'!$H$2:$H$200&lt;&gt;""))+(COUNTIF(I243:K243,'2 Courses'!$I$2:$I$200)*('2 Courses'!$I$2:$I$200&lt;&gt;"")))&gt;0)*((L243="")+(L243="Diploma or degree")+('2 Courses'!$E$2:$E$200=L243)&gt;0)))</f>
        <v/>
      </c>
      <c r="N243" s="18"/>
      <c r="O243" s="18"/>
      <c r="P243" s="18"/>
      <c r="Q243" s="19"/>
      <c r="R243" s="19"/>
      <c r="S243" s="18"/>
      <c r="T243" s="18"/>
      <c r="U243" s="18"/>
    </row>
    <row r="244" customFormat="false" ht="15" hidden="false" customHeight="false" outlineLevel="0" collapsed="false">
      <c r="A244" s="18"/>
      <c r="B244" s="19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4" t="str">
        <f aca="false">IF(COUNTA(I244:K244)=0,"",SUMPRODUCT((((COUNTIF(I244:K244,'2 Courses'!$G$2:$G$200)*('2 Courses'!$G$2:$G$200&lt;&gt;""))+(COUNTIF(I244:K244,'2 Courses'!$H$2:$H$200)*('2 Courses'!$H$2:$H$200&lt;&gt;""))+(COUNTIF(I244:K244,'2 Courses'!$I$2:$I$200)*('2 Courses'!$I$2:$I$200&lt;&gt;"")))&gt;0)*((L244="")+(L244="Diploma or degree")+('2 Courses'!$E$2:$E$200=L244)&gt;0)))</f>
        <v/>
      </c>
      <c r="N244" s="18"/>
      <c r="O244" s="18"/>
      <c r="P244" s="18"/>
      <c r="Q244" s="19"/>
      <c r="R244" s="19"/>
      <c r="S244" s="18"/>
      <c r="T244" s="18"/>
      <c r="U244" s="18"/>
    </row>
    <row r="245" customFormat="false" ht="15" hidden="false" customHeight="false" outlineLevel="0" collapsed="false">
      <c r="A245" s="18"/>
      <c r="B245" s="19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4" t="str">
        <f aca="false">IF(COUNTA(I245:K245)=0,"",SUMPRODUCT((((COUNTIF(I245:K245,'2 Courses'!$G$2:$G$200)*('2 Courses'!$G$2:$G$200&lt;&gt;""))+(COUNTIF(I245:K245,'2 Courses'!$H$2:$H$200)*('2 Courses'!$H$2:$H$200&lt;&gt;""))+(COUNTIF(I245:K245,'2 Courses'!$I$2:$I$200)*('2 Courses'!$I$2:$I$200&lt;&gt;"")))&gt;0)*((L245="")+(L245="Diploma or degree")+('2 Courses'!$E$2:$E$200=L245)&gt;0)))</f>
        <v/>
      </c>
      <c r="N245" s="18"/>
      <c r="O245" s="18"/>
      <c r="P245" s="18"/>
      <c r="Q245" s="19"/>
      <c r="R245" s="19"/>
      <c r="S245" s="18"/>
      <c r="T245" s="18"/>
      <c r="U245" s="18"/>
    </row>
    <row r="246" customFormat="false" ht="15" hidden="false" customHeight="false" outlineLevel="0" collapsed="false">
      <c r="A246" s="18"/>
      <c r="B246" s="19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4" t="str">
        <f aca="false">IF(COUNTA(I246:K246)=0,"",SUMPRODUCT((((COUNTIF(I246:K246,'2 Courses'!$G$2:$G$200)*('2 Courses'!$G$2:$G$200&lt;&gt;""))+(COUNTIF(I246:K246,'2 Courses'!$H$2:$H$200)*('2 Courses'!$H$2:$H$200&lt;&gt;""))+(COUNTIF(I246:K246,'2 Courses'!$I$2:$I$200)*('2 Courses'!$I$2:$I$200&lt;&gt;"")))&gt;0)*((L246="")+(L246="Diploma or degree")+('2 Courses'!$E$2:$E$200=L246)&gt;0)))</f>
        <v/>
      </c>
      <c r="N246" s="18"/>
      <c r="O246" s="18"/>
      <c r="P246" s="18"/>
      <c r="Q246" s="19"/>
      <c r="R246" s="19"/>
      <c r="S246" s="18"/>
      <c r="T246" s="18"/>
      <c r="U246" s="18"/>
    </row>
    <row r="247" customFormat="false" ht="15" hidden="false" customHeight="false" outlineLevel="0" collapsed="false">
      <c r="A247" s="18"/>
      <c r="B247" s="19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4" t="str">
        <f aca="false">IF(COUNTA(I247:K247)=0,"",SUMPRODUCT((((COUNTIF(I247:K247,'2 Courses'!$G$2:$G$200)*('2 Courses'!$G$2:$G$200&lt;&gt;""))+(COUNTIF(I247:K247,'2 Courses'!$H$2:$H$200)*('2 Courses'!$H$2:$H$200&lt;&gt;""))+(COUNTIF(I247:K247,'2 Courses'!$I$2:$I$200)*('2 Courses'!$I$2:$I$200&lt;&gt;"")))&gt;0)*((L247="")+(L247="Diploma or degree")+('2 Courses'!$E$2:$E$200=L247)&gt;0)))</f>
        <v/>
      </c>
      <c r="N247" s="18"/>
      <c r="O247" s="18"/>
      <c r="P247" s="18"/>
      <c r="Q247" s="19"/>
      <c r="R247" s="19"/>
      <c r="S247" s="18"/>
      <c r="T247" s="18"/>
      <c r="U247" s="18"/>
    </row>
    <row r="248" customFormat="false" ht="15" hidden="false" customHeight="false" outlineLevel="0" collapsed="false">
      <c r="A248" s="18"/>
      <c r="B248" s="19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4" t="str">
        <f aca="false">IF(COUNTA(I248:K248)=0,"",SUMPRODUCT((((COUNTIF(I248:K248,'2 Courses'!$G$2:$G$200)*('2 Courses'!$G$2:$G$200&lt;&gt;""))+(COUNTIF(I248:K248,'2 Courses'!$H$2:$H$200)*('2 Courses'!$H$2:$H$200&lt;&gt;""))+(COUNTIF(I248:K248,'2 Courses'!$I$2:$I$200)*('2 Courses'!$I$2:$I$200&lt;&gt;"")))&gt;0)*((L248="")+(L248="Diploma or degree")+('2 Courses'!$E$2:$E$200=L248)&gt;0)))</f>
        <v/>
      </c>
      <c r="N248" s="18"/>
      <c r="O248" s="18"/>
      <c r="P248" s="18"/>
      <c r="Q248" s="19"/>
      <c r="R248" s="19"/>
      <c r="S248" s="18"/>
      <c r="T248" s="18"/>
      <c r="U248" s="18"/>
    </row>
    <row r="249" customFormat="false" ht="15" hidden="false" customHeight="false" outlineLevel="0" collapsed="false">
      <c r="A249" s="18"/>
      <c r="B249" s="19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4" t="str">
        <f aca="false">IF(COUNTA(I249:K249)=0,"",SUMPRODUCT((((COUNTIF(I249:K249,'2 Courses'!$G$2:$G$200)*('2 Courses'!$G$2:$G$200&lt;&gt;""))+(COUNTIF(I249:K249,'2 Courses'!$H$2:$H$200)*('2 Courses'!$H$2:$H$200&lt;&gt;""))+(COUNTIF(I249:K249,'2 Courses'!$I$2:$I$200)*('2 Courses'!$I$2:$I$200&lt;&gt;"")))&gt;0)*((L249="")+(L249="Diploma or degree")+('2 Courses'!$E$2:$E$200=L249)&gt;0)))</f>
        <v/>
      </c>
      <c r="N249" s="18"/>
      <c r="O249" s="18"/>
      <c r="P249" s="18"/>
      <c r="Q249" s="19"/>
      <c r="R249" s="19"/>
      <c r="S249" s="18"/>
      <c r="T249" s="18"/>
      <c r="U249" s="18"/>
    </row>
    <row r="250" customFormat="false" ht="15" hidden="false" customHeight="false" outlineLevel="0" collapsed="false">
      <c r="A250" s="18"/>
      <c r="B250" s="19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4" t="str">
        <f aca="false">IF(COUNTA(I250:K250)=0,"",SUMPRODUCT((((COUNTIF(I250:K250,'2 Courses'!$G$2:$G$200)*('2 Courses'!$G$2:$G$200&lt;&gt;""))+(COUNTIF(I250:K250,'2 Courses'!$H$2:$H$200)*('2 Courses'!$H$2:$H$200&lt;&gt;""))+(COUNTIF(I250:K250,'2 Courses'!$I$2:$I$200)*('2 Courses'!$I$2:$I$200&lt;&gt;"")))&gt;0)*((L250="")+(L250="Diploma or degree")+('2 Courses'!$E$2:$E$200=L250)&gt;0)))</f>
        <v/>
      </c>
      <c r="N250" s="18"/>
      <c r="O250" s="18"/>
      <c r="P250" s="18"/>
      <c r="Q250" s="19"/>
      <c r="R250" s="19"/>
      <c r="S250" s="18"/>
      <c r="T250" s="18"/>
      <c r="U250" s="18"/>
    </row>
    <row r="251" customFormat="false" ht="15" hidden="false" customHeight="false" outlineLevel="0" collapsed="false">
      <c r="A251" s="18"/>
      <c r="B251" s="19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4" t="str">
        <f aca="false">IF(COUNTA(I251:K251)=0,"",SUMPRODUCT((((COUNTIF(I251:K251,'2 Courses'!$G$2:$G$200)*('2 Courses'!$G$2:$G$200&lt;&gt;""))+(COUNTIF(I251:K251,'2 Courses'!$H$2:$H$200)*('2 Courses'!$H$2:$H$200&lt;&gt;""))+(COUNTIF(I251:K251,'2 Courses'!$I$2:$I$200)*('2 Courses'!$I$2:$I$200&lt;&gt;"")))&gt;0)*((L251="")+(L251="Diploma or degree")+('2 Courses'!$E$2:$E$200=L251)&gt;0)))</f>
        <v/>
      </c>
      <c r="N251" s="18"/>
      <c r="O251" s="18"/>
      <c r="P251" s="18"/>
      <c r="Q251" s="19"/>
      <c r="R251" s="19"/>
      <c r="S251" s="18"/>
      <c r="T251" s="18"/>
      <c r="U251" s="18"/>
    </row>
    <row r="252" customFormat="false" ht="15" hidden="false" customHeight="false" outlineLevel="0" collapsed="false">
      <c r="A252" s="18"/>
      <c r="B252" s="19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4" t="str">
        <f aca="false">IF(COUNTA(I252:K252)=0,"",SUMPRODUCT((((COUNTIF(I252:K252,'2 Courses'!$G$2:$G$200)*('2 Courses'!$G$2:$G$200&lt;&gt;""))+(COUNTIF(I252:K252,'2 Courses'!$H$2:$H$200)*('2 Courses'!$H$2:$H$200&lt;&gt;""))+(COUNTIF(I252:K252,'2 Courses'!$I$2:$I$200)*('2 Courses'!$I$2:$I$200&lt;&gt;"")))&gt;0)*((L252="")+(L252="Diploma or degree")+('2 Courses'!$E$2:$E$200=L252)&gt;0)))</f>
        <v/>
      </c>
      <c r="N252" s="18"/>
      <c r="O252" s="18"/>
      <c r="P252" s="18"/>
      <c r="Q252" s="19"/>
      <c r="R252" s="19"/>
      <c r="S252" s="18"/>
      <c r="T252" s="18"/>
      <c r="U252" s="18"/>
    </row>
    <row r="253" customFormat="false" ht="15" hidden="false" customHeight="false" outlineLevel="0" collapsed="false">
      <c r="A253" s="18"/>
      <c r="B253" s="19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4" t="str">
        <f aca="false">IF(COUNTA(I253:K253)=0,"",SUMPRODUCT((((COUNTIF(I253:K253,'2 Courses'!$G$2:$G$200)*('2 Courses'!$G$2:$G$200&lt;&gt;""))+(COUNTIF(I253:K253,'2 Courses'!$H$2:$H$200)*('2 Courses'!$H$2:$H$200&lt;&gt;""))+(COUNTIF(I253:K253,'2 Courses'!$I$2:$I$200)*('2 Courses'!$I$2:$I$200&lt;&gt;"")))&gt;0)*((L253="")+(L253="Diploma or degree")+('2 Courses'!$E$2:$E$200=L253)&gt;0)))</f>
        <v/>
      </c>
      <c r="N253" s="18"/>
      <c r="O253" s="18"/>
      <c r="P253" s="18"/>
      <c r="Q253" s="19"/>
      <c r="R253" s="19"/>
      <c r="S253" s="18"/>
      <c r="T253" s="18"/>
      <c r="U253" s="18"/>
    </row>
    <row r="254" customFormat="false" ht="15" hidden="false" customHeight="false" outlineLevel="0" collapsed="false">
      <c r="A254" s="18"/>
      <c r="B254" s="19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4" t="str">
        <f aca="false">IF(COUNTA(I254:K254)=0,"",SUMPRODUCT((((COUNTIF(I254:K254,'2 Courses'!$G$2:$G$200)*('2 Courses'!$G$2:$G$200&lt;&gt;""))+(COUNTIF(I254:K254,'2 Courses'!$H$2:$H$200)*('2 Courses'!$H$2:$H$200&lt;&gt;""))+(COUNTIF(I254:K254,'2 Courses'!$I$2:$I$200)*('2 Courses'!$I$2:$I$200&lt;&gt;"")))&gt;0)*((L254="")+(L254="Diploma or degree")+('2 Courses'!$E$2:$E$200=L254)&gt;0)))</f>
        <v/>
      </c>
      <c r="N254" s="18"/>
      <c r="O254" s="18"/>
      <c r="P254" s="18"/>
      <c r="Q254" s="19"/>
      <c r="R254" s="19"/>
      <c r="S254" s="18"/>
      <c r="T254" s="18"/>
      <c r="U254" s="18"/>
    </row>
    <row r="255" customFormat="false" ht="15" hidden="false" customHeight="false" outlineLevel="0" collapsed="false">
      <c r="A255" s="18"/>
      <c r="B255" s="19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4" t="str">
        <f aca="false">IF(COUNTA(I255:K255)=0,"",SUMPRODUCT((((COUNTIF(I255:K255,'2 Courses'!$G$2:$G$200)*('2 Courses'!$G$2:$G$200&lt;&gt;""))+(COUNTIF(I255:K255,'2 Courses'!$H$2:$H$200)*('2 Courses'!$H$2:$H$200&lt;&gt;""))+(COUNTIF(I255:K255,'2 Courses'!$I$2:$I$200)*('2 Courses'!$I$2:$I$200&lt;&gt;"")))&gt;0)*((L255="")+(L255="Diploma or degree")+('2 Courses'!$E$2:$E$200=L255)&gt;0)))</f>
        <v/>
      </c>
      <c r="N255" s="18"/>
      <c r="O255" s="18"/>
      <c r="P255" s="18"/>
      <c r="Q255" s="19"/>
      <c r="R255" s="19"/>
      <c r="S255" s="18"/>
      <c r="T255" s="18"/>
      <c r="U255" s="18"/>
    </row>
    <row r="256" customFormat="false" ht="15" hidden="false" customHeight="false" outlineLevel="0" collapsed="false">
      <c r="A256" s="18"/>
      <c r="B256" s="19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4" t="str">
        <f aca="false">IF(COUNTA(I256:K256)=0,"",SUMPRODUCT((((COUNTIF(I256:K256,'2 Courses'!$G$2:$G$200)*('2 Courses'!$G$2:$G$200&lt;&gt;""))+(COUNTIF(I256:K256,'2 Courses'!$H$2:$H$200)*('2 Courses'!$H$2:$H$200&lt;&gt;""))+(COUNTIF(I256:K256,'2 Courses'!$I$2:$I$200)*('2 Courses'!$I$2:$I$200&lt;&gt;"")))&gt;0)*((L256="")+(L256="Diploma or degree")+('2 Courses'!$E$2:$E$200=L256)&gt;0)))</f>
        <v/>
      </c>
      <c r="N256" s="18"/>
      <c r="O256" s="18"/>
      <c r="P256" s="18"/>
      <c r="Q256" s="19"/>
      <c r="R256" s="19"/>
      <c r="S256" s="18"/>
      <c r="T256" s="18"/>
      <c r="U256" s="18"/>
    </row>
    <row r="257" customFormat="false" ht="15" hidden="false" customHeight="false" outlineLevel="0" collapsed="false">
      <c r="A257" s="18"/>
      <c r="B257" s="19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4" t="str">
        <f aca="false">IF(COUNTA(I257:K257)=0,"",SUMPRODUCT((((COUNTIF(I257:K257,'2 Courses'!$G$2:$G$200)*('2 Courses'!$G$2:$G$200&lt;&gt;""))+(COUNTIF(I257:K257,'2 Courses'!$H$2:$H$200)*('2 Courses'!$H$2:$H$200&lt;&gt;""))+(COUNTIF(I257:K257,'2 Courses'!$I$2:$I$200)*('2 Courses'!$I$2:$I$200&lt;&gt;"")))&gt;0)*((L257="")+(L257="Diploma or degree")+('2 Courses'!$E$2:$E$200=L257)&gt;0)))</f>
        <v/>
      </c>
      <c r="N257" s="18"/>
      <c r="O257" s="18"/>
      <c r="P257" s="18"/>
      <c r="Q257" s="19"/>
      <c r="R257" s="19"/>
      <c r="S257" s="18"/>
      <c r="T257" s="18"/>
      <c r="U257" s="18"/>
    </row>
    <row r="258" customFormat="false" ht="15" hidden="false" customHeight="false" outlineLevel="0" collapsed="false">
      <c r="A258" s="18"/>
      <c r="B258" s="19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4" t="str">
        <f aca="false">IF(COUNTA(I258:K258)=0,"",SUMPRODUCT((((COUNTIF(I258:K258,'2 Courses'!$G$2:$G$200)*('2 Courses'!$G$2:$G$200&lt;&gt;""))+(COUNTIF(I258:K258,'2 Courses'!$H$2:$H$200)*('2 Courses'!$H$2:$H$200&lt;&gt;""))+(COUNTIF(I258:K258,'2 Courses'!$I$2:$I$200)*('2 Courses'!$I$2:$I$200&lt;&gt;"")))&gt;0)*((L258="")+(L258="Diploma or degree")+('2 Courses'!$E$2:$E$200=L258)&gt;0)))</f>
        <v/>
      </c>
      <c r="N258" s="18"/>
      <c r="O258" s="18"/>
      <c r="P258" s="18"/>
      <c r="Q258" s="19"/>
      <c r="R258" s="19"/>
      <c r="S258" s="18"/>
      <c r="T258" s="18"/>
      <c r="U258" s="18"/>
    </row>
    <row r="259" customFormat="false" ht="15" hidden="false" customHeight="false" outlineLevel="0" collapsed="false">
      <c r="A259" s="18"/>
      <c r="B259" s="19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4" t="str">
        <f aca="false">IF(COUNTA(I259:K259)=0,"",SUMPRODUCT((((COUNTIF(I259:K259,'2 Courses'!$G$2:$G$200)*('2 Courses'!$G$2:$G$200&lt;&gt;""))+(COUNTIF(I259:K259,'2 Courses'!$H$2:$H$200)*('2 Courses'!$H$2:$H$200&lt;&gt;""))+(COUNTIF(I259:K259,'2 Courses'!$I$2:$I$200)*('2 Courses'!$I$2:$I$200&lt;&gt;"")))&gt;0)*((L259="")+(L259="Diploma or degree")+('2 Courses'!$E$2:$E$200=L259)&gt;0)))</f>
        <v/>
      </c>
      <c r="N259" s="18"/>
      <c r="O259" s="18"/>
      <c r="P259" s="18"/>
      <c r="Q259" s="19"/>
      <c r="R259" s="19"/>
      <c r="S259" s="18"/>
      <c r="T259" s="18"/>
      <c r="U259" s="18"/>
    </row>
    <row r="260" customFormat="false" ht="15" hidden="false" customHeight="false" outlineLevel="0" collapsed="false">
      <c r="A260" s="18"/>
      <c r="B260" s="19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4" t="str">
        <f aca="false">IF(COUNTA(I260:K260)=0,"",SUMPRODUCT((((COUNTIF(I260:K260,'2 Courses'!$G$2:$G$200)*('2 Courses'!$G$2:$G$200&lt;&gt;""))+(COUNTIF(I260:K260,'2 Courses'!$H$2:$H$200)*('2 Courses'!$H$2:$H$200&lt;&gt;""))+(COUNTIF(I260:K260,'2 Courses'!$I$2:$I$200)*('2 Courses'!$I$2:$I$200&lt;&gt;"")))&gt;0)*((L260="")+(L260="Diploma or degree")+('2 Courses'!$E$2:$E$200=L260)&gt;0)))</f>
        <v/>
      </c>
      <c r="N260" s="18"/>
      <c r="O260" s="18"/>
      <c r="P260" s="18"/>
      <c r="Q260" s="19"/>
      <c r="R260" s="19"/>
      <c r="S260" s="18"/>
      <c r="T260" s="18"/>
      <c r="U260" s="18"/>
    </row>
    <row r="261" customFormat="false" ht="15" hidden="false" customHeight="false" outlineLevel="0" collapsed="false">
      <c r="A261" s="18"/>
      <c r="B261" s="19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4" t="str">
        <f aca="false">IF(COUNTA(I261:K261)=0,"",SUMPRODUCT((((COUNTIF(I261:K261,'2 Courses'!$G$2:$G$200)*('2 Courses'!$G$2:$G$200&lt;&gt;""))+(COUNTIF(I261:K261,'2 Courses'!$H$2:$H$200)*('2 Courses'!$H$2:$H$200&lt;&gt;""))+(COUNTIF(I261:K261,'2 Courses'!$I$2:$I$200)*('2 Courses'!$I$2:$I$200&lt;&gt;"")))&gt;0)*((L261="")+(L261="Diploma or degree")+('2 Courses'!$E$2:$E$200=L261)&gt;0)))</f>
        <v/>
      </c>
      <c r="N261" s="18"/>
      <c r="O261" s="18"/>
      <c r="P261" s="18"/>
      <c r="Q261" s="19"/>
      <c r="R261" s="19"/>
      <c r="S261" s="18"/>
      <c r="T261" s="18"/>
      <c r="U261" s="18"/>
    </row>
    <row r="262" customFormat="false" ht="15" hidden="false" customHeight="false" outlineLevel="0" collapsed="false">
      <c r="A262" s="18"/>
      <c r="B262" s="19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4" t="str">
        <f aca="false">IF(COUNTA(I262:K262)=0,"",SUMPRODUCT((((COUNTIF(I262:K262,'2 Courses'!$G$2:$G$200)*('2 Courses'!$G$2:$G$200&lt;&gt;""))+(COUNTIF(I262:K262,'2 Courses'!$H$2:$H$200)*('2 Courses'!$H$2:$H$200&lt;&gt;""))+(COUNTIF(I262:K262,'2 Courses'!$I$2:$I$200)*('2 Courses'!$I$2:$I$200&lt;&gt;"")))&gt;0)*((L262="")+(L262="Diploma or degree")+('2 Courses'!$E$2:$E$200=L262)&gt;0)))</f>
        <v/>
      </c>
      <c r="N262" s="18"/>
      <c r="O262" s="18"/>
      <c r="P262" s="18"/>
      <c r="Q262" s="19"/>
      <c r="R262" s="19"/>
      <c r="S262" s="18"/>
      <c r="T262" s="18"/>
      <c r="U262" s="18"/>
    </row>
    <row r="263" customFormat="false" ht="15" hidden="false" customHeight="false" outlineLevel="0" collapsed="false">
      <c r="A263" s="18"/>
      <c r="B263" s="19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4" t="str">
        <f aca="false">IF(COUNTA(I263:K263)=0,"",SUMPRODUCT((((COUNTIF(I263:K263,'2 Courses'!$G$2:$G$200)*('2 Courses'!$G$2:$G$200&lt;&gt;""))+(COUNTIF(I263:K263,'2 Courses'!$H$2:$H$200)*('2 Courses'!$H$2:$H$200&lt;&gt;""))+(COUNTIF(I263:K263,'2 Courses'!$I$2:$I$200)*('2 Courses'!$I$2:$I$200&lt;&gt;"")))&gt;0)*((L263="")+(L263="Diploma or degree")+('2 Courses'!$E$2:$E$200=L263)&gt;0)))</f>
        <v/>
      </c>
      <c r="N263" s="18"/>
      <c r="O263" s="18"/>
      <c r="P263" s="18"/>
      <c r="Q263" s="19"/>
      <c r="R263" s="19"/>
      <c r="S263" s="18"/>
      <c r="T263" s="18"/>
      <c r="U263" s="18"/>
    </row>
    <row r="264" customFormat="false" ht="15" hidden="false" customHeight="false" outlineLevel="0" collapsed="false">
      <c r="A264" s="18"/>
      <c r="B264" s="19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4" t="str">
        <f aca="false">IF(COUNTA(I264:K264)=0,"",SUMPRODUCT((((COUNTIF(I264:K264,'2 Courses'!$G$2:$G$200)*('2 Courses'!$G$2:$G$200&lt;&gt;""))+(COUNTIF(I264:K264,'2 Courses'!$H$2:$H$200)*('2 Courses'!$H$2:$H$200&lt;&gt;""))+(COUNTIF(I264:K264,'2 Courses'!$I$2:$I$200)*('2 Courses'!$I$2:$I$200&lt;&gt;"")))&gt;0)*((L264="")+(L264="Diploma or degree")+('2 Courses'!$E$2:$E$200=L264)&gt;0)))</f>
        <v/>
      </c>
      <c r="N264" s="18"/>
      <c r="O264" s="18"/>
      <c r="P264" s="18"/>
      <c r="Q264" s="19"/>
      <c r="R264" s="19"/>
      <c r="S264" s="18"/>
      <c r="T264" s="18"/>
      <c r="U264" s="18"/>
    </row>
    <row r="265" customFormat="false" ht="15" hidden="false" customHeight="false" outlineLevel="0" collapsed="false">
      <c r="A265" s="18"/>
      <c r="B265" s="19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4" t="str">
        <f aca="false">IF(COUNTA(I265:K265)=0,"",SUMPRODUCT((((COUNTIF(I265:K265,'2 Courses'!$G$2:$G$200)*('2 Courses'!$G$2:$G$200&lt;&gt;""))+(COUNTIF(I265:K265,'2 Courses'!$H$2:$H$200)*('2 Courses'!$H$2:$H$200&lt;&gt;""))+(COUNTIF(I265:K265,'2 Courses'!$I$2:$I$200)*('2 Courses'!$I$2:$I$200&lt;&gt;"")))&gt;0)*((L265="")+(L265="Diploma or degree")+('2 Courses'!$E$2:$E$200=L265)&gt;0)))</f>
        <v/>
      </c>
      <c r="N265" s="18"/>
      <c r="O265" s="18"/>
      <c r="P265" s="18"/>
      <c r="Q265" s="19"/>
      <c r="R265" s="19"/>
      <c r="S265" s="18"/>
      <c r="T265" s="18"/>
      <c r="U265" s="18"/>
    </row>
    <row r="266" customFormat="false" ht="15" hidden="false" customHeight="false" outlineLevel="0" collapsed="false">
      <c r="A266" s="18"/>
      <c r="B266" s="19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4" t="str">
        <f aca="false">IF(COUNTA(I266:K266)=0,"",SUMPRODUCT((((COUNTIF(I266:K266,'2 Courses'!$G$2:$G$200)*('2 Courses'!$G$2:$G$200&lt;&gt;""))+(COUNTIF(I266:K266,'2 Courses'!$H$2:$H$200)*('2 Courses'!$H$2:$H$200&lt;&gt;""))+(COUNTIF(I266:K266,'2 Courses'!$I$2:$I$200)*('2 Courses'!$I$2:$I$200&lt;&gt;"")))&gt;0)*((L266="")+(L266="Diploma or degree")+('2 Courses'!$E$2:$E$200=L266)&gt;0)))</f>
        <v/>
      </c>
      <c r="N266" s="18"/>
      <c r="O266" s="18"/>
      <c r="P266" s="18"/>
      <c r="Q266" s="19"/>
      <c r="R266" s="19"/>
      <c r="S266" s="18"/>
      <c r="T266" s="18"/>
      <c r="U266" s="18"/>
    </row>
    <row r="267" customFormat="false" ht="15" hidden="false" customHeight="false" outlineLevel="0" collapsed="false">
      <c r="A267" s="18"/>
      <c r="B267" s="19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4" t="str">
        <f aca="false">IF(COUNTA(I267:K267)=0,"",SUMPRODUCT((((COUNTIF(I267:K267,'2 Courses'!$G$2:$G$200)*('2 Courses'!$G$2:$G$200&lt;&gt;""))+(COUNTIF(I267:K267,'2 Courses'!$H$2:$H$200)*('2 Courses'!$H$2:$H$200&lt;&gt;""))+(COUNTIF(I267:K267,'2 Courses'!$I$2:$I$200)*('2 Courses'!$I$2:$I$200&lt;&gt;"")))&gt;0)*((L267="")+(L267="Diploma or degree")+('2 Courses'!$E$2:$E$200=L267)&gt;0)))</f>
        <v/>
      </c>
      <c r="N267" s="18"/>
      <c r="O267" s="18"/>
      <c r="P267" s="18"/>
      <c r="Q267" s="19"/>
      <c r="R267" s="19"/>
      <c r="S267" s="18"/>
      <c r="T267" s="18"/>
      <c r="U267" s="18"/>
    </row>
    <row r="268" customFormat="false" ht="15" hidden="false" customHeight="false" outlineLevel="0" collapsed="false">
      <c r="A268" s="18"/>
      <c r="B268" s="19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4" t="str">
        <f aca="false">IF(COUNTA(I268:K268)=0,"",SUMPRODUCT((((COUNTIF(I268:K268,'2 Courses'!$G$2:$G$200)*('2 Courses'!$G$2:$G$200&lt;&gt;""))+(COUNTIF(I268:K268,'2 Courses'!$H$2:$H$200)*('2 Courses'!$H$2:$H$200&lt;&gt;""))+(COUNTIF(I268:K268,'2 Courses'!$I$2:$I$200)*('2 Courses'!$I$2:$I$200&lt;&gt;"")))&gt;0)*((L268="")+(L268="Diploma or degree")+('2 Courses'!$E$2:$E$200=L268)&gt;0)))</f>
        <v/>
      </c>
      <c r="N268" s="18"/>
      <c r="O268" s="18"/>
      <c r="P268" s="18"/>
      <c r="Q268" s="19"/>
      <c r="R268" s="19"/>
      <c r="S268" s="18"/>
      <c r="T268" s="18"/>
      <c r="U268" s="18"/>
    </row>
    <row r="269" customFormat="false" ht="15" hidden="false" customHeight="false" outlineLevel="0" collapsed="false">
      <c r="A269" s="18"/>
      <c r="B269" s="19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4" t="str">
        <f aca="false">IF(COUNTA(I269:K269)=0,"",SUMPRODUCT((((COUNTIF(I269:K269,'2 Courses'!$G$2:$G$200)*('2 Courses'!$G$2:$G$200&lt;&gt;""))+(COUNTIF(I269:K269,'2 Courses'!$H$2:$H$200)*('2 Courses'!$H$2:$H$200&lt;&gt;""))+(COUNTIF(I269:K269,'2 Courses'!$I$2:$I$200)*('2 Courses'!$I$2:$I$200&lt;&gt;"")))&gt;0)*((L269="")+(L269="Diploma or degree")+('2 Courses'!$E$2:$E$200=L269)&gt;0)))</f>
        <v/>
      </c>
      <c r="N269" s="18"/>
      <c r="O269" s="18"/>
      <c r="P269" s="18"/>
      <c r="Q269" s="19"/>
      <c r="R269" s="19"/>
      <c r="S269" s="18"/>
      <c r="T269" s="18"/>
      <c r="U269" s="18"/>
    </row>
    <row r="270" customFormat="false" ht="15" hidden="false" customHeight="false" outlineLevel="0" collapsed="false">
      <c r="A270" s="18"/>
      <c r="B270" s="19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4" t="str">
        <f aca="false">IF(COUNTA(I270:K270)=0,"",SUMPRODUCT((((COUNTIF(I270:K270,'2 Courses'!$G$2:$G$200)*('2 Courses'!$G$2:$G$200&lt;&gt;""))+(COUNTIF(I270:K270,'2 Courses'!$H$2:$H$200)*('2 Courses'!$H$2:$H$200&lt;&gt;""))+(COUNTIF(I270:K270,'2 Courses'!$I$2:$I$200)*('2 Courses'!$I$2:$I$200&lt;&gt;"")))&gt;0)*((L270="")+(L270="Diploma or degree")+('2 Courses'!$E$2:$E$200=L270)&gt;0)))</f>
        <v/>
      </c>
      <c r="N270" s="18"/>
      <c r="O270" s="18"/>
      <c r="P270" s="18"/>
      <c r="Q270" s="19"/>
      <c r="R270" s="19"/>
      <c r="S270" s="18"/>
      <c r="T270" s="18"/>
      <c r="U270" s="18"/>
    </row>
    <row r="271" customFormat="false" ht="15" hidden="false" customHeight="false" outlineLevel="0" collapsed="false">
      <c r="A271" s="18"/>
      <c r="B271" s="19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4" t="str">
        <f aca="false">IF(COUNTA(I271:K271)=0,"",SUMPRODUCT((((COUNTIF(I271:K271,'2 Courses'!$G$2:$G$200)*('2 Courses'!$G$2:$G$200&lt;&gt;""))+(COUNTIF(I271:K271,'2 Courses'!$H$2:$H$200)*('2 Courses'!$H$2:$H$200&lt;&gt;""))+(COUNTIF(I271:K271,'2 Courses'!$I$2:$I$200)*('2 Courses'!$I$2:$I$200&lt;&gt;"")))&gt;0)*((L271="")+(L271="Diploma or degree")+('2 Courses'!$E$2:$E$200=L271)&gt;0)))</f>
        <v/>
      </c>
      <c r="N271" s="18"/>
      <c r="O271" s="18"/>
      <c r="P271" s="18"/>
      <c r="Q271" s="19"/>
      <c r="R271" s="19"/>
      <c r="S271" s="18"/>
      <c r="T271" s="18"/>
      <c r="U271" s="18"/>
    </row>
    <row r="272" customFormat="false" ht="15" hidden="false" customHeight="false" outlineLevel="0" collapsed="false">
      <c r="A272" s="18"/>
      <c r="B272" s="19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4" t="str">
        <f aca="false">IF(COUNTA(I272:K272)=0,"",SUMPRODUCT((((COUNTIF(I272:K272,'2 Courses'!$G$2:$G$200)*('2 Courses'!$G$2:$G$200&lt;&gt;""))+(COUNTIF(I272:K272,'2 Courses'!$H$2:$H$200)*('2 Courses'!$H$2:$H$200&lt;&gt;""))+(COUNTIF(I272:K272,'2 Courses'!$I$2:$I$200)*('2 Courses'!$I$2:$I$200&lt;&gt;"")))&gt;0)*((L272="")+(L272="Diploma or degree")+('2 Courses'!$E$2:$E$200=L272)&gt;0)))</f>
        <v/>
      </c>
      <c r="N272" s="18"/>
      <c r="O272" s="18"/>
      <c r="P272" s="18"/>
      <c r="Q272" s="19"/>
      <c r="R272" s="19"/>
      <c r="S272" s="18"/>
      <c r="T272" s="18"/>
      <c r="U272" s="18"/>
    </row>
    <row r="273" customFormat="false" ht="15" hidden="false" customHeight="false" outlineLevel="0" collapsed="false">
      <c r="A273" s="18"/>
      <c r="B273" s="19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4" t="str">
        <f aca="false">IF(COUNTA(I273:K273)=0,"",SUMPRODUCT((((COUNTIF(I273:K273,'2 Courses'!$G$2:$G$200)*('2 Courses'!$G$2:$G$200&lt;&gt;""))+(COUNTIF(I273:K273,'2 Courses'!$H$2:$H$200)*('2 Courses'!$H$2:$H$200&lt;&gt;""))+(COUNTIF(I273:K273,'2 Courses'!$I$2:$I$200)*('2 Courses'!$I$2:$I$200&lt;&gt;"")))&gt;0)*((L273="")+(L273="Diploma or degree")+('2 Courses'!$E$2:$E$200=L273)&gt;0)))</f>
        <v/>
      </c>
      <c r="N273" s="18"/>
      <c r="O273" s="18"/>
      <c r="P273" s="18"/>
      <c r="Q273" s="19"/>
      <c r="R273" s="19"/>
      <c r="S273" s="18"/>
      <c r="T273" s="18"/>
      <c r="U273" s="18"/>
    </row>
    <row r="274" customFormat="false" ht="15" hidden="false" customHeight="false" outlineLevel="0" collapsed="false">
      <c r="A274" s="18"/>
      <c r="B274" s="19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4" t="str">
        <f aca="false">IF(COUNTA(I274:K274)=0,"",SUMPRODUCT((((COUNTIF(I274:K274,'2 Courses'!$G$2:$G$200)*('2 Courses'!$G$2:$G$200&lt;&gt;""))+(COUNTIF(I274:K274,'2 Courses'!$H$2:$H$200)*('2 Courses'!$H$2:$H$200&lt;&gt;""))+(COUNTIF(I274:K274,'2 Courses'!$I$2:$I$200)*('2 Courses'!$I$2:$I$200&lt;&gt;"")))&gt;0)*((L274="")+(L274="Diploma or degree")+('2 Courses'!$E$2:$E$200=L274)&gt;0)))</f>
        <v/>
      </c>
      <c r="N274" s="18"/>
      <c r="O274" s="18"/>
      <c r="P274" s="18"/>
      <c r="Q274" s="19"/>
      <c r="R274" s="19"/>
      <c r="S274" s="18"/>
      <c r="T274" s="18"/>
      <c r="U274" s="18"/>
    </row>
    <row r="275" customFormat="false" ht="15" hidden="false" customHeight="false" outlineLevel="0" collapsed="false">
      <c r="A275" s="18"/>
      <c r="B275" s="19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4" t="str">
        <f aca="false">IF(COUNTA(I275:K275)=0,"",SUMPRODUCT((((COUNTIF(I275:K275,'2 Courses'!$G$2:$G$200)*('2 Courses'!$G$2:$G$200&lt;&gt;""))+(COUNTIF(I275:K275,'2 Courses'!$H$2:$H$200)*('2 Courses'!$H$2:$H$200&lt;&gt;""))+(COUNTIF(I275:K275,'2 Courses'!$I$2:$I$200)*('2 Courses'!$I$2:$I$200&lt;&gt;"")))&gt;0)*((L275="")+(L275="Diploma or degree")+('2 Courses'!$E$2:$E$200=L275)&gt;0)))</f>
        <v/>
      </c>
      <c r="N275" s="18"/>
      <c r="O275" s="18"/>
      <c r="P275" s="18"/>
      <c r="Q275" s="19"/>
      <c r="R275" s="19"/>
      <c r="S275" s="18"/>
      <c r="T275" s="18"/>
      <c r="U275" s="18"/>
    </row>
    <row r="276" customFormat="false" ht="15" hidden="false" customHeight="false" outlineLevel="0" collapsed="false">
      <c r="A276" s="18"/>
      <c r="B276" s="19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4" t="str">
        <f aca="false">IF(COUNTA(I276:K276)=0,"",SUMPRODUCT((((COUNTIF(I276:K276,'2 Courses'!$G$2:$G$200)*('2 Courses'!$G$2:$G$200&lt;&gt;""))+(COUNTIF(I276:K276,'2 Courses'!$H$2:$H$200)*('2 Courses'!$H$2:$H$200&lt;&gt;""))+(COUNTIF(I276:K276,'2 Courses'!$I$2:$I$200)*('2 Courses'!$I$2:$I$200&lt;&gt;"")))&gt;0)*((L276="")+(L276="Diploma or degree")+('2 Courses'!$E$2:$E$200=L276)&gt;0)))</f>
        <v/>
      </c>
      <c r="N276" s="18"/>
      <c r="O276" s="18"/>
      <c r="P276" s="18"/>
      <c r="Q276" s="19"/>
      <c r="R276" s="19"/>
      <c r="S276" s="18"/>
      <c r="T276" s="18"/>
      <c r="U276" s="18"/>
    </row>
    <row r="277" customFormat="false" ht="15" hidden="false" customHeight="false" outlineLevel="0" collapsed="false">
      <c r="A277" s="18"/>
      <c r="B277" s="19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4" t="str">
        <f aca="false">IF(COUNTA(I277:K277)=0,"",SUMPRODUCT((((COUNTIF(I277:K277,'2 Courses'!$G$2:$G$200)*('2 Courses'!$G$2:$G$200&lt;&gt;""))+(COUNTIF(I277:K277,'2 Courses'!$H$2:$H$200)*('2 Courses'!$H$2:$H$200&lt;&gt;""))+(COUNTIF(I277:K277,'2 Courses'!$I$2:$I$200)*('2 Courses'!$I$2:$I$200&lt;&gt;"")))&gt;0)*((L277="")+(L277="Diploma or degree")+('2 Courses'!$E$2:$E$200=L277)&gt;0)))</f>
        <v/>
      </c>
      <c r="N277" s="18"/>
      <c r="O277" s="18"/>
      <c r="P277" s="18"/>
      <c r="Q277" s="19"/>
      <c r="R277" s="19"/>
      <c r="S277" s="18"/>
      <c r="T277" s="18"/>
      <c r="U277" s="18"/>
    </row>
    <row r="278" customFormat="false" ht="15" hidden="false" customHeight="false" outlineLevel="0" collapsed="false">
      <c r="A278" s="18"/>
      <c r="B278" s="19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4" t="str">
        <f aca="false">IF(COUNTA(I278:K278)=0,"",SUMPRODUCT((((COUNTIF(I278:K278,'2 Courses'!$G$2:$G$200)*('2 Courses'!$G$2:$G$200&lt;&gt;""))+(COUNTIF(I278:K278,'2 Courses'!$H$2:$H$200)*('2 Courses'!$H$2:$H$200&lt;&gt;""))+(COUNTIF(I278:K278,'2 Courses'!$I$2:$I$200)*('2 Courses'!$I$2:$I$200&lt;&gt;"")))&gt;0)*((L278="")+(L278="Diploma or degree")+('2 Courses'!$E$2:$E$200=L278)&gt;0)))</f>
        <v/>
      </c>
      <c r="N278" s="18"/>
      <c r="O278" s="18"/>
      <c r="P278" s="18"/>
      <c r="Q278" s="19"/>
      <c r="R278" s="19"/>
      <c r="S278" s="18"/>
      <c r="T278" s="18"/>
      <c r="U278" s="18"/>
    </row>
    <row r="279" customFormat="false" ht="15" hidden="false" customHeight="false" outlineLevel="0" collapsed="false">
      <c r="A279" s="18"/>
      <c r="B279" s="19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4" t="str">
        <f aca="false">IF(COUNTA(I279:K279)=0,"",SUMPRODUCT((((COUNTIF(I279:K279,'2 Courses'!$G$2:$G$200)*('2 Courses'!$G$2:$G$200&lt;&gt;""))+(COUNTIF(I279:K279,'2 Courses'!$H$2:$H$200)*('2 Courses'!$H$2:$H$200&lt;&gt;""))+(COUNTIF(I279:K279,'2 Courses'!$I$2:$I$200)*('2 Courses'!$I$2:$I$200&lt;&gt;"")))&gt;0)*((L279="")+(L279="Diploma or degree")+('2 Courses'!$E$2:$E$200=L279)&gt;0)))</f>
        <v/>
      </c>
      <c r="N279" s="18"/>
      <c r="O279" s="18"/>
      <c r="P279" s="18"/>
      <c r="Q279" s="19"/>
      <c r="R279" s="19"/>
      <c r="S279" s="18"/>
      <c r="T279" s="18"/>
      <c r="U279" s="18"/>
    </row>
    <row r="280" customFormat="false" ht="15" hidden="false" customHeight="false" outlineLevel="0" collapsed="false">
      <c r="A280" s="18"/>
      <c r="B280" s="19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4" t="str">
        <f aca="false">IF(COUNTA(I280:K280)=0,"",SUMPRODUCT((((COUNTIF(I280:K280,'2 Courses'!$G$2:$G$200)*('2 Courses'!$G$2:$G$200&lt;&gt;""))+(COUNTIF(I280:K280,'2 Courses'!$H$2:$H$200)*('2 Courses'!$H$2:$H$200&lt;&gt;""))+(COUNTIF(I280:K280,'2 Courses'!$I$2:$I$200)*('2 Courses'!$I$2:$I$200&lt;&gt;"")))&gt;0)*((L280="")+(L280="Diploma or degree")+('2 Courses'!$E$2:$E$200=L280)&gt;0)))</f>
        <v/>
      </c>
      <c r="N280" s="18"/>
      <c r="O280" s="18"/>
      <c r="P280" s="18"/>
      <c r="Q280" s="19"/>
      <c r="R280" s="19"/>
      <c r="S280" s="18"/>
      <c r="T280" s="18"/>
      <c r="U280" s="18"/>
    </row>
    <row r="281" customFormat="false" ht="15" hidden="false" customHeight="false" outlineLevel="0" collapsed="false">
      <c r="A281" s="18"/>
      <c r="B281" s="19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4" t="str">
        <f aca="false">IF(COUNTA(I281:K281)=0,"",SUMPRODUCT((((COUNTIF(I281:K281,'2 Courses'!$G$2:$G$200)*('2 Courses'!$G$2:$G$200&lt;&gt;""))+(COUNTIF(I281:K281,'2 Courses'!$H$2:$H$200)*('2 Courses'!$H$2:$H$200&lt;&gt;""))+(COUNTIF(I281:K281,'2 Courses'!$I$2:$I$200)*('2 Courses'!$I$2:$I$200&lt;&gt;"")))&gt;0)*((L281="")+(L281="Diploma or degree")+('2 Courses'!$E$2:$E$200=L281)&gt;0)))</f>
        <v/>
      </c>
      <c r="N281" s="18"/>
      <c r="O281" s="18"/>
      <c r="P281" s="18"/>
      <c r="Q281" s="19"/>
      <c r="R281" s="19"/>
      <c r="S281" s="18"/>
      <c r="T281" s="18"/>
      <c r="U281" s="18"/>
    </row>
    <row r="282" customFormat="false" ht="15" hidden="false" customHeight="false" outlineLevel="0" collapsed="false">
      <c r="A282" s="18"/>
      <c r="B282" s="19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4" t="str">
        <f aca="false">IF(COUNTA(I282:K282)=0,"",SUMPRODUCT((((COUNTIF(I282:K282,'2 Courses'!$G$2:$G$200)*('2 Courses'!$G$2:$G$200&lt;&gt;""))+(COUNTIF(I282:K282,'2 Courses'!$H$2:$H$200)*('2 Courses'!$H$2:$H$200&lt;&gt;""))+(COUNTIF(I282:K282,'2 Courses'!$I$2:$I$200)*('2 Courses'!$I$2:$I$200&lt;&gt;"")))&gt;0)*((L282="")+(L282="Diploma or degree")+('2 Courses'!$E$2:$E$200=L282)&gt;0)))</f>
        <v/>
      </c>
      <c r="N282" s="18"/>
      <c r="O282" s="18"/>
      <c r="P282" s="18"/>
      <c r="Q282" s="19"/>
      <c r="R282" s="19"/>
      <c r="S282" s="18"/>
      <c r="T282" s="18"/>
      <c r="U282" s="18"/>
    </row>
    <row r="283" customFormat="false" ht="15" hidden="false" customHeight="false" outlineLevel="0" collapsed="false">
      <c r="A283" s="18"/>
      <c r="B283" s="19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4" t="str">
        <f aca="false">IF(COUNTA(I283:K283)=0,"",SUMPRODUCT((((COUNTIF(I283:K283,'2 Courses'!$G$2:$G$200)*('2 Courses'!$G$2:$G$200&lt;&gt;""))+(COUNTIF(I283:K283,'2 Courses'!$H$2:$H$200)*('2 Courses'!$H$2:$H$200&lt;&gt;""))+(COUNTIF(I283:K283,'2 Courses'!$I$2:$I$200)*('2 Courses'!$I$2:$I$200&lt;&gt;"")))&gt;0)*((L283="")+(L283="Diploma or degree")+('2 Courses'!$E$2:$E$200=L283)&gt;0)))</f>
        <v/>
      </c>
      <c r="N283" s="18"/>
      <c r="O283" s="18"/>
      <c r="P283" s="18"/>
      <c r="Q283" s="19"/>
      <c r="R283" s="19"/>
      <c r="S283" s="18"/>
      <c r="T283" s="18"/>
      <c r="U283" s="18"/>
    </row>
    <row r="284" customFormat="false" ht="15" hidden="false" customHeight="false" outlineLevel="0" collapsed="false">
      <c r="A284" s="18"/>
      <c r="B284" s="19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4" t="str">
        <f aca="false">IF(COUNTA(I284:K284)=0,"",SUMPRODUCT((((COUNTIF(I284:K284,'2 Courses'!$G$2:$G$200)*('2 Courses'!$G$2:$G$200&lt;&gt;""))+(COUNTIF(I284:K284,'2 Courses'!$H$2:$H$200)*('2 Courses'!$H$2:$H$200&lt;&gt;""))+(COUNTIF(I284:K284,'2 Courses'!$I$2:$I$200)*('2 Courses'!$I$2:$I$200&lt;&gt;"")))&gt;0)*((L284="")+(L284="Diploma or degree")+('2 Courses'!$E$2:$E$200=L284)&gt;0)))</f>
        <v/>
      </c>
      <c r="N284" s="18"/>
      <c r="O284" s="18"/>
      <c r="P284" s="18"/>
      <c r="Q284" s="19"/>
      <c r="R284" s="19"/>
      <c r="S284" s="18"/>
      <c r="T284" s="18"/>
      <c r="U284" s="18"/>
    </row>
    <row r="285" customFormat="false" ht="15" hidden="false" customHeight="false" outlineLevel="0" collapsed="false">
      <c r="A285" s="18"/>
      <c r="B285" s="19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4" t="str">
        <f aca="false">IF(COUNTA(I285:K285)=0,"",SUMPRODUCT((((COUNTIF(I285:K285,'2 Courses'!$G$2:$G$200)*('2 Courses'!$G$2:$G$200&lt;&gt;""))+(COUNTIF(I285:K285,'2 Courses'!$H$2:$H$200)*('2 Courses'!$H$2:$H$200&lt;&gt;""))+(COUNTIF(I285:K285,'2 Courses'!$I$2:$I$200)*('2 Courses'!$I$2:$I$200&lt;&gt;"")))&gt;0)*((L285="")+(L285="Diploma or degree")+('2 Courses'!$E$2:$E$200=L285)&gt;0)))</f>
        <v/>
      </c>
      <c r="N285" s="18"/>
      <c r="O285" s="18"/>
      <c r="P285" s="18"/>
      <c r="Q285" s="19"/>
      <c r="R285" s="19"/>
      <c r="S285" s="18"/>
      <c r="T285" s="18"/>
      <c r="U285" s="18"/>
    </row>
    <row r="286" customFormat="false" ht="15" hidden="false" customHeight="false" outlineLevel="0" collapsed="false">
      <c r="A286" s="18"/>
      <c r="B286" s="19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4" t="str">
        <f aca="false">IF(COUNTA(I286:K286)=0,"",SUMPRODUCT((((COUNTIF(I286:K286,'2 Courses'!$G$2:$G$200)*('2 Courses'!$G$2:$G$200&lt;&gt;""))+(COUNTIF(I286:K286,'2 Courses'!$H$2:$H$200)*('2 Courses'!$H$2:$H$200&lt;&gt;""))+(COUNTIF(I286:K286,'2 Courses'!$I$2:$I$200)*('2 Courses'!$I$2:$I$200&lt;&gt;"")))&gt;0)*((L286="")+(L286="Diploma or degree")+('2 Courses'!$E$2:$E$200=L286)&gt;0)))</f>
        <v/>
      </c>
      <c r="N286" s="18"/>
      <c r="O286" s="18"/>
      <c r="P286" s="18"/>
      <c r="Q286" s="19"/>
      <c r="R286" s="19"/>
      <c r="S286" s="18"/>
      <c r="T286" s="18"/>
      <c r="U286" s="18"/>
    </row>
    <row r="287" customFormat="false" ht="15" hidden="false" customHeight="false" outlineLevel="0" collapsed="false">
      <c r="A287" s="18"/>
      <c r="B287" s="19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4" t="str">
        <f aca="false">IF(COUNTA(I287:K287)=0,"",SUMPRODUCT((((COUNTIF(I287:K287,'2 Courses'!$G$2:$G$200)*('2 Courses'!$G$2:$G$200&lt;&gt;""))+(COUNTIF(I287:K287,'2 Courses'!$H$2:$H$200)*('2 Courses'!$H$2:$H$200&lt;&gt;""))+(COUNTIF(I287:K287,'2 Courses'!$I$2:$I$200)*('2 Courses'!$I$2:$I$200&lt;&gt;"")))&gt;0)*((L287="")+(L287="Diploma or degree")+('2 Courses'!$E$2:$E$200=L287)&gt;0)))</f>
        <v/>
      </c>
      <c r="N287" s="18"/>
      <c r="O287" s="18"/>
      <c r="P287" s="18"/>
      <c r="Q287" s="19"/>
      <c r="R287" s="19"/>
      <c r="S287" s="18"/>
      <c r="T287" s="18"/>
      <c r="U287" s="18"/>
    </row>
    <row r="288" customFormat="false" ht="15" hidden="false" customHeight="false" outlineLevel="0" collapsed="false">
      <c r="A288" s="18"/>
      <c r="B288" s="19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4" t="str">
        <f aca="false">IF(COUNTA(I288:K288)=0,"",SUMPRODUCT((((COUNTIF(I288:K288,'2 Courses'!$G$2:$G$200)*('2 Courses'!$G$2:$G$200&lt;&gt;""))+(COUNTIF(I288:K288,'2 Courses'!$H$2:$H$200)*('2 Courses'!$H$2:$H$200&lt;&gt;""))+(COUNTIF(I288:K288,'2 Courses'!$I$2:$I$200)*('2 Courses'!$I$2:$I$200&lt;&gt;"")))&gt;0)*((L288="")+(L288="Diploma or degree")+('2 Courses'!$E$2:$E$200=L288)&gt;0)))</f>
        <v/>
      </c>
      <c r="N288" s="18"/>
      <c r="O288" s="18"/>
      <c r="P288" s="18"/>
      <c r="Q288" s="19"/>
      <c r="R288" s="19"/>
      <c r="S288" s="18"/>
      <c r="T288" s="18"/>
      <c r="U288" s="18"/>
    </row>
    <row r="289" customFormat="false" ht="15" hidden="false" customHeight="false" outlineLevel="0" collapsed="false">
      <c r="A289" s="18"/>
      <c r="B289" s="19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4" t="str">
        <f aca="false">IF(COUNTA(I289:K289)=0,"",SUMPRODUCT((((COUNTIF(I289:K289,'2 Courses'!$G$2:$G$200)*('2 Courses'!$G$2:$G$200&lt;&gt;""))+(COUNTIF(I289:K289,'2 Courses'!$H$2:$H$200)*('2 Courses'!$H$2:$H$200&lt;&gt;""))+(COUNTIF(I289:K289,'2 Courses'!$I$2:$I$200)*('2 Courses'!$I$2:$I$200&lt;&gt;"")))&gt;0)*((L289="")+(L289="Diploma or degree")+('2 Courses'!$E$2:$E$200=L289)&gt;0)))</f>
        <v/>
      </c>
      <c r="N289" s="18"/>
      <c r="O289" s="18"/>
      <c r="P289" s="18"/>
      <c r="Q289" s="19"/>
      <c r="R289" s="19"/>
      <c r="S289" s="18"/>
      <c r="T289" s="18"/>
      <c r="U289" s="18"/>
    </row>
    <row r="290" customFormat="false" ht="15" hidden="false" customHeight="false" outlineLevel="0" collapsed="false">
      <c r="A290" s="18"/>
      <c r="B290" s="19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4" t="str">
        <f aca="false">IF(COUNTA(I290:K290)=0,"",SUMPRODUCT((((COUNTIF(I290:K290,'2 Courses'!$G$2:$G$200)*('2 Courses'!$G$2:$G$200&lt;&gt;""))+(COUNTIF(I290:K290,'2 Courses'!$H$2:$H$200)*('2 Courses'!$H$2:$H$200&lt;&gt;""))+(COUNTIF(I290:K290,'2 Courses'!$I$2:$I$200)*('2 Courses'!$I$2:$I$200&lt;&gt;"")))&gt;0)*((L290="")+(L290="Diploma or degree")+('2 Courses'!$E$2:$E$200=L290)&gt;0)))</f>
        <v/>
      </c>
      <c r="N290" s="18"/>
      <c r="O290" s="18"/>
      <c r="P290" s="18"/>
      <c r="Q290" s="19"/>
      <c r="R290" s="19"/>
      <c r="S290" s="18"/>
      <c r="T290" s="18"/>
      <c r="U290" s="18"/>
    </row>
    <row r="291" customFormat="false" ht="15" hidden="false" customHeight="false" outlineLevel="0" collapsed="false">
      <c r="A291" s="18"/>
      <c r="B291" s="19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4" t="str">
        <f aca="false">IF(COUNTA(I291:K291)=0,"",SUMPRODUCT((((COUNTIF(I291:K291,'2 Courses'!$G$2:$G$200)*('2 Courses'!$G$2:$G$200&lt;&gt;""))+(COUNTIF(I291:K291,'2 Courses'!$H$2:$H$200)*('2 Courses'!$H$2:$H$200&lt;&gt;""))+(COUNTIF(I291:K291,'2 Courses'!$I$2:$I$200)*('2 Courses'!$I$2:$I$200&lt;&gt;"")))&gt;0)*((L291="")+(L291="Diploma or degree")+('2 Courses'!$E$2:$E$200=L291)&gt;0)))</f>
        <v/>
      </c>
      <c r="N291" s="18"/>
      <c r="O291" s="18"/>
      <c r="P291" s="18"/>
      <c r="Q291" s="19"/>
      <c r="R291" s="19"/>
      <c r="S291" s="18"/>
      <c r="T291" s="18"/>
      <c r="U291" s="18"/>
    </row>
    <row r="292" customFormat="false" ht="15" hidden="false" customHeight="false" outlineLevel="0" collapsed="false">
      <c r="A292" s="18"/>
      <c r="B292" s="19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4" t="str">
        <f aca="false">IF(COUNTA(I292:K292)=0,"",SUMPRODUCT((((COUNTIF(I292:K292,'2 Courses'!$G$2:$G$200)*('2 Courses'!$G$2:$G$200&lt;&gt;""))+(COUNTIF(I292:K292,'2 Courses'!$H$2:$H$200)*('2 Courses'!$H$2:$H$200&lt;&gt;""))+(COUNTIF(I292:K292,'2 Courses'!$I$2:$I$200)*('2 Courses'!$I$2:$I$200&lt;&gt;"")))&gt;0)*((L292="")+(L292="Diploma or degree")+('2 Courses'!$E$2:$E$200=L292)&gt;0)))</f>
        <v/>
      </c>
      <c r="N292" s="18"/>
      <c r="O292" s="18"/>
      <c r="P292" s="18"/>
      <c r="Q292" s="19"/>
      <c r="R292" s="19"/>
      <c r="S292" s="18"/>
      <c r="T292" s="18"/>
      <c r="U292" s="18"/>
    </row>
    <row r="293" customFormat="false" ht="15" hidden="false" customHeight="false" outlineLevel="0" collapsed="false">
      <c r="A293" s="18"/>
      <c r="B293" s="19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4" t="str">
        <f aca="false">IF(COUNTA(I293:K293)=0,"",SUMPRODUCT((((COUNTIF(I293:K293,'2 Courses'!$G$2:$G$200)*('2 Courses'!$G$2:$G$200&lt;&gt;""))+(COUNTIF(I293:K293,'2 Courses'!$H$2:$H$200)*('2 Courses'!$H$2:$H$200&lt;&gt;""))+(COUNTIF(I293:K293,'2 Courses'!$I$2:$I$200)*('2 Courses'!$I$2:$I$200&lt;&gt;"")))&gt;0)*((L293="")+(L293="Diploma or degree")+('2 Courses'!$E$2:$E$200=L293)&gt;0)))</f>
        <v/>
      </c>
      <c r="N293" s="18"/>
      <c r="O293" s="18"/>
      <c r="P293" s="18"/>
      <c r="Q293" s="19"/>
      <c r="R293" s="19"/>
      <c r="S293" s="18"/>
      <c r="T293" s="18"/>
      <c r="U293" s="18"/>
    </row>
    <row r="294" customFormat="false" ht="15" hidden="false" customHeight="false" outlineLevel="0" collapsed="false">
      <c r="A294" s="18"/>
      <c r="B294" s="19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4" t="str">
        <f aca="false">IF(COUNTA(I294:K294)=0,"",SUMPRODUCT((((COUNTIF(I294:K294,'2 Courses'!$G$2:$G$200)*('2 Courses'!$G$2:$G$200&lt;&gt;""))+(COUNTIF(I294:K294,'2 Courses'!$H$2:$H$200)*('2 Courses'!$H$2:$H$200&lt;&gt;""))+(COUNTIF(I294:K294,'2 Courses'!$I$2:$I$200)*('2 Courses'!$I$2:$I$200&lt;&gt;"")))&gt;0)*((L294="")+(L294="Diploma or degree")+('2 Courses'!$E$2:$E$200=L294)&gt;0)))</f>
        <v/>
      </c>
      <c r="N294" s="18"/>
      <c r="O294" s="18"/>
      <c r="P294" s="18"/>
      <c r="Q294" s="19"/>
      <c r="R294" s="19"/>
      <c r="S294" s="18"/>
      <c r="T294" s="18"/>
      <c r="U294" s="18"/>
    </row>
    <row r="295" customFormat="false" ht="15" hidden="false" customHeight="false" outlineLevel="0" collapsed="false">
      <c r="A295" s="18"/>
      <c r="B295" s="19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4" t="str">
        <f aca="false">IF(COUNTA(I295:K295)=0,"",SUMPRODUCT((((COUNTIF(I295:K295,'2 Courses'!$G$2:$G$200)*('2 Courses'!$G$2:$G$200&lt;&gt;""))+(COUNTIF(I295:K295,'2 Courses'!$H$2:$H$200)*('2 Courses'!$H$2:$H$200&lt;&gt;""))+(COUNTIF(I295:K295,'2 Courses'!$I$2:$I$200)*('2 Courses'!$I$2:$I$200&lt;&gt;"")))&gt;0)*((L295="")+(L295="Diploma or degree")+('2 Courses'!$E$2:$E$200=L295)&gt;0)))</f>
        <v/>
      </c>
      <c r="N295" s="18"/>
      <c r="O295" s="18"/>
      <c r="P295" s="18"/>
      <c r="Q295" s="19"/>
      <c r="R295" s="19"/>
      <c r="S295" s="18"/>
      <c r="T295" s="18"/>
      <c r="U295" s="18"/>
    </row>
    <row r="296" customFormat="false" ht="15" hidden="false" customHeight="false" outlineLevel="0" collapsed="false">
      <c r="A296" s="18"/>
      <c r="B296" s="19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4" t="str">
        <f aca="false">IF(COUNTA(I296:K296)=0,"",SUMPRODUCT((((COUNTIF(I296:K296,'2 Courses'!$G$2:$G$200)*('2 Courses'!$G$2:$G$200&lt;&gt;""))+(COUNTIF(I296:K296,'2 Courses'!$H$2:$H$200)*('2 Courses'!$H$2:$H$200&lt;&gt;""))+(COUNTIF(I296:K296,'2 Courses'!$I$2:$I$200)*('2 Courses'!$I$2:$I$200&lt;&gt;"")))&gt;0)*((L296="")+(L296="Diploma or degree")+('2 Courses'!$E$2:$E$200=L296)&gt;0)))</f>
        <v/>
      </c>
      <c r="N296" s="18"/>
      <c r="O296" s="18"/>
      <c r="P296" s="18"/>
      <c r="Q296" s="19"/>
      <c r="R296" s="19"/>
      <c r="S296" s="18"/>
      <c r="T296" s="18"/>
      <c r="U296" s="18"/>
    </row>
    <row r="297" customFormat="false" ht="15" hidden="false" customHeight="false" outlineLevel="0" collapsed="false">
      <c r="A297" s="18"/>
      <c r="B297" s="19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4" t="str">
        <f aca="false">IF(COUNTA(I297:K297)=0,"",SUMPRODUCT((((COUNTIF(I297:K297,'2 Courses'!$G$2:$G$200)*('2 Courses'!$G$2:$G$200&lt;&gt;""))+(COUNTIF(I297:K297,'2 Courses'!$H$2:$H$200)*('2 Courses'!$H$2:$H$200&lt;&gt;""))+(COUNTIF(I297:K297,'2 Courses'!$I$2:$I$200)*('2 Courses'!$I$2:$I$200&lt;&gt;"")))&gt;0)*((L297="")+(L297="Diploma or degree")+('2 Courses'!$E$2:$E$200=L297)&gt;0)))</f>
        <v/>
      </c>
      <c r="N297" s="18"/>
      <c r="O297" s="18"/>
      <c r="P297" s="18"/>
      <c r="Q297" s="19"/>
      <c r="R297" s="19"/>
      <c r="S297" s="18"/>
      <c r="T297" s="18"/>
      <c r="U297" s="18"/>
    </row>
    <row r="298" customFormat="false" ht="15" hidden="false" customHeight="false" outlineLevel="0" collapsed="false">
      <c r="A298" s="18"/>
      <c r="B298" s="19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4" t="str">
        <f aca="false">IF(COUNTA(I298:K298)=0,"",SUMPRODUCT((((COUNTIF(I298:K298,'2 Courses'!$G$2:$G$200)*('2 Courses'!$G$2:$G$200&lt;&gt;""))+(COUNTIF(I298:K298,'2 Courses'!$H$2:$H$200)*('2 Courses'!$H$2:$H$200&lt;&gt;""))+(COUNTIF(I298:K298,'2 Courses'!$I$2:$I$200)*('2 Courses'!$I$2:$I$200&lt;&gt;"")))&gt;0)*((L298="")+(L298="Diploma or degree")+('2 Courses'!$E$2:$E$200=L298)&gt;0)))</f>
        <v/>
      </c>
      <c r="N298" s="18"/>
      <c r="O298" s="18"/>
      <c r="P298" s="18"/>
      <c r="Q298" s="19"/>
      <c r="R298" s="19"/>
      <c r="S298" s="18"/>
      <c r="T298" s="18"/>
      <c r="U298" s="18"/>
    </row>
    <row r="299" customFormat="false" ht="15" hidden="false" customHeight="false" outlineLevel="0" collapsed="false">
      <c r="A299" s="18"/>
      <c r="B299" s="19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4" t="str">
        <f aca="false">IF(COUNTA(I299:K299)=0,"",SUMPRODUCT((((COUNTIF(I299:K299,'2 Courses'!$G$2:$G$200)*('2 Courses'!$G$2:$G$200&lt;&gt;""))+(COUNTIF(I299:K299,'2 Courses'!$H$2:$H$200)*('2 Courses'!$H$2:$H$200&lt;&gt;""))+(COUNTIF(I299:K299,'2 Courses'!$I$2:$I$200)*('2 Courses'!$I$2:$I$200&lt;&gt;"")))&gt;0)*((L299="")+(L299="Diploma or degree")+('2 Courses'!$E$2:$E$200=L299)&gt;0)))</f>
        <v/>
      </c>
      <c r="N299" s="18"/>
      <c r="O299" s="18"/>
      <c r="P299" s="18"/>
      <c r="Q299" s="19"/>
      <c r="R299" s="19"/>
      <c r="S299" s="18"/>
      <c r="T299" s="18"/>
      <c r="U299" s="18"/>
    </row>
    <row r="300" customFormat="false" ht="15" hidden="false" customHeight="false" outlineLevel="0" collapsed="false">
      <c r="A300" s="18"/>
      <c r="B300" s="19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4" t="str">
        <f aca="false">IF(COUNTA(I300:K300)=0,"",SUMPRODUCT((((COUNTIF(I300:K300,'2 Courses'!$G$2:$G$200)*('2 Courses'!$G$2:$G$200&lt;&gt;""))+(COUNTIF(I300:K300,'2 Courses'!$H$2:$H$200)*('2 Courses'!$H$2:$H$200&lt;&gt;""))+(COUNTIF(I300:K300,'2 Courses'!$I$2:$I$200)*('2 Courses'!$I$2:$I$200&lt;&gt;"")))&gt;0)*((L300="")+(L300="Diploma or degree")+('2 Courses'!$E$2:$E$200=L300)&gt;0)))</f>
        <v/>
      </c>
      <c r="N300" s="18"/>
      <c r="O300" s="18"/>
      <c r="P300" s="18"/>
      <c r="Q300" s="19"/>
      <c r="R300" s="19"/>
      <c r="S300" s="18"/>
      <c r="T300" s="18"/>
      <c r="U300" s="18"/>
    </row>
  </sheetData>
  <autoFilter ref="A1:U300"/>
  <dataValidations count="6">
    <dataValidation allowBlank="true" error="Pick a value from the list" errorStyle="stop" operator="between" showDropDown="false" showErrorMessage="true" showInputMessage="false" sqref="F2:F300" type="list">
      <formula1>Lists!$G$2:$G$8</formula1>
      <formula2>0</formula2>
    </dataValidation>
    <dataValidation allowBlank="true" error="Pick a value from the list" errorStyle="stop" operator="between" showDropDown="false" showErrorMessage="true" showInputMessage="false" sqref="H2:H300" type="list">
      <formula1>Lists!$H$2:$H$8</formula1>
      <formula2>0</formula2>
    </dataValidation>
    <dataValidation allowBlank="true" error="Pick a value from the list" errorStyle="stop" operator="between" showDropDown="false" showErrorMessage="true" showInputMessage="false" sqref="P2:P300" type="list">
      <formula1>Lists!$A$2:$A$8</formula1>
      <formula2>0</formula2>
    </dataValidation>
    <dataValidation allowBlank="true" error="Pick a value from the list" errorStyle="stop" operator="between" showDropDown="false" showErrorMessage="true" showInputMessage="false" sqref="I2:K300" type="list">
      <formula1>'2 Interests'!$A$2:$A$60</formula1>
      <formula2>0</formula2>
    </dataValidation>
    <dataValidation allowBlank="true" error="Pick a value from the list" errorStyle="stop" operator="between" showDropDown="false" showErrorMessage="true" showInputMessage="false" sqref="L2:L300" type="list">
      <formula1>Lists!$F$2:$F$4</formula1>
      <formula2>0</formula2>
    </dataValidation>
    <dataValidation allowBlank="true" error="Pick a value from the list" errorStyle="stop" operator="between" showDropDown="false" showErrorMessage="true" showInputMessage="false" sqref="N2:N300" type="list">
      <formula1>'2 Courses'!$A$2:$A$200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14" min="5" style="0" width="9"/>
    <col collapsed="false" customWidth="true" hidden="false" outlineLevel="0" max="15" min="15" style="0" width="18"/>
  </cols>
  <sheetData>
    <row r="1" customFormat="false" ht="31.5" hidden="false" customHeight="true" outlineLevel="0" collapsed="false">
      <c r="A1" s="8" t="s">
        <v>255</v>
      </c>
      <c r="B1" s="8" t="s">
        <v>256</v>
      </c>
      <c r="C1" s="8" t="s">
        <v>257</v>
      </c>
      <c r="D1" s="8" t="s">
        <v>258</v>
      </c>
      <c r="E1" s="8" t="s">
        <v>259</v>
      </c>
      <c r="F1" s="8" t="s">
        <v>260</v>
      </c>
      <c r="G1" s="8" t="s">
        <v>261</v>
      </c>
      <c r="H1" s="8" t="s">
        <v>262</v>
      </c>
      <c r="I1" s="8" t="s">
        <v>263</v>
      </c>
      <c r="J1" s="8" t="s">
        <v>264</v>
      </c>
      <c r="K1" s="8" t="s">
        <v>265</v>
      </c>
      <c r="L1" s="8" t="s">
        <v>266</v>
      </c>
      <c r="M1" s="8" t="s">
        <v>267</v>
      </c>
      <c r="N1" s="8" t="s">
        <v>268</v>
      </c>
      <c r="O1" s="8" t="s">
        <v>269</v>
      </c>
    </row>
    <row r="2" customFormat="false" ht="15" hidden="false" customHeight="false" outlineLevel="0" collapsed="false">
      <c r="A2" s="9" t="s">
        <v>270</v>
      </c>
      <c r="B2" s="9" t="s">
        <v>271</v>
      </c>
      <c r="C2" s="9" t="s">
        <v>113</v>
      </c>
      <c r="D2" s="9" t="s">
        <v>272</v>
      </c>
      <c r="E2" s="9" t="n">
        <v>2</v>
      </c>
      <c r="F2" s="9"/>
      <c r="G2" s="9"/>
      <c r="H2" s="9"/>
      <c r="I2" s="9"/>
      <c r="J2" s="9"/>
      <c r="K2" s="9"/>
      <c r="L2" s="9" t="n">
        <v>2</v>
      </c>
      <c r="M2" s="9"/>
      <c r="N2" s="9"/>
      <c r="O2" s="9"/>
    </row>
    <row r="3" customFormat="false" ht="15" hidden="false" customHeight="false" outlineLevel="0" collapsed="false">
      <c r="A3" s="9" t="s">
        <v>270</v>
      </c>
      <c r="B3" s="9" t="s">
        <v>271</v>
      </c>
      <c r="C3" s="9" t="s">
        <v>124</v>
      </c>
      <c r="D3" s="9" t="s">
        <v>273</v>
      </c>
      <c r="E3" s="9"/>
      <c r="F3" s="9" t="n">
        <v>2</v>
      </c>
      <c r="G3" s="9" t="n">
        <v>2</v>
      </c>
      <c r="H3" s="9"/>
      <c r="I3" s="9"/>
      <c r="J3" s="9"/>
      <c r="K3" s="9"/>
      <c r="L3" s="9"/>
      <c r="M3" s="9"/>
      <c r="N3" s="9"/>
      <c r="O3" s="9"/>
    </row>
    <row r="4" customFormat="false" ht="15" hidden="false" customHeight="false" outlineLevel="0" collapsed="false">
      <c r="A4" s="9" t="s">
        <v>270</v>
      </c>
      <c r="B4" s="9" t="s">
        <v>271</v>
      </c>
      <c r="C4" s="9" t="s">
        <v>120</v>
      </c>
      <c r="D4" s="9" t="s">
        <v>274</v>
      </c>
      <c r="E4" s="9"/>
      <c r="F4" s="9"/>
      <c r="G4" s="9"/>
      <c r="H4" s="9" t="n">
        <v>3</v>
      </c>
      <c r="I4" s="9"/>
      <c r="J4" s="9"/>
      <c r="K4" s="9"/>
      <c r="L4" s="9"/>
      <c r="M4" s="9"/>
      <c r="N4" s="9"/>
      <c r="O4" s="9"/>
    </row>
    <row r="5" customFormat="false" ht="15" hidden="false" customHeight="false" outlineLevel="0" collapsed="false">
      <c r="A5" s="9" t="s">
        <v>270</v>
      </c>
      <c r="B5" s="9" t="s">
        <v>271</v>
      </c>
      <c r="C5" s="9" t="s">
        <v>275</v>
      </c>
      <c r="D5" s="9" t="s">
        <v>276</v>
      </c>
      <c r="E5" s="9"/>
      <c r="F5" s="9"/>
      <c r="G5" s="9"/>
      <c r="H5" s="9"/>
      <c r="I5" s="9" t="n">
        <v>3</v>
      </c>
      <c r="J5" s="9"/>
      <c r="K5" s="9"/>
      <c r="L5" s="9"/>
      <c r="M5" s="9"/>
      <c r="N5" s="9"/>
      <c r="O5" s="9"/>
    </row>
    <row r="6" customFormat="false" ht="15" hidden="false" customHeight="false" outlineLevel="0" collapsed="false">
      <c r="A6" s="9" t="s">
        <v>270</v>
      </c>
      <c r="B6" s="9" t="s">
        <v>271</v>
      </c>
      <c r="C6" s="9" t="s">
        <v>277</v>
      </c>
      <c r="D6" s="9" t="s">
        <v>278</v>
      </c>
      <c r="E6" s="9"/>
      <c r="F6" s="9"/>
      <c r="G6" s="9"/>
      <c r="H6" s="9"/>
      <c r="I6" s="9"/>
      <c r="J6" s="9" t="n">
        <v>1</v>
      </c>
      <c r="K6" s="9" t="n">
        <v>1</v>
      </c>
      <c r="L6" s="9"/>
      <c r="M6" s="9"/>
      <c r="N6" s="9" t="n">
        <v>2</v>
      </c>
      <c r="O6" s="9"/>
    </row>
    <row r="7" customFormat="false" ht="26.85" hidden="false" customHeight="false" outlineLevel="0" collapsed="false">
      <c r="A7" s="9" t="s">
        <v>279</v>
      </c>
      <c r="B7" s="9" t="s">
        <v>280</v>
      </c>
      <c r="C7" s="9" t="s">
        <v>113</v>
      </c>
      <c r="D7" s="9" t="s">
        <v>281</v>
      </c>
      <c r="E7" s="9"/>
      <c r="F7" s="9" t="n">
        <v>3</v>
      </c>
      <c r="G7" s="9"/>
      <c r="H7" s="9"/>
      <c r="I7" s="9"/>
      <c r="J7" s="9"/>
      <c r="K7" s="9"/>
      <c r="L7" s="9"/>
      <c r="M7" s="9"/>
      <c r="N7" s="9"/>
      <c r="O7" s="9"/>
    </row>
    <row r="8" customFormat="false" ht="26.85" hidden="false" customHeight="false" outlineLevel="0" collapsed="false">
      <c r="A8" s="9" t="s">
        <v>279</v>
      </c>
      <c r="B8" s="9" t="s">
        <v>280</v>
      </c>
      <c r="C8" s="9" t="s">
        <v>124</v>
      </c>
      <c r="D8" s="9" t="s">
        <v>282</v>
      </c>
      <c r="E8" s="9"/>
      <c r="F8" s="9"/>
      <c r="G8" s="9"/>
      <c r="H8" s="9"/>
      <c r="I8" s="9" t="n">
        <v>2</v>
      </c>
      <c r="J8" s="9"/>
      <c r="K8" s="9"/>
      <c r="L8" s="9"/>
      <c r="M8" s="9"/>
      <c r="N8" s="9" t="n">
        <v>2</v>
      </c>
      <c r="O8" s="9"/>
    </row>
    <row r="9" customFormat="false" ht="26.85" hidden="false" customHeight="false" outlineLevel="0" collapsed="false">
      <c r="A9" s="9" t="s">
        <v>279</v>
      </c>
      <c r="B9" s="9" t="s">
        <v>280</v>
      </c>
      <c r="C9" s="9" t="s">
        <v>120</v>
      </c>
      <c r="D9" s="9" t="s">
        <v>283</v>
      </c>
      <c r="E9" s="9" t="n">
        <v>3</v>
      </c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26.85" hidden="false" customHeight="false" outlineLevel="0" collapsed="false">
      <c r="A10" s="9" t="s">
        <v>279</v>
      </c>
      <c r="B10" s="9" t="s">
        <v>280</v>
      </c>
      <c r="C10" s="9" t="s">
        <v>275</v>
      </c>
      <c r="D10" s="9" t="s">
        <v>284</v>
      </c>
      <c r="E10" s="9"/>
      <c r="F10" s="9"/>
      <c r="G10" s="9"/>
      <c r="H10" s="9" t="n">
        <v>2</v>
      </c>
      <c r="I10" s="9"/>
      <c r="J10" s="9"/>
      <c r="K10" s="9"/>
      <c r="L10" s="9"/>
      <c r="M10" s="9" t="n">
        <v>2</v>
      </c>
      <c r="N10" s="9"/>
      <c r="O10" s="9"/>
    </row>
    <row r="11" customFormat="false" ht="26.85" hidden="false" customHeight="false" outlineLevel="0" collapsed="false">
      <c r="A11" s="9" t="s">
        <v>279</v>
      </c>
      <c r="B11" s="9" t="s">
        <v>280</v>
      </c>
      <c r="C11" s="9" t="s">
        <v>277</v>
      </c>
      <c r="D11" s="9" t="s">
        <v>285</v>
      </c>
      <c r="E11" s="9"/>
      <c r="F11" s="9"/>
      <c r="G11" s="9" t="n">
        <v>3</v>
      </c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false" outlineLevel="0" collapsed="false">
      <c r="A12" s="9" t="s">
        <v>286</v>
      </c>
      <c r="B12" s="9" t="s">
        <v>287</v>
      </c>
      <c r="C12" s="9" t="s">
        <v>113</v>
      </c>
      <c r="D12" s="9" t="s">
        <v>288</v>
      </c>
      <c r="E12" s="9" t="n">
        <v>1</v>
      </c>
      <c r="F12" s="9"/>
      <c r="G12" s="9"/>
      <c r="H12" s="9"/>
      <c r="I12" s="9"/>
      <c r="J12" s="9"/>
      <c r="K12" s="9" t="n">
        <v>2</v>
      </c>
      <c r="L12" s="9"/>
      <c r="M12" s="9" t="n">
        <v>2</v>
      </c>
      <c r="N12" s="9"/>
      <c r="O12" s="9"/>
    </row>
    <row r="13" customFormat="false" ht="15" hidden="false" customHeight="false" outlineLevel="0" collapsed="false">
      <c r="A13" s="9" t="s">
        <v>286</v>
      </c>
      <c r="B13" s="9" t="s">
        <v>287</v>
      </c>
      <c r="C13" s="9" t="s">
        <v>124</v>
      </c>
      <c r="D13" s="9" t="s">
        <v>289</v>
      </c>
      <c r="E13" s="9"/>
      <c r="F13" s="9"/>
      <c r="G13" s="9" t="n">
        <v>1</v>
      </c>
      <c r="H13" s="9" t="n">
        <v>2</v>
      </c>
      <c r="I13" s="9"/>
      <c r="J13" s="9"/>
      <c r="K13" s="9"/>
      <c r="L13" s="9" t="n">
        <v>1</v>
      </c>
      <c r="M13" s="9"/>
      <c r="N13" s="9"/>
      <c r="O13" s="9"/>
    </row>
    <row r="14" customFormat="false" ht="15" hidden="false" customHeight="false" outlineLevel="0" collapsed="false">
      <c r="A14" s="9" t="s">
        <v>286</v>
      </c>
      <c r="B14" s="9" t="s">
        <v>287</v>
      </c>
      <c r="C14" s="9" t="s">
        <v>120</v>
      </c>
      <c r="D14" s="9" t="s">
        <v>290</v>
      </c>
      <c r="E14" s="9"/>
      <c r="F14" s="9" t="n">
        <v>2</v>
      </c>
      <c r="G14" s="9"/>
      <c r="H14" s="9"/>
      <c r="I14" s="9" t="n">
        <v>1</v>
      </c>
      <c r="J14" s="9"/>
      <c r="K14" s="9"/>
      <c r="L14" s="9"/>
      <c r="M14" s="9"/>
      <c r="N14" s="9"/>
      <c r="O14" s="9"/>
    </row>
    <row r="15" customFormat="false" ht="15" hidden="false" customHeight="false" outlineLevel="0" collapsed="false">
      <c r="A15" s="9" t="s">
        <v>286</v>
      </c>
      <c r="B15" s="9" t="s">
        <v>287</v>
      </c>
      <c r="C15" s="9" t="s">
        <v>275</v>
      </c>
      <c r="D15" s="9" t="s">
        <v>291</v>
      </c>
      <c r="E15" s="9"/>
      <c r="F15" s="9"/>
      <c r="G15" s="9"/>
      <c r="H15" s="9"/>
      <c r="I15" s="9"/>
      <c r="J15" s="9" t="n">
        <v>3</v>
      </c>
      <c r="K15" s="9"/>
      <c r="L15" s="9"/>
      <c r="M15" s="9"/>
      <c r="N15" s="9" t="n">
        <v>1</v>
      </c>
      <c r="O15" s="9"/>
    </row>
    <row r="16" customFormat="false" ht="15" hidden="false" customHeight="false" outlineLevel="0" collapsed="false">
      <c r="A16" s="9" t="s">
        <v>292</v>
      </c>
      <c r="B16" s="9" t="s">
        <v>293</v>
      </c>
      <c r="C16" s="9" t="s">
        <v>113</v>
      </c>
      <c r="D16" s="9" t="s">
        <v>294</v>
      </c>
      <c r="E16" s="9"/>
      <c r="F16" s="9" t="n">
        <v>2</v>
      </c>
      <c r="G16" s="9"/>
      <c r="H16" s="9" t="n">
        <v>2</v>
      </c>
      <c r="I16" s="9"/>
      <c r="J16" s="9"/>
      <c r="K16" s="9"/>
      <c r="L16" s="9"/>
      <c r="M16" s="9"/>
      <c r="N16" s="9"/>
      <c r="O16" s="9"/>
    </row>
    <row r="17" customFormat="false" ht="15" hidden="false" customHeight="false" outlineLevel="0" collapsed="false">
      <c r="A17" s="9" t="s">
        <v>292</v>
      </c>
      <c r="B17" s="9" t="s">
        <v>293</v>
      </c>
      <c r="C17" s="9" t="s">
        <v>124</v>
      </c>
      <c r="D17" s="9" t="s">
        <v>295</v>
      </c>
      <c r="E17" s="9" t="n">
        <v>2</v>
      </c>
      <c r="F17" s="9"/>
      <c r="G17" s="9"/>
      <c r="H17" s="9"/>
      <c r="I17" s="9"/>
      <c r="J17" s="9"/>
      <c r="K17" s="9" t="n">
        <v>2</v>
      </c>
      <c r="L17" s="9"/>
      <c r="M17" s="9"/>
      <c r="N17" s="9"/>
      <c r="O17" s="9"/>
    </row>
    <row r="18" customFormat="false" ht="15" hidden="false" customHeight="false" outlineLevel="0" collapsed="false">
      <c r="A18" s="9" t="s">
        <v>292</v>
      </c>
      <c r="B18" s="9" t="s">
        <v>293</v>
      </c>
      <c r="C18" s="9" t="s">
        <v>120</v>
      </c>
      <c r="D18" s="9" t="s">
        <v>296</v>
      </c>
      <c r="E18" s="9"/>
      <c r="F18" s="9"/>
      <c r="G18" s="9"/>
      <c r="H18" s="9"/>
      <c r="I18" s="9" t="n">
        <v>2</v>
      </c>
      <c r="J18" s="9"/>
      <c r="K18" s="9"/>
      <c r="L18" s="9"/>
      <c r="M18" s="9"/>
      <c r="N18" s="9" t="n">
        <v>2</v>
      </c>
      <c r="O18" s="9"/>
    </row>
    <row r="19" customFormat="false" ht="15" hidden="false" customHeight="false" outlineLevel="0" collapsed="false">
      <c r="A19" s="9" t="s">
        <v>292</v>
      </c>
      <c r="B19" s="9" t="s">
        <v>293</v>
      </c>
      <c r="C19" s="9" t="s">
        <v>275</v>
      </c>
      <c r="D19" s="9" t="s">
        <v>297</v>
      </c>
      <c r="E19" s="9"/>
      <c r="F19" s="9"/>
      <c r="G19" s="9" t="n">
        <v>2</v>
      </c>
      <c r="H19" s="9"/>
      <c r="I19" s="9"/>
      <c r="J19" s="9" t="n">
        <v>1</v>
      </c>
      <c r="K19" s="9"/>
      <c r="L19" s="9" t="n">
        <v>2</v>
      </c>
      <c r="M19" s="9"/>
      <c r="N19" s="9"/>
      <c r="O19" s="9"/>
    </row>
    <row r="20" customFormat="false" ht="26.85" hidden="false" customHeight="false" outlineLevel="0" collapsed="false">
      <c r="A20" s="9" t="s">
        <v>298</v>
      </c>
      <c r="B20" s="9" t="s">
        <v>299</v>
      </c>
      <c r="C20" s="9" t="s">
        <v>113</v>
      </c>
      <c r="D20" s="9" t="s">
        <v>300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 t="s">
        <v>206</v>
      </c>
    </row>
    <row r="21" customFormat="false" ht="26.85" hidden="false" customHeight="false" outlineLevel="0" collapsed="false">
      <c r="A21" s="9" t="s">
        <v>298</v>
      </c>
      <c r="B21" s="9" t="s">
        <v>299</v>
      </c>
      <c r="C21" s="9" t="s">
        <v>124</v>
      </c>
      <c r="D21" s="9" t="s">
        <v>301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 t="s">
        <v>203</v>
      </c>
    </row>
    <row r="22" customFormat="false" ht="26.85" hidden="false" customHeight="false" outlineLevel="0" collapsed="false">
      <c r="A22" s="9" t="s">
        <v>298</v>
      </c>
      <c r="B22" s="9" t="s">
        <v>299</v>
      </c>
      <c r="C22" s="9" t="s">
        <v>120</v>
      </c>
      <c r="D22" s="9" t="s">
        <v>302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 t="s">
        <v>303</v>
      </c>
    </row>
    <row r="23" customFormat="false" ht="26.85" hidden="false" customHeight="false" outlineLevel="0" collapsed="false">
      <c r="A23" s="9" t="s">
        <v>298</v>
      </c>
      <c r="B23" s="9" t="s">
        <v>299</v>
      </c>
      <c r="C23" s="9" t="s">
        <v>275</v>
      </c>
      <c r="D23" s="9" t="s">
        <v>304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5" customFormat="false" ht="15" hidden="false" customHeight="false" outlineLevel="0" collapsed="false">
      <c r="A25" s="22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13" min="9" style="0" width="9"/>
    <col collapsed="false" customWidth="true" hidden="false" outlineLevel="0" max="23" min="14" style="0" width="8"/>
    <col collapsed="false" customWidth="true" hidden="false" outlineLevel="0" max="25" min="24" style="0" width="22"/>
    <col collapsed="false" customWidth="true" hidden="false" outlineLevel="0" max="26" min="26" style="0" width="16"/>
    <col collapsed="false" customWidth="true" hidden="false" outlineLevel="0" max="27" min="27" style="0" width="14"/>
    <col collapsed="false" customWidth="true" hidden="false" outlineLevel="0" max="28" min="28" style="0" width="18"/>
    <col collapsed="false" customWidth="true" hidden="false" outlineLevel="0" max="30" min="29" style="0" width="14"/>
    <col collapsed="false" customWidth="true" hidden="false" outlineLevel="0" max="31" min="31" style="0" width="28"/>
    <col collapsed="false" customWidth="true" hidden="false" outlineLevel="0" max="32" min="32" style="0" width="24"/>
    <col collapsed="false" customWidth="true" hidden="false" outlineLevel="0" max="33" min="33" style="0" width="30"/>
  </cols>
  <sheetData>
    <row r="1" customFormat="false" ht="31.5" hidden="false" customHeight="true" outlineLevel="0" collapsed="false">
      <c r="A1" s="8" t="s">
        <v>138</v>
      </c>
      <c r="B1" s="8" t="s">
        <v>139</v>
      </c>
      <c r="C1" s="8" t="s">
        <v>140</v>
      </c>
      <c r="D1" s="8" t="s">
        <v>141</v>
      </c>
      <c r="E1" s="8" t="s">
        <v>142</v>
      </c>
      <c r="F1" s="8" t="s">
        <v>143</v>
      </c>
      <c r="G1" s="8" t="s">
        <v>144</v>
      </c>
      <c r="H1" s="8" t="s">
        <v>145</v>
      </c>
      <c r="I1" s="8" t="s">
        <v>306</v>
      </c>
      <c r="J1" s="8" t="s">
        <v>307</v>
      </c>
      <c r="K1" s="8" t="s">
        <v>308</v>
      </c>
      <c r="L1" s="8" t="s">
        <v>309</v>
      </c>
      <c r="M1" s="8" t="s">
        <v>310</v>
      </c>
      <c r="N1" s="8" t="s">
        <v>311</v>
      </c>
      <c r="O1" s="8" t="s">
        <v>312</v>
      </c>
      <c r="P1" s="8" t="s">
        <v>313</v>
      </c>
      <c r="Q1" s="8" t="s">
        <v>314</v>
      </c>
      <c r="R1" s="8" t="s">
        <v>315</v>
      </c>
      <c r="S1" s="8" t="s">
        <v>316</v>
      </c>
      <c r="T1" s="8" t="s">
        <v>317</v>
      </c>
      <c r="U1" s="8" t="s">
        <v>318</v>
      </c>
      <c r="V1" s="8" t="s">
        <v>319</v>
      </c>
      <c r="W1" s="8" t="s">
        <v>320</v>
      </c>
      <c r="X1" s="8" t="s">
        <v>321</v>
      </c>
      <c r="Y1" s="8" t="s">
        <v>322</v>
      </c>
      <c r="Z1" s="8" t="s">
        <v>323</v>
      </c>
      <c r="AA1" s="8" t="s">
        <v>153</v>
      </c>
      <c r="AB1" s="8" t="s">
        <v>154</v>
      </c>
      <c r="AC1" s="8" t="s">
        <v>155</v>
      </c>
      <c r="AD1" s="8" t="s">
        <v>156</v>
      </c>
      <c r="AE1" s="8" t="s">
        <v>157</v>
      </c>
      <c r="AF1" s="8" t="s">
        <v>158</v>
      </c>
      <c r="AG1" s="8" t="s">
        <v>69</v>
      </c>
    </row>
    <row r="2" customFormat="false" ht="26.85" hidden="false" customHeight="false" outlineLevel="0" collapsed="false">
      <c r="A2" s="9" t="s">
        <v>324</v>
      </c>
      <c r="B2" s="13" t="n">
        <v>46303</v>
      </c>
      <c r="C2" s="9" t="s">
        <v>325</v>
      </c>
      <c r="D2" s="9" t="s">
        <v>326</v>
      </c>
      <c r="E2" s="9"/>
      <c r="F2" s="9" t="s">
        <v>163</v>
      </c>
      <c r="G2" s="9" t="s">
        <v>327</v>
      </c>
      <c r="H2" s="9" t="s">
        <v>328</v>
      </c>
      <c r="I2" s="9" t="s">
        <v>113</v>
      </c>
      <c r="J2" s="9" t="s">
        <v>120</v>
      </c>
      <c r="K2" s="9" t="s">
        <v>113</v>
      </c>
      <c r="L2" s="9" t="s">
        <v>124</v>
      </c>
      <c r="M2" s="9" t="s">
        <v>124</v>
      </c>
      <c r="N2" s="11" t="n">
        <f aca="false">IF(COUNTA(I2:L2)=0,"",SUMIFS('3 Hazed Questions'!$E$2:$E$23,'3 Hazed Questions'!$A$2:$A$23,"Q1",'3 Hazed Questions'!$C$2:$C$23,I2)+SUMIFS('3 Hazed Questions'!$E$2:$E$23,'3 Hazed Questions'!$A$2:$A$23,"Q2",'3 Hazed Questions'!$C$2:$C$23,J2)+SUMIFS('3 Hazed Questions'!$E$2:$E$23,'3 Hazed Questions'!$A$2:$A$23,"Q3",'3 Hazed Questions'!$C$2:$C$23,K2)+SUMIFS('3 Hazed Questions'!$E$2:$E$23,'3 Hazed Questions'!$A$2:$A$23,"Q4",'3 Hazed Questions'!$C$2:$C$23,L2))</f>
        <v>8</v>
      </c>
      <c r="O2" s="11" t="n">
        <f aca="false">IF(COUNTA(I2:L2)=0,"",SUMIFS('3 Hazed Questions'!$F$2:$F$23,'3 Hazed Questions'!$A$2:$A$23,"Q1",'3 Hazed Questions'!$C$2:$C$23,I2)+SUMIFS('3 Hazed Questions'!$F$2:$F$23,'3 Hazed Questions'!$A$2:$A$23,"Q2",'3 Hazed Questions'!$C$2:$C$23,J2)+SUMIFS('3 Hazed Questions'!$F$2:$F$23,'3 Hazed Questions'!$A$2:$A$23,"Q3",'3 Hazed Questions'!$C$2:$C$23,K2)+SUMIFS('3 Hazed Questions'!$F$2:$F$23,'3 Hazed Questions'!$A$2:$A$23,"Q4",'3 Hazed Questions'!$C$2:$C$23,L2))</f>
        <v>0</v>
      </c>
      <c r="P2" s="11" t="n">
        <f aca="false">IF(COUNTA(I2:L2)=0,"",SUMIFS('3 Hazed Questions'!$G$2:$G$23,'3 Hazed Questions'!$A$2:$A$23,"Q1",'3 Hazed Questions'!$C$2:$C$23,I2)+SUMIFS('3 Hazed Questions'!$G$2:$G$23,'3 Hazed Questions'!$A$2:$A$23,"Q2",'3 Hazed Questions'!$C$2:$C$23,J2)+SUMIFS('3 Hazed Questions'!$G$2:$G$23,'3 Hazed Questions'!$A$2:$A$23,"Q3",'3 Hazed Questions'!$C$2:$C$23,K2)+SUMIFS('3 Hazed Questions'!$G$2:$G$23,'3 Hazed Questions'!$A$2:$A$23,"Q4",'3 Hazed Questions'!$C$2:$C$23,L2))</f>
        <v>0</v>
      </c>
      <c r="Q2" s="11" t="n">
        <f aca="false">IF(COUNTA(I2:L2)=0,"",SUMIFS('3 Hazed Questions'!$H$2:$H$23,'3 Hazed Questions'!$A$2:$A$23,"Q1",'3 Hazed Questions'!$C$2:$C$23,I2)+SUMIFS('3 Hazed Questions'!$H$2:$H$23,'3 Hazed Questions'!$A$2:$A$23,"Q2",'3 Hazed Questions'!$C$2:$C$23,J2)+SUMIFS('3 Hazed Questions'!$H$2:$H$23,'3 Hazed Questions'!$A$2:$A$23,"Q3",'3 Hazed Questions'!$C$2:$C$23,K2)+SUMIFS('3 Hazed Questions'!$H$2:$H$23,'3 Hazed Questions'!$A$2:$A$23,"Q4",'3 Hazed Questions'!$C$2:$C$23,L2))</f>
        <v>0</v>
      </c>
      <c r="R2" s="11" t="n">
        <f aca="false">IF(COUNTA(I2:L2)=0,"",SUMIFS('3 Hazed Questions'!$I$2:$I$23,'3 Hazed Questions'!$A$2:$A$23,"Q1",'3 Hazed Questions'!$C$2:$C$23,I2)+SUMIFS('3 Hazed Questions'!$I$2:$I$23,'3 Hazed Questions'!$A$2:$A$23,"Q2",'3 Hazed Questions'!$C$2:$C$23,J2)+SUMIFS('3 Hazed Questions'!$I$2:$I$23,'3 Hazed Questions'!$A$2:$A$23,"Q3",'3 Hazed Questions'!$C$2:$C$23,K2)+SUMIFS('3 Hazed Questions'!$I$2:$I$23,'3 Hazed Questions'!$A$2:$A$23,"Q4",'3 Hazed Questions'!$C$2:$C$23,L2))</f>
        <v>0</v>
      </c>
      <c r="S2" s="11" t="n">
        <f aca="false">IF(COUNTA(I2:L2)=0,"",SUMIFS('3 Hazed Questions'!$J$2:$J$23,'3 Hazed Questions'!$A$2:$A$23,"Q1",'3 Hazed Questions'!$C$2:$C$23,I2)+SUMIFS('3 Hazed Questions'!$J$2:$J$23,'3 Hazed Questions'!$A$2:$A$23,"Q2",'3 Hazed Questions'!$C$2:$C$23,J2)+SUMIFS('3 Hazed Questions'!$J$2:$J$23,'3 Hazed Questions'!$A$2:$A$23,"Q3",'3 Hazed Questions'!$C$2:$C$23,K2)+SUMIFS('3 Hazed Questions'!$J$2:$J$23,'3 Hazed Questions'!$A$2:$A$23,"Q4",'3 Hazed Questions'!$C$2:$C$23,L2))</f>
        <v>0</v>
      </c>
      <c r="T2" s="11" t="n">
        <f aca="false">IF(COUNTA(I2:L2)=0,"",SUMIFS('3 Hazed Questions'!$K$2:$K$23,'3 Hazed Questions'!$A$2:$A$23,"Q1",'3 Hazed Questions'!$C$2:$C$23,I2)+SUMIFS('3 Hazed Questions'!$K$2:$K$23,'3 Hazed Questions'!$A$2:$A$23,"Q2",'3 Hazed Questions'!$C$2:$C$23,J2)+SUMIFS('3 Hazed Questions'!$K$2:$K$23,'3 Hazed Questions'!$A$2:$A$23,"Q3",'3 Hazed Questions'!$C$2:$C$23,K2)+SUMIFS('3 Hazed Questions'!$K$2:$K$23,'3 Hazed Questions'!$A$2:$A$23,"Q4",'3 Hazed Questions'!$C$2:$C$23,L2))</f>
        <v>4</v>
      </c>
      <c r="U2" s="11" t="n">
        <f aca="false">IF(COUNTA(I2:L2)=0,"",SUMIFS('3 Hazed Questions'!$L$2:$L$23,'3 Hazed Questions'!$A$2:$A$23,"Q1",'3 Hazed Questions'!$C$2:$C$23,I2)+SUMIFS('3 Hazed Questions'!$L$2:$L$23,'3 Hazed Questions'!$A$2:$A$23,"Q2",'3 Hazed Questions'!$C$2:$C$23,J2)+SUMIFS('3 Hazed Questions'!$L$2:$L$23,'3 Hazed Questions'!$A$2:$A$23,"Q3",'3 Hazed Questions'!$C$2:$C$23,K2)+SUMIFS('3 Hazed Questions'!$L$2:$L$23,'3 Hazed Questions'!$A$2:$A$23,"Q4",'3 Hazed Questions'!$C$2:$C$23,L2))</f>
        <v>2</v>
      </c>
      <c r="V2" s="11" t="n">
        <f aca="false">IF(COUNTA(I2:L2)=0,"",SUMIFS('3 Hazed Questions'!$M$2:$M$23,'3 Hazed Questions'!$A$2:$A$23,"Q1",'3 Hazed Questions'!$C$2:$C$23,I2)+SUMIFS('3 Hazed Questions'!$M$2:$M$23,'3 Hazed Questions'!$A$2:$A$23,"Q2",'3 Hazed Questions'!$C$2:$C$23,J2)+SUMIFS('3 Hazed Questions'!$M$2:$M$23,'3 Hazed Questions'!$A$2:$A$23,"Q3",'3 Hazed Questions'!$C$2:$C$23,K2)+SUMIFS('3 Hazed Questions'!$M$2:$M$23,'3 Hazed Questions'!$A$2:$A$23,"Q4",'3 Hazed Questions'!$C$2:$C$23,L2))</f>
        <v>2</v>
      </c>
      <c r="W2" s="11" t="n">
        <f aca="false">IF(COUNTA(I2:L2)=0,"",SUMIFS('3 Hazed Questions'!$N$2:$N$23,'3 Hazed Questions'!$A$2:$A$23,"Q1",'3 Hazed Questions'!$C$2:$C$23,I2)+SUMIFS('3 Hazed Questions'!$N$2:$N$23,'3 Hazed Questions'!$A$2:$A$23,"Q2",'3 Hazed Questions'!$C$2:$C$23,J2)+SUMIFS('3 Hazed Questions'!$N$2:$N$23,'3 Hazed Questions'!$A$2:$A$23,"Q3",'3 Hazed Questions'!$C$2:$C$23,K2)+SUMIFS('3 Hazed Questions'!$N$2:$N$23,'3 Hazed Questions'!$A$2:$A$23,"Q4",'3 Hazed Questions'!$C$2:$C$23,L2))</f>
        <v>0</v>
      </c>
      <c r="X2" s="11" t="str">
        <f aca="false">IF(COUNTA(I2:L2)=0,"",INDEX(Fields!$B$2:$B$50,MATCH(SUBSTITUTE(INDEX($N$1:$W$1,MATCH(MAX($N2:$W2),$N2:$W2,0)),"Score: ",""),Fields!$A$2:$A$50,0)))</f>
        <v>Medicine &amp; Health</v>
      </c>
      <c r="Y2" s="11" t="str">
        <f aca="true">IF(COUNTA(I2:L2)=0,"",IF(LARGE($N2:$W2,2)=0,"-",INDEX(Fields!$B$2:$B$50,MATCH(SUBSTITUTE(INDEX($N$1:$W$1,IF(LARGE($N2:$W2,2)=MAX($N2:$W2),MATCH(MAX($N2:$W2),OFFSET($N2:$W2,0,MATCH(MAX($N2:$W2),$N2:$W2,0),1,10-MATCH(MAX($N2:$W2),$N2:$W2,0)),0)+MATCH(MAX($N2:$W2),$N2:$W2,0),MATCH(LARGE($N2:$W2,2),$N2:$W2,0))),"Score: ",""),Fields!$A$2:$A$50,0))))</f>
        <v>Education</v>
      </c>
      <c r="Z2" s="11" t="str">
        <f aca="false">IF(M2="","",IFERROR(INDEX('3 Hazed Questions'!$O$2:$O$23,MATCH(1,INDEX(('3 Hazed Questions'!$A$2:$A$23="Q5")*('3 Hazed Questions'!$C$2:$C$23=M2),0),0))&amp;"",""))</f>
        <v>Degree</v>
      </c>
      <c r="AA2" s="9" t="s">
        <v>329</v>
      </c>
      <c r="AB2" s="9" t="s">
        <v>330</v>
      </c>
      <c r="AC2" s="13" t="n">
        <v>46305</v>
      </c>
      <c r="AD2" s="13"/>
      <c r="AE2" s="9"/>
      <c r="AF2" s="9"/>
      <c r="AG2" s="9"/>
    </row>
    <row r="3" customFormat="false" ht="15" hidden="false" customHeight="false" outlineLevel="0" collapsed="false">
      <c r="A3" s="18"/>
      <c r="B3" s="19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4" t="str">
        <f aca="false">IF(COUNTA(I3:L3)=0,"",SUMIFS('3 Hazed Questions'!$E$2:$E$23,'3 Hazed Questions'!$A$2:$A$23,"Q1",'3 Hazed Questions'!$C$2:$C$23,I3)+SUMIFS('3 Hazed Questions'!$E$2:$E$23,'3 Hazed Questions'!$A$2:$A$23,"Q2",'3 Hazed Questions'!$C$2:$C$23,J3)+SUMIFS('3 Hazed Questions'!$E$2:$E$23,'3 Hazed Questions'!$A$2:$A$23,"Q3",'3 Hazed Questions'!$C$2:$C$23,K3)+SUMIFS('3 Hazed Questions'!$E$2:$E$23,'3 Hazed Questions'!$A$2:$A$23,"Q4",'3 Hazed Questions'!$C$2:$C$23,L3))</f>
        <v/>
      </c>
      <c r="O3" s="14" t="str">
        <f aca="false">IF(COUNTA(I3:L3)=0,"",SUMIFS('3 Hazed Questions'!$F$2:$F$23,'3 Hazed Questions'!$A$2:$A$23,"Q1",'3 Hazed Questions'!$C$2:$C$23,I3)+SUMIFS('3 Hazed Questions'!$F$2:$F$23,'3 Hazed Questions'!$A$2:$A$23,"Q2",'3 Hazed Questions'!$C$2:$C$23,J3)+SUMIFS('3 Hazed Questions'!$F$2:$F$23,'3 Hazed Questions'!$A$2:$A$23,"Q3",'3 Hazed Questions'!$C$2:$C$23,K3)+SUMIFS('3 Hazed Questions'!$F$2:$F$23,'3 Hazed Questions'!$A$2:$A$23,"Q4",'3 Hazed Questions'!$C$2:$C$23,L3))</f>
        <v/>
      </c>
      <c r="P3" s="14" t="str">
        <f aca="false">IF(COUNTA(I3:L3)=0,"",SUMIFS('3 Hazed Questions'!$G$2:$G$23,'3 Hazed Questions'!$A$2:$A$23,"Q1",'3 Hazed Questions'!$C$2:$C$23,I3)+SUMIFS('3 Hazed Questions'!$G$2:$G$23,'3 Hazed Questions'!$A$2:$A$23,"Q2",'3 Hazed Questions'!$C$2:$C$23,J3)+SUMIFS('3 Hazed Questions'!$G$2:$G$23,'3 Hazed Questions'!$A$2:$A$23,"Q3",'3 Hazed Questions'!$C$2:$C$23,K3)+SUMIFS('3 Hazed Questions'!$G$2:$G$23,'3 Hazed Questions'!$A$2:$A$23,"Q4",'3 Hazed Questions'!$C$2:$C$23,L3))</f>
        <v/>
      </c>
      <c r="Q3" s="14" t="str">
        <f aca="false">IF(COUNTA(I3:L3)=0,"",SUMIFS('3 Hazed Questions'!$H$2:$H$23,'3 Hazed Questions'!$A$2:$A$23,"Q1",'3 Hazed Questions'!$C$2:$C$23,I3)+SUMIFS('3 Hazed Questions'!$H$2:$H$23,'3 Hazed Questions'!$A$2:$A$23,"Q2",'3 Hazed Questions'!$C$2:$C$23,J3)+SUMIFS('3 Hazed Questions'!$H$2:$H$23,'3 Hazed Questions'!$A$2:$A$23,"Q3",'3 Hazed Questions'!$C$2:$C$23,K3)+SUMIFS('3 Hazed Questions'!$H$2:$H$23,'3 Hazed Questions'!$A$2:$A$23,"Q4",'3 Hazed Questions'!$C$2:$C$23,L3))</f>
        <v/>
      </c>
      <c r="R3" s="14" t="str">
        <f aca="false">IF(COUNTA(I3:L3)=0,"",SUMIFS('3 Hazed Questions'!$I$2:$I$23,'3 Hazed Questions'!$A$2:$A$23,"Q1",'3 Hazed Questions'!$C$2:$C$23,I3)+SUMIFS('3 Hazed Questions'!$I$2:$I$23,'3 Hazed Questions'!$A$2:$A$23,"Q2",'3 Hazed Questions'!$C$2:$C$23,J3)+SUMIFS('3 Hazed Questions'!$I$2:$I$23,'3 Hazed Questions'!$A$2:$A$23,"Q3",'3 Hazed Questions'!$C$2:$C$23,K3)+SUMIFS('3 Hazed Questions'!$I$2:$I$23,'3 Hazed Questions'!$A$2:$A$23,"Q4",'3 Hazed Questions'!$C$2:$C$23,L3))</f>
        <v/>
      </c>
      <c r="S3" s="14" t="str">
        <f aca="false">IF(COUNTA(I3:L3)=0,"",SUMIFS('3 Hazed Questions'!$J$2:$J$23,'3 Hazed Questions'!$A$2:$A$23,"Q1",'3 Hazed Questions'!$C$2:$C$23,I3)+SUMIFS('3 Hazed Questions'!$J$2:$J$23,'3 Hazed Questions'!$A$2:$A$23,"Q2",'3 Hazed Questions'!$C$2:$C$23,J3)+SUMIFS('3 Hazed Questions'!$J$2:$J$23,'3 Hazed Questions'!$A$2:$A$23,"Q3",'3 Hazed Questions'!$C$2:$C$23,K3)+SUMIFS('3 Hazed Questions'!$J$2:$J$23,'3 Hazed Questions'!$A$2:$A$23,"Q4",'3 Hazed Questions'!$C$2:$C$23,L3))</f>
        <v/>
      </c>
      <c r="T3" s="14" t="str">
        <f aca="false">IF(COUNTA(I3:L3)=0,"",SUMIFS('3 Hazed Questions'!$K$2:$K$23,'3 Hazed Questions'!$A$2:$A$23,"Q1",'3 Hazed Questions'!$C$2:$C$23,I3)+SUMIFS('3 Hazed Questions'!$K$2:$K$23,'3 Hazed Questions'!$A$2:$A$23,"Q2",'3 Hazed Questions'!$C$2:$C$23,J3)+SUMIFS('3 Hazed Questions'!$K$2:$K$23,'3 Hazed Questions'!$A$2:$A$23,"Q3",'3 Hazed Questions'!$C$2:$C$23,K3)+SUMIFS('3 Hazed Questions'!$K$2:$K$23,'3 Hazed Questions'!$A$2:$A$23,"Q4",'3 Hazed Questions'!$C$2:$C$23,L3))</f>
        <v/>
      </c>
      <c r="U3" s="14" t="str">
        <f aca="false">IF(COUNTA(I3:L3)=0,"",SUMIFS('3 Hazed Questions'!$L$2:$L$23,'3 Hazed Questions'!$A$2:$A$23,"Q1",'3 Hazed Questions'!$C$2:$C$23,I3)+SUMIFS('3 Hazed Questions'!$L$2:$L$23,'3 Hazed Questions'!$A$2:$A$23,"Q2",'3 Hazed Questions'!$C$2:$C$23,J3)+SUMIFS('3 Hazed Questions'!$L$2:$L$23,'3 Hazed Questions'!$A$2:$A$23,"Q3",'3 Hazed Questions'!$C$2:$C$23,K3)+SUMIFS('3 Hazed Questions'!$L$2:$L$23,'3 Hazed Questions'!$A$2:$A$23,"Q4",'3 Hazed Questions'!$C$2:$C$23,L3))</f>
        <v/>
      </c>
      <c r="V3" s="14" t="str">
        <f aca="false">IF(COUNTA(I3:L3)=0,"",SUMIFS('3 Hazed Questions'!$M$2:$M$23,'3 Hazed Questions'!$A$2:$A$23,"Q1",'3 Hazed Questions'!$C$2:$C$23,I3)+SUMIFS('3 Hazed Questions'!$M$2:$M$23,'3 Hazed Questions'!$A$2:$A$23,"Q2",'3 Hazed Questions'!$C$2:$C$23,J3)+SUMIFS('3 Hazed Questions'!$M$2:$M$23,'3 Hazed Questions'!$A$2:$A$23,"Q3",'3 Hazed Questions'!$C$2:$C$23,K3)+SUMIFS('3 Hazed Questions'!$M$2:$M$23,'3 Hazed Questions'!$A$2:$A$23,"Q4",'3 Hazed Questions'!$C$2:$C$23,L3))</f>
        <v/>
      </c>
      <c r="W3" s="14" t="str">
        <f aca="false">IF(COUNTA(I3:L3)=0,"",SUMIFS('3 Hazed Questions'!$N$2:$N$23,'3 Hazed Questions'!$A$2:$A$23,"Q1",'3 Hazed Questions'!$C$2:$C$23,I3)+SUMIFS('3 Hazed Questions'!$N$2:$N$23,'3 Hazed Questions'!$A$2:$A$23,"Q2",'3 Hazed Questions'!$C$2:$C$23,J3)+SUMIFS('3 Hazed Questions'!$N$2:$N$23,'3 Hazed Questions'!$A$2:$A$23,"Q3",'3 Hazed Questions'!$C$2:$C$23,K3)+SUMIFS('3 Hazed Questions'!$N$2:$N$23,'3 Hazed Questions'!$A$2:$A$23,"Q4",'3 Hazed Questions'!$C$2:$C$23,L3))</f>
        <v/>
      </c>
      <c r="X3" s="14" t="str">
        <f aca="false">IF(COUNTA(I3:L3)=0,"",INDEX(Fields!$B$2:$B$50,MATCH(SUBSTITUTE(INDEX($N$1:$W$1,MATCH(MAX($N3:$W3),$N3:$W3,0)),"Score: ",""),Fields!$A$2:$A$50,0)))</f>
        <v/>
      </c>
      <c r="Y3" s="14" t="str">
        <f aca="true">IF(COUNTA(I3:L3)=0,"",IF(LARGE($N3:$W3,2)=0,"-",INDEX(Fields!$B$2:$B$50,MATCH(SUBSTITUTE(INDEX($N$1:$W$1,IF(LARGE($N3:$W3,2)=MAX($N3:$W3),MATCH(MAX($N3:$W3),OFFSET($N3:$W3,0,MATCH(MAX($N3:$W3),$N3:$W3,0),1,10-MATCH(MAX($N3:$W3),$N3:$W3,0)),0)+MATCH(MAX($N3:$W3),$N3:$W3,0),MATCH(LARGE($N3:$W3,2),$N3:$W3,0))),"Score: ",""),Fields!$A$2:$A$50,0))))</f>
        <v/>
      </c>
      <c r="Z3" s="14" t="str">
        <f aca="false">IF(M3="","",IFERROR(INDEX('3 Hazed Questions'!$O$2:$O$23,MATCH(1,INDEX(('3 Hazed Questions'!$A$2:$A$23="Q5")*('3 Hazed Questions'!$C$2:$C$23=M3),0),0))&amp;"",""))</f>
        <v/>
      </c>
      <c r="AA3" s="18"/>
      <c r="AB3" s="18"/>
      <c r="AC3" s="19"/>
      <c r="AD3" s="19"/>
      <c r="AE3" s="18"/>
      <c r="AF3" s="18"/>
      <c r="AG3" s="18"/>
    </row>
    <row r="4" customFormat="false" ht="15" hidden="false" customHeight="false" outlineLevel="0" collapsed="false">
      <c r="A4" s="18"/>
      <c r="B4" s="19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4" t="str">
        <f aca="false">IF(COUNTA(I4:L4)=0,"",SUMIFS('3 Hazed Questions'!$E$2:$E$23,'3 Hazed Questions'!$A$2:$A$23,"Q1",'3 Hazed Questions'!$C$2:$C$23,I4)+SUMIFS('3 Hazed Questions'!$E$2:$E$23,'3 Hazed Questions'!$A$2:$A$23,"Q2",'3 Hazed Questions'!$C$2:$C$23,J4)+SUMIFS('3 Hazed Questions'!$E$2:$E$23,'3 Hazed Questions'!$A$2:$A$23,"Q3",'3 Hazed Questions'!$C$2:$C$23,K4)+SUMIFS('3 Hazed Questions'!$E$2:$E$23,'3 Hazed Questions'!$A$2:$A$23,"Q4",'3 Hazed Questions'!$C$2:$C$23,L4))</f>
        <v/>
      </c>
      <c r="O4" s="14" t="str">
        <f aca="false">IF(COUNTA(I4:L4)=0,"",SUMIFS('3 Hazed Questions'!$F$2:$F$23,'3 Hazed Questions'!$A$2:$A$23,"Q1",'3 Hazed Questions'!$C$2:$C$23,I4)+SUMIFS('3 Hazed Questions'!$F$2:$F$23,'3 Hazed Questions'!$A$2:$A$23,"Q2",'3 Hazed Questions'!$C$2:$C$23,J4)+SUMIFS('3 Hazed Questions'!$F$2:$F$23,'3 Hazed Questions'!$A$2:$A$23,"Q3",'3 Hazed Questions'!$C$2:$C$23,K4)+SUMIFS('3 Hazed Questions'!$F$2:$F$23,'3 Hazed Questions'!$A$2:$A$23,"Q4",'3 Hazed Questions'!$C$2:$C$23,L4))</f>
        <v/>
      </c>
      <c r="P4" s="14" t="str">
        <f aca="false">IF(COUNTA(I4:L4)=0,"",SUMIFS('3 Hazed Questions'!$G$2:$G$23,'3 Hazed Questions'!$A$2:$A$23,"Q1",'3 Hazed Questions'!$C$2:$C$23,I4)+SUMIFS('3 Hazed Questions'!$G$2:$G$23,'3 Hazed Questions'!$A$2:$A$23,"Q2",'3 Hazed Questions'!$C$2:$C$23,J4)+SUMIFS('3 Hazed Questions'!$G$2:$G$23,'3 Hazed Questions'!$A$2:$A$23,"Q3",'3 Hazed Questions'!$C$2:$C$23,K4)+SUMIFS('3 Hazed Questions'!$G$2:$G$23,'3 Hazed Questions'!$A$2:$A$23,"Q4",'3 Hazed Questions'!$C$2:$C$23,L4))</f>
        <v/>
      </c>
      <c r="Q4" s="14" t="str">
        <f aca="false">IF(COUNTA(I4:L4)=0,"",SUMIFS('3 Hazed Questions'!$H$2:$H$23,'3 Hazed Questions'!$A$2:$A$23,"Q1",'3 Hazed Questions'!$C$2:$C$23,I4)+SUMIFS('3 Hazed Questions'!$H$2:$H$23,'3 Hazed Questions'!$A$2:$A$23,"Q2",'3 Hazed Questions'!$C$2:$C$23,J4)+SUMIFS('3 Hazed Questions'!$H$2:$H$23,'3 Hazed Questions'!$A$2:$A$23,"Q3",'3 Hazed Questions'!$C$2:$C$23,K4)+SUMIFS('3 Hazed Questions'!$H$2:$H$23,'3 Hazed Questions'!$A$2:$A$23,"Q4",'3 Hazed Questions'!$C$2:$C$23,L4))</f>
        <v/>
      </c>
      <c r="R4" s="14" t="str">
        <f aca="false">IF(COUNTA(I4:L4)=0,"",SUMIFS('3 Hazed Questions'!$I$2:$I$23,'3 Hazed Questions'!$A$2:$A$23,"Q1",'3 Hazed Questions'!$C$2:$C$23,I4)+SUMIFS('3 Hazed Questions'!$I$2:$I$23,'3 Hazed Questions'!$A$2:$A$23,"Q2",'3 Hazed Questions'!$C$2:$C$23,J4)+SUMIFS('3 Hazed Questions'!$I$2:$I$23,'3 Hazed Questions'!$A$2:$A$23,"Q3",'3 Hazed Questions'!$C$2:$C$23,K4)+SUMIFS('3 Hazed Questions'!$I$2:$I$23,'3 Hazed Questions'!$A$2:$A$23,"Q4",'3 Hazed Questions'!$C$2:$C$23,L4))</f>
        <v/>
      </c>
      <c r="S4" s="14" t="str">
        <f aca="false">IF(COUNTA(I4:L4)=0,"",SUMIFS('3 Hazed Questions'!$J$2:$J$23,'3 Hazed Questions'!$A$2:$A$23,"Q1",'3 Hazed Questions'!$C$2:$C$23,I4)+SUMIFS('3 Hazed Questions'!$J$2:$J$23,'3 Hazed Questions'!$A$2:$A$23,"Q2",'3 Hazed Questions'!$C$2:$C$23,J4)+SUMIFS('3 Hazed Questions'!$J$2:$J$23,'3 Hazed Questions'!$A$2:$A$23,"Q3",'3 Hazed Questions'!$C$2:$C$23,K4)+SUMIFS('3 Hazed Questions'!$J$2:$J$23,'3 Hazed Questions'!$A$2:$A$23,"Q4",'3 Hazed Questions'!$C$2:$C$23,L4))</f>
        <v/>
      </c>
      <c r="T4" s="14" t="str">
        <f aca="false">IF(COUNTA(I4:L4)=0,"",SUMIFS('3 Hazed Questions'!$K$2:$K$23,'3 Hazed Questions'!$A$2:$A$23,"Q1",'3 Hazed Questions'!$C$2:$C$23,I4)+SUMIFS('3 Hazed Questions'!$K$2:$K$23,'3 Hazed Questions'!$A$2:$A$23,"Q2",'3 Hazed Questions'!$C$2:$C$23,J4)+SUMIFS('3 Hazed Questions'!$K$2:$K$23,'3 Hazed Questions'!$A$2:$A$23,"Q3",'3 Hazed Questions'!$C$2:$C$23,K4)+SUMIFS('3 Hazed Questions'!$K$2:$K$23,'3 Hazed Questions'!$A$2:$A$23,"Q4",'3 Hazed Questions'!$C$2:$C$23,L4))</f>
        <v/>
      </c>
      <c r="U4" s="14" t="str">
        <f aca="false">IF(COUNTA(I4:L4)=0,"",SUMIFS('3 Hazed Questions'!$L$2:$L$23,'3 Hazed Questions'!$A$2:$A$23,"Q1",'3 Hazed Questions'!$C$2:$C$23,I4)+SUMIFS('3 Hazed Questions'!$L$2:$L$23,'3 Hazed Questions'!$A$2:$A$23,"Q2",'3 Hazed Questions'!$C$2:$C$23,J4)+SUMIFS('3 Hazed Questions'!$L$2:$L$23,'3 Hazed Questions'!$A$2:$A$23,"Q3",'3 Hazed Questions'!$C$2:$C$23,K4)+SUMIFS('3 Hazed Questions'!$L$2:$L$23,'3 Hazed Questions'!$A$2:$A$23,"Q4",'3 Hazed Questions'!$C$2:$C$23,L4))</f>
        <v/>
      </c>
      <c r="V4" s="14" t="str">
        <f aca="false">IF(COUNTA(I4:L4)=0,"",SUMIFS('3 Hazed Questions'!$M$2:$M$23,'3 Hazed Questions'!$A$2:$A$23,"Q1",'3 Hazed Questions'!$C$2:$C$23,I4)+SUMIFS('3 Hazed Questions'!$M$2:$M$23,'3 Hazed Questions'!$A$2:$A$23,"Q2",'3 Hazed Questions'!$C$2:$C$23,J4)+SUMIFS('3 Hazed Questions'!$M$2:$M$23,'3 Hazed Questions'!$A$2:$A$23,"Q3",'3 Hazed Questions'!$C$2:$C$23,K4)+SUMIFS('3 Hazed Questions'!$M$2:$M$23,'3 Hazed Questions'!$A$2:$A$23,"Q4",'3 Hazed Questions'!$C$2:$C$23,L4))</f>
        <v/>
      </c>
      <c r="W4" s="14" t="str">
        <f aca="false">IF(COUNTA(I4:L4)=0,"",SUMIFS('3 Hazed Questions'!$N$2:$N$23,'3 Hazed Questions'!$A$2:$A$23,"Q1",'3 Hazed Questions'!$C$2:$C$23,I4)+SUMIFS('3 Hazed Questions'!$N$2:$N$23,'3 Hazed Questions'!$A$2:$A$23,"Q2",'3 Hazed Questions'!$C$2:$C$23,J4)+SUMIFS('3 Hazed Questions'!$N$2:$N$23,'3 Hazed Questions'!$A$2:$A$23,"Q3",'3 Hazed Questions'!$C$2:$C$23,K4)+SUMIFS('3 Hazed Questions'!$N$2:$N$23,'3 Hazed Questions'!$A$2:$A$23,"Q4",'3 Hazed Questions'!$C$2:$C$23,L4))</f>
        <v/>
      </c>
      <c r="X4" s="14" t="str">
        <f aca="false">IF(COUNTA(I4:L4)=0,"",INDEX(Fields!$B$2:$B$50,MATCH(SUBSTITUTE(INDEX($N$1:$W$1,MATCH(MAX($N4:$W4),$N4:$W4,0)),"Score: ",""),Fields!$A$2:$A$50,0)))</f>
        <v/>
      </c>
      <c r="Y4" s="14" t="str">
        <f aca="true">IF(COUNTA(I4:L4)=0,"",IF(LARGE($N4:$W4,2)=0,"-",INDEX(Fields!$B$2:$B$50,MATCH(SUBSTITUTE(INDEX($N$1:$W$1,IF(LARGE($N4:$W4,2)=MAX($N4:$W4),MATCH(MAX($N4:$W4),OFFSET($N4:$W4,0,MATCH(MAX($N4:$W4),$N4:$W4,0),1,10-MATCH(MAX($N4:$W4),$N4:$W4,0)),0)+MATCH(MAX($N4:$W4),$N4:$W4,0),MATCH(LARGE($N4:$W4,2),$N4:$W4,0))),"Score: ",""),Fields!$A$2:$A$50,0))))</f>
        <v/>
      </c>
      <c r="Z4" s="14" t="str">
        <f aca="false">IF(M4="","",IFERROR(INDEX('3 Hazed Questions'!$O$2:$O$23,MATCH(1,INDEX(('3 Hazed Questions'!$A$2:$A$23="Q5")*('3 Hazed Questions'!$C$2:$C$23=M4),0),0))&amp;"",""))</f>
        <v/>
      </c>
      <c r="AA4" s="18"/>
      <c r="AB4" s="18"/>
      <c r="AC4" s="19"/>
      <c r="AD4" s="19"/>
      <c r="AE4" s="18"/>
      <c r="AF4" s="18"/>
      <c r="AG4" s="18"/>
    </row>
    <row r="5" customFormat="false" ht="15" hidden="false" customHeight="false" outlineLevel="0" collapsed="false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4" t="str">
        <f aca="false">IF(COUNTA(I5:L5)=0,"",SUMIFS('3 Hazed Questions'!$E$2:$E$23,'3 Hazed Questions'!$A$2:$A$23,"Q1",'3 Hazed Questions'!$C$2:$C$23,I5)+SUMIFS('3 Hazed Questions'!$E$2:$E$23,'3 Hazed Questions'!$A$2:$A$23,"Q2",'3 Hazed Questions'!$C$2:$C$23,J5)+SUMIFS('3 Hazed Questions'!$E$2:$E$23,'3 Hazed Questions'!$A$2:$A$23,"Q3",'3 Hazed Questions'!$C$2:$C$23,K5)+SUMIFS('3 Hazed Questions'!$E$2:$E$23,'3 Hazed Questions'!$A$2:$A$23,"Q4",'3 Hazed Questions'!$C$2:$C$23,L5))</f>
        <v/>
      </c>
      <c r="O5" s="14" t="str">
        <f aca="false">IF(COUNTA(I5:L5)=0,"",SUMIFS('3 Hazed Questions'!$F$2:$F$23,'3 Hazed Questions'!$A$2:$A$23,"Q1",'3 Hazed Questions'!$C$2:$C$23,I5)+SUMIFS('3 Hazed Questions'!$F$2:$F$23,'3 Hazed Questions'!$A$2:$A$23,"Q2",'3 Hazed Questions'!$C$2:$C$23,J5)+SUMIFS('3 Hazed Questions'!$F$2:$F$23,'3 Hazed Questions'!$A$2:$A$23,"Q3",'3 Hazed Questions'!$C$2:$C$23,K5)+SUMIFS('3 Hazed Questions'!$F$2:$F$23,'3 Hazed Questions'!$A$2:$A$23,"Q4",'3 Hazed Questions'!$C$2:$C$23,L5))</f>
        <v/>
      </c>
      <c r="P5" s="14" t="str">
        <f aca="false">IF(COUNTA(I5:L5)=0,"",SUMIFS('3 Hazed Questions'!$G$2:$G$23,'3 Hazed Questions'!$A$2:$A$23,"Q1",'3 Hazed Questions'!$C$2:$C$23,I5)+SUMIFS('3 Hazed Questions'!$G$2:$G$23,'3 Hazed Questions'!$A$2:$A$23,"Q2",'3 Hazed Questions'!$C$2:$C$23,J5)+SUMIFS('3 Hazed Questions'!$G$2:$G$23,'3 Hazed Questions'!$A$2:$A$23,"Q3",'3 Hazed Questions'!$C$2:$C$23,K5)+SUMIFS('3 Hazed Questions'!$G$2:$G$23,'3 Hazed Questions'!$A$2:$A$23,"Q4",'3 Hazed Questions'!$C$2:$C$23,L5))</f>
        <v/>
      </c>
      <c r="Q5" s="14" t="str">
        <f aca="false">IF(COUNTA(I5:L5)=0,"",SUMIFS('3 Hazed Questions'!$H$2:$H$23,'3 Hazed Questions'!$A$2:$A$23,"Q1",'3 Hazed Questions'!$C$2:$C$23,I5)+SUMIFS('3 Hazed Questions'!$H$2:$H$23,'3 Hazed Questions'!$A$2:$A$23,"Q2",'3 Hazed Questions'!$C$2:$C$23,J5)+SUMIFS('3 Hazed Questions'!$H$2:$H$23,'3 Hazed Questions'!$A$2:$A$23,"Q3",'3 Hazed Questions'!$C$2:$C$23,K5)+SUMIFS('3 Hazed Questions'!$H$2:$H$23,'3 Hazed Questions'!$A$2:$A$23,"Q4",'3 Hazed Questions'!$C$2:$C$23,L5))</f>
        <v/>
      </c>
      <c r="R5" s="14" t="str">
        <f aca="false">IF(COUNTA(I5:L5)=0,"",SUMIFS('3 Hazed Questions'!$I$2:$I$23,'3 Hazed Questions'!$A$2:$A$23,"Q1",'3 Hazed Questions'!$C$2:$C$23,I5)+SUMIFS('3 Hazed Questions'!$I$2:$I$23,'3 Hazed Questions'!$A$2:$A$23,"Q2",'3 Hazed Questions'!$C$2:$C$23,J5)+SUMIFS('3 Hazed Questions'!$I$2:$I$23,'3 Hazed Questions'!$A$2:$A$23,"Q3",'3 Hazed Questions'!$C$2:$C$23,K5)+SUMIFS('3 Hazed Questions'!$I$2:$I$23,'3 Hazed Questions'!$A$2:$A$23,"Q4",'3 Hazed Questions'!$C$2:$C$23,L5))</f>
        <v/>
      </c>
      <c r="S5" s="14" t="str">
        <f aca="false">IF(COUNTA(I5:L5)=0,"",SUMIFS('3 Hazed Questions'!$J$2:$J$23,'3 Hazed Questions'!$A$2:$A$23,"Q1",'3 Hazed Questions'!$C$2:$C$23,I5)+SUMIFS('3 Hazed Questions'!$J$2:$J$23,'3 Hazed Questions'!$A$2:$A$23,"Q2",'3 Hazed Questions'!$C$2:$C$23,J5)+SUMIFS('3 Hazed Questions'!$J$2:$J$23,'3 Hazed Questions'!$A$2:$A$23,"Q3",'3 Hazed Questions'!$C$2:$C$23,K5)+SUMIFS('3 Hazed Questions'!$J$2:$J$23,'3 Hazed Questions'!$A$2:$A$23,"Q4",'3 Hazed Questions'!$C$2:$C$23,L5))</f>
        <v/>
      </c>
      <c r="T5" s="14" t="str">
        <f aca="false">IF(COUNTA(I5:L5)=0,"",SUMIFS('3 Hazed Questions'!$K$2:$K$23,'3 Hazed Questions'!$A$2:$A$23,"Q1",'3 Hazed Questions'!$C$2:$C$23,I5)+SUMIFS('3 Hazed Questions'!$K$2:$K$23,'3 Hazed Questions'!$A$2:$A$23,"Q2",'3 Hazed Questions'!$C$2:$C$23,J5)+SUMIFS('3 Hazed Questions'!$K$2:$K$23,'3 Hazed Questions'!$A$2:$A$23,"Q3",'3 Hazed Questions'!$C$2:$C$23,K5)+SUMIFS('3 Hazed Questions'!$K$2:$K$23,'3 Hazed Questions'!$A$2:$A$23,"Q4",'3 Hazed Questions'!$C$2:$C$23,L5))</f>
        <v/>
      </c>
      <c r="U5" s="14" t="str">
        <f aca="false">IF(COUNTA(I5:L5)=0,"",SUMIFS('3 Hazed Questions'!$L$2:$L$23,'3 Hazed Questions'!$A$2:$A$23,"Q1",'3 Hazed Questions'!$C$2:$C$23,I5)+SUMIFS('3 Hazed Questions'!$L$2:$L$23,'3 Hazed Questions'!$A$2:$A$23,"Q2",'3 Hazed Questions'!$C$2:$C$23,J5)+SUMIFS('3 Hazed Questions'!$L$2:$L$23,'3 Hazed Questions'!$A$2:$A$23,"Q3",'3 Hazed Questions'!$C$2:$C$23,K5)+SUMIFS('3 Hazed Questions'!$L$2:$L$23,'3 Hazed Questions'!$A$2:$A$23,"Q4",'3 Hazed Questions'!$C$2:$C$23,L5))</f>
        <v/>
      </c>
      <c r="V5" s="14" t="str">
        <f aca="false">IF(COUNTA(I5:L5)=0,"",SUMIFS('3 Hazed Questions'!$M$2:$M$23,'3 Hazed Questions'!$A$2:$A$23,"Q1",'3 Hazed Questions'!$C$2:$C$23,I5)+SUMIFS('3 Hazed Questions'!$M$2:$M$23,'3 Hazed Questions'!$A$2:$A$23,"Q2",'3 Hazed Questions'!$C$2:$C$23,J5)+SUMIFS('3 Hazed Questions'!$M$2:$M$23,'3 Hazed Questions'!$A$2:$A$23,"Q3",'3 Hazed Questions'!$C$2:$C$23,K5)+SUMIFS('3 Hazed Questions'!$M$2:$M$23,'3 Hazed Questions'!$A$2:$A$23,"Q4",'3 Hazed Questions'!$C$2:$C$23,L5))</f>
        <v/>
      </c>
      <c r="W5" s="14" t="str">
        <f aca="false">IF(COUNTA(I5:L5)=0,"",SUMIFS('3 Hazed Questions'!$N$2:$N$23,'3 Hazed Questions'!$A$2:$A$23,"Q1",'3 Hazed Questions'!$C$2:$C$23,I5)+SUMIFS('3 Hazed Questions'!$N$2:$N$23,'3 Hazed Questions'!$A$2:$A$23,"Q2",'3 Hazed Questions'!$C$2:$C$23,J5)+SUMIFS('3 Hazed Questions'!$N$2:$N$23,'3 Hazed Questions'!$A$2:$A$23,"Q3",'3 Hazed Questions'!$C$2:$C$23,K5)+SUMIFS('3 Hazed Questions'!$N$2:$N$23,'3 Hazed Questions'!$A$2:$A$23,"Q4",'3 Hazed Questions'!$C$2:$C$23,L5))</f>
        <v/>
      </c>
      <c r="X5" s="14" t="str">
        <f aca="false">IF(COUNTA(I5:L5)=0,"",INDEX(Fields!$B$2:$B$50,MATCH(SUBSTITUTE(INDEX($N$1:$W$1,MATCH(MAX($N5:$W5),$N5:$W5,0)),"Score: ",""),Fields!$A$2:$A$50,0)))</f>
        <v/>
      </c>
      <c r="Y5" s="14" t="str">
        <f aca="true">IF(COUNTA(I5:L5)=0,"",IF(LARGE($N5:$W5,2)=0,"-",INDEX(Fields!$B$2:$B$50,MATCH(SUBSTITUTE(INDEX($N$1:$W$1,IF(LARGE($N5:$W5,2)=MAX($N5:$W5),MATCH(MAX($N5:$W5),OFFSET($N5:$W5,0,MATCH(MAX($N5:$W5),$N5:$W5,0),1,10-MATCH(MAX($N5:$W5),$N5:$W5,0)),0)+MATCH(MAX($N5:$W5),$N5:$W5,0),MATCH(LARGE($N5:$W5,2),$N5:$W5,0))),"Score: ",""),Fields!$A$2:$A$50,0))))</f>
        <v/>
      </c>
      <c r="Z5" s="14" t="str">
        <f aca="false">IF(M5="","",IFERROR(INDEX('3 Hazed Questions'!$O$2:$O$23,MATCH(1,INDEX(('3 Hazed Questions'!$A$2:$A$23="Q5")*('3 Hazed Questions'!$C$2:$C$23=M5),0),0))&amp;"",""))</f>
        <v/>
      </c>
      <c r="AA5" s="18"/>
      <c r="AB5" s="18"/>
      <c r="AC5" s="19"/>
      <c r="AD5" s="19"/>
      <c r="AE5" s="18"/>
      <c r="AF5" s="18"/>
      <c r="AG5" s="18"/>
    </row>
    <row r="6" customFormat="false" ht="15" hidden="false" customHeight="false" outlineLevel="0" collapsed="false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4" t="str">
        <f aca="false">IF(COUNTA(I6:L6)=0,"",SUMIFS('3 Hazed Questions'!$E$2:$E$23,'3 Hazed Questions'!$A$2:$A$23,"Q1",'3 Hazed Questions'!$C$2:$C$23,I6)+SUMIFS('3 Hazed Questions'!$E$2:$E$23,'3 Hazed Questions'!$A$2:$A$23,"Q2",'3 Hazed Questions'!$C$2:$C$23,J6)+SUMIFS('3 Hazed Questions'!$E$2:$E$23,'3 Hazed Questions'!$A$2:$A$23,"Q3",'3 Hazed Questions'!$C$2:$C$23,K6)+SUMIFS('3 Hazed Questions'!$E$2:$E$23,'3 Hazed Questions'!$A$2:$A$23,"Q4",'3 Hazed Questions'!$C$2:$C$23,L6))</f>
        <v/>
      </c>
      <c r="O6" s="14" t="str">
        <f aca="false">IF(COUNTA(I6:L6)=0,"",SUMIFS('3 Hazed Questions'!$F$2:$F$23,'3 Hazed Questions'!$A$2:$A$23,"Q1",'3 Hazed Questions'!$C$2:$C$23,I6)+SUMIFS('3 Hazed Questions'!$F$2:$F$23,'3 Hazed Questions'!$A$2:$A$23,"Q2",'3 Hazed Questions'!$C$2:$C$23,J6)+SUMIFS('3 Hazed Questions'!$F$2:$F$23,'3 Hazed Questions'!$A$2:$A$23,"Q3",'3 Hazed Questions'!$C$2:$C$23,K6)+SUMIFS('3 Hazed Questions'!$F$2:$F$23,'3 Hazed Questions'!$A$2:$A$23,"Q4",'3 Hazed Questions'!$C$2:$C$23,L6))</f>
        <v/>
      </c>
      <c r="P6" s="14" t="str">
        <f aca="false">IF(COUNTA(I6:L6)=0,"",SUMIFS('3 Hazed Questions'!$G$2:$G$23,'3 Hazed Questions'!$A$2:$A$23,"Q1",'3 Hazed Questions'!$C$2:$C$23,I6)+SUMIFS('3 Hazed Questions'!$G$2:$G$23,'3 Hazed Questions'!$A$2:$A$23,"Q2",'3 Hazed Questions'!$C$2:$C$23,J6)+SUMIFS('3 Hazed Questions'!$G$2:$G$23,'3 Hazed Questions'!$A$2:$A$23,"Q3",'3 Hazed Questions'!$C$2:$C$23,K6)+SUMIFS('3 Hazed Questions'!$G$2:$G$23,'3 Hazed Questions'!$A$2:$A$23,"Q4",'3 Hazed Questions'!$C$2:$C$23,L6))</f>
        <v/>
      </c>
      <c r="Q6" s="14" t="str">
        <f aca="false">IF(COUNTA(I6:L6)=0,"",SUMIFS('3 Hazed Questions'!$H$2:$H$23,'3 Hazed Questions'!$A$2:$A$23,"Q1",'3 Hazed Questions'!$C$2:$C$23,I6)+SUMIFS('3 Hazed Questions'!$H$2:$H$23,'3 Hazed Questions'!$A$2:$A$23,"Q2",'3 Hazed Questions'!$C$2:$C$23,J6)+SUMIFS('3 Hazed Questions'!$H$2:$H$23,'3 Hazed Questions'!$A$2:$A$23,"Q3",'3 Hazed Questions'!$C$2:$C$23,K6)+SUMIFS('3 Hazed Questions'!$H$2:$H$23,'3 Hazed Questions'!$A$2:$A$23,"Q4",'3 Hazed Questions'!$C$2:$C$23,L6))</f>
        <v/>
      </c>
      <c r="R6" s="14" t="str">
        <f aca="false">IF(COUNTA(I6:L6)=0,"",SUMIFS('3 Hazed Questions'!$I$2:$I$23,'3 Hazed Questions'!$A$2:$A$23,"Q1",'3 Hazed Questions'!$C$2:$C$23,I6)+SUMIFS('3 Hazed Questions'!$I$2:$I$23,'3 Hazed Questions'!$A$2:$A$23,"Q2",'3 Hazed Questions'!$C$2:$C$23,J6)+SUMIFS('3 Hazed Questions'!$I$2:$I$23,'3 Hazed Questions'!$A$2:$A$23,"Q3",'3 Hazed Questions'!$C$2:$C$23,K6)+SUMIFS('3 Hazed Questions'!$I$2:$I$23,'3 Hazed Questions'!$A$2:$A$23,"Q4",'3 Hazed Questions'!$C$2:$C$23,L6))</f>
        <v/>
      </c>
      <c r="S6" s="14" t="str">
        <f aca="false">IF(COUNTA(I6:L6)=0,"",SUMIFS('3 Hazed Questions'!$J$2:$J$23,'3 Hazed Questions'!$A$2:$A$23,"Q1",'3 Hazed Questions'!$C$2:$C$23,I6)+SUMIFS('3 Hazed Questions'!$J$2:$J$23,'3 Hazed Questions'!$A$2:$A$23,"Q2",'3 Hazed Questions'!$C$2:$C$23,J6)+SUMIFS('3 Hazed Questions'!$J$2:$J$23,'3 Hazed Questions'!$A$2:$A$23,"Q3",'3 Hazed Questions'!$C$2:$C$23,K6)+SUMIFS('3 Hazed Questions'!$J$2:$J$23,'3 Hazed Questions'!$A$2:$A$23,"Q4",'3 Hazed Questions'!$C$2:$C$23,L6))</f>
        <v/>
      </c>
      <c r="T6" s="14" t="str">
        <f aca="false">IF(COUNTA(I6:L6)=0,"",SUMIFS('3 Hazed Questions'!$K$2:$K$23,'3 Hazed Questions'!$A$2:$A$23,"Q1",'3 Hazed Questions'!$C$2:$C$23,I6)+SUMIFS('3 Hazed Questions'!$K$2:$K$23,'3 Hazed Questions'!$A$2:$A$23,"Q2",'3 Hazed Questions'!$C$2:$C$23,J6)+SUMIFS('3 Hazed Questions'!$K$2:$K$23,'3 Hazed Questions'!$A$2:$A$23,"Q3",'3 Hazed Questions'!$C$2:$C$23,K6)+SUMIFS('3 Hazed Questions'!$K$2:$K$23,'3 Hazed Questions'!$A$2:$A$23,"Q4",'3 Hazed Questions'!$C$2:$C$23,L6))</f>
        <v/>
      </c>
      <c r="U6" s="14" t="str">
        <f aca="false">IF(COUNTA(I6:L6)=0,"",SUMIFS('3 Hazed Questions'!$L$2:$L$23,'3 Hazed Questions'!$A$2:$A$23,"Q1",'3 Hazed Questions'!$C$2:$C$23,I6)+SUMIFS('3 Hazed Questions'!$L$2:$L$23,'3 Hazed Questions'!$A$2:$A$23,"Q2",'3 Hazed Questions'!$C$2:$C$23,J6)+SUMIFS('3 Hazed Questions'!$L$2:$L$23,'3 Hazed Questions'!$A$2:$A$23,"Q3",'3 Hazed Questions'!$C$2:$C$23,K6)+SUMIFS('3 Hazed Questions'!$L$2:$L$23,'3 Hazed Questions'!$A$2:$A$23,"Q4",'3 Hazed Questions'!$C$2:$C$23,L6))</f>
        <v/>
      </c>
      <c r="V6" s="14" t="str">
        <f aca="false">IF(COUNTA(I6:L6)=0,"",SUMIFS('3 Hazed Questions'!$M$2:$M$23,'3 Hazed Questions'!$A$2:$A$23,"Q1",'3 Hazed Questions'!$C$2:$C$23,I6)+SUMIFS('3 Hazed Questions'!$M$2:$M$23,'3 Hazed Questions'!$A$2:$A$23,"Q2",'3 Hazed Questions'!$C$2:$C$23,J6)+SUMIFS('3 Hazed Questions'!$M$2:$M$23,'3 Hazed Questions'!$A$2:$A$23,"Q3",'3 Hazed Questions'!$C$2:$C$23,K6)+SUMIFS('3 Hazed Questions'!$M$2:$M$23,'3 Hazed Questions'!$A$2:$A$23,"Q4",'3 Hazed Questions'!$C$2:$C$23,L6))</f>
        <v/>
      </c>
      <c r="W6" s="14" t="str">
        <f aca="false">IF(COUNTA(I6:L6)=0,"",SUMIFS('3 Hazed Questions'!$N$2:$N$23,'3 Hazed Questions'!$A$2:$A$23,"Q1",'3 Hazed Questions'!$C$2:$C$23,I6)+SUMIFS('3 Hazed Questions'!$N$2:$N$23,'3 Hazed Questions'!$A$2:$A$23,"Q2",'3 Hazed Questions'!$C$2:$C$23,J6)+SUMIFS('3 Hazed Questions'!$N$2:$N$23,'3 Hazed Questions'!$A$2:$A$23,"Q3",'3 Hazed Questions'!$C$2:$C$23,K6)+SUMIFS('3 Hazed Questions'!$N$2:$N$23,'3 Hazed Questions'!$A$2:$A$23,"Q4",'3 Hazed Questions'!$C$2:$C$23,L6))</f>
        <v/>
      </c>
      <c r="X6" s="14" t="str">
        <f aca="false">IF(COUNTA(I6:L6)=0,"",INDEX(Fields!$B$2:$B$50,MATCH(SUBSTITUTE(INDEX($N$1:$W$1,MATCH(MAX($N6:$W6),$N6:$W6,0)),"Score: ",""),Fields!$A$2:$A$50,0)))</f>
        <v/>
      </c>
      <c r="Y6" s="14" t="str">
        <f aca="true">IF(COUNTA(I6:L6)=0,"",IF(LARGE($N6:$W6,2)=0,"-",INDEX(Fields!$B$2:$B$50,MATCH(SUBSTITUTE(INDEX($N$1:$W$1,IF(LARGE($N6:$W6,2)=MAX($N6:$W6),MATCH(MAX($N6:$W6),OFFSET($N6:$W6,0,MATCH(MAX($N6:$W6),$N6:$W6,0),1,10-MATCH(MAX($N6:$W6),$N6:$W6,0)),0)+MATCH(MAX($N6:$W6),$N6:$W6,0),MATCH(LARGE($N6:$W6,2),$N6:$W6,0))),"Score: ",""),Fields!$A$2:$A$50,0))))</f>
        <v/>
      </c>
      <c r="Z6" s="14" t="str">
        <f aca="false">IF(M6="","",IFERROR(INDEX('3 Hazed Questions'!$O$2:$O$23,MATCH(1,INDEX(('3 Hazed Questions'!$A$2:$A$23="Q5")*('3 Hazed Questions'!$C$2:$C$23=M6),0),0))&amp;"",""))</f>
        <v/>
      </c>
      <c r="AA6" s="18"/>
      <c r="AB6" s="18"/>
      <c r="AC6" s="19"/>
      <c r="AD6" s="19"/>
      <c r="AE6" s="18"/>
      <c r="AF6" s="18"/>
      <c r="AG6" s="18"/>
    </row>
    <row r="7" customFormat="false" ht="15" hidden="false" customHeight="false" outlineLevel="0" collapsed="false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4" t="str">
        <f aca="false">IF(COUNTA(I7:L7)=0,"",SUMIFS('3 Hazed Questions'!$E$2:$E$23,'3 Hazed Questions'!$A$2:$A$23,"Q1",'3 Hazed Questions'!$C$2:$C$23,I7)+SUMIFS('3 Hazed Questions'!$E$2:$E$23,'3 Hazed Questions'!$A$2:$A$23,"Q2",'3 Hazed Questions'!$C$2:$C$23,J7)+SUMIFS('3 Hazed Questions'!$E$2:$E$23,'3 Hazed Questions'!$A$2:$A$23,"Q3",'3 Hazed Questions'!$C$2:$C$23,K7)+SUMIFS('3 Hazed Questions'!$E$2:$E$23,'3 Hazed Questions'!$A$2:$A$23,"Q4",'3 Hazed Questions'!$C$2:$C$23,L7))</f>
        <v/>
      </c>
      <c r="O7" s="14" t="str">
        <f aca="false">IF(COUNTA(I7:L7)=0,"",SUMIFS('3 Hazed Questions'!$F$2:$F$23,'3 Hazed Questions'!$A$2:$A$23,"Q1",'3 Hazed Questions'!$C$2:$C$23,I7)+SUMIFS('3 Hazed Questions'!$F$2:$F$23,'3 Hazed Questions'!$A$2:$A$23,"Q2",'3 Hazed Questions'!$C$2:$C$23,J7)+SUMIFS('3 Hazed Questions'!$F$2:$F$23,'3 Hazed Questions'!$A$2:$A$23,"Q3",'3 Hazed Questions'!$C$2:$C$23,K7)+SUMIFS('3 Hazed Questions'!$F$2:$F$23,'3 Hazed Questions'!$A$2:$A$23,"Q4",'3 Hazed Questions'!$C$2:$C$23,L7))</f>
        <v/>
      </c>
      <c r="P7" s="14" t="str">
        <f aca="false">IF(COUNTA(I7:L7)=0,"",SUMIFS('3 Hazed Questions'!$G$2:$G$23,'3 Hazed Questions'!$A$2:$A$23,"Q1",'3 Hazed Questions'!$C$2:$C$23,I7)+SUMIFS('3 Hazed Questions'!$G$2:$G$23,'3 Hazed Questions'!$A$2:$A$23,"Q2",'3 Hazed Questions'!$C$2:$C$23,J7)+SUMIFS('3 Hazed Questions'!$G$2:$G$23,'3 Hazed Questions'!$A$2:$A$23,"Q3",'3 Hazed Questions'!$C$2:$C$23,K7)+SUMIFS('3 Hazed Questions'!$G$2:$G$23,'3 Hazed Questions'!$A$2:$A$23,"Q4",'3 Hazed Questions'!$C$2:$C$23,L7))</f>
        <v/>
      </c>
      <c r="Q7" s="14" t="str">
        <f aca="false">IF(COUNTA(I7:L7)=0,"",SUMIFS('3 Hazed Questions'!$H$2:$H$23,'3 Hazed Questions'!$A$2:$A$23,"Q1",'3 Hazed Questions'!$C$2:$C$23,I7)+SUMIFS('3 Hazed Questions'!$H$2:$H$23,'3 Hazed Questions'!$A$2:$A$23,"Q2",'3 Hazed Questions'!$C$2:$C$23,J7)+SUMIFS('3 Hazed Questions'!$H$2:$H$23,'3 Hazed Questions'!$A$2:$A$23,"Q3",'3 Hazed Questions'!$C$2:$C$23,K7)+SUMIFS('3 Hazed Questions'!$H$2:$H$23,'3 Hazed Questions'!$A$2:$A$23,"Q4",'3 Hazed Questions'!$C$2:$C$23,L7))</f>
        <v/>
      </c>
      <c r="R7" s="14" t="str">
        <f aca="false">IF(COUNTA(I7:L7)=0,"",SUMIFS('3 Hazed Questions'!$I$2:$I$23,'3 Hazed Questions'!$A$2:$A$23,"Q1",'3 Hazed Questions'!$C$2:$C$23,I7)+SUMIFS('3 Hazed Questions'!$I$2:$I$23,'3 Hazed Questions'!$A$2:$A$23,"Q2",'3 Hazed Questions'!$C$2:$C$23,J7)+SUMIFS('3 Hazed Questions'!$I$2:$I$23,'3 Hazed Questions'!$A$2:$A$23,"Q3",'3 Hazed Questions'!$C$2:$C$23,K7)+SUMIFS('3 Hazed Questions'!$I$2:$I$23,'3 Hazed Questions'!$A$2:$A$23,"Q4",'3 Hazed Questions'!$C$2:$C$23,L7))</f>
        <v/>
      </c>
      <c r="S7" s="14" t="str">
        <f aca="false">IF(COUNTA(I7:L7)=0,"",SUMIFS('3 Hazed Questions'!$J$2:$J$23,'3 Hazed Questions'!$A$2:$A$23,"Q1",'3 Hazed Questions'!$C$2:$C$23,I7)+SUMIFS('3 Hazed Questions'!$J$2:$J$23,'3 Hazed Questions'!$A$2:$A$23,"Q2",'3 Hazed Questions'!$C$2:$C$23,J7)+SUMIFS('3 Hazed Questions'!$J$2:$J$23,'3 Hazed Questions'!$A$2:$A$23,"Q3",'3 Hazed Questions'!$C$2:$C$23,K7)+SUMIFS('3 Hazed Questions'!$J$2:$J$23,'3 Hazed Questions'!$A$2:$A$23,"Q4",'3 Hazed Questions'!$C$2:$C$23,L7))</f>
        <v/>
      </c>
      <c r="T7" s="14" t="str">
        <f aca="false">IF(COUNTA(I7:L7)=0,"",SUMIFS('3 Hazed Questions'!$K$2:$K$23,'3 Hazed Questions'!$A$2:$A$23,"Q1",'3 Hazed Questions'!$C$2:$C$23,I7)+SUMIFS('3 Hazed Questions'!$K$2:$K$23,'3 Hazed Questions'!$A$2:$A$23,"Q2",'3 Hazed Questions'!$C$2:$C$23,J7)+SUMIFS('3 Hazed Questions'!$K$2:$K$23,'3 Hazed Questions'!$A$2:$A$23,"Q3",'3 Hazed Questions'!$C$2:$C$23,K7)+SUMIFS('3 Hazed Questions'!$K$2:$K$23,'3 Hazed Questions'!$A$2:$A$23,"Q4",'3 Hazed Questions'!$C$2:$C$23,L7))</f>
        <v/>
      </c>
      <c r="U7" s="14" t="str">
        <f aca="false">IF(COUNTA(I7:L7)=0,"",SUMIFS('3 Hazed Questions'!$L$2:$L$23,'3 Hazed Questions'!$A$2:$A$23,"Q1",'3 Hazed Questions'!$C$2:$C$23,I7)+SUMIFS('3 Hazed Questions'!$L$2:$L$23,'3 Hazed Questions'!$A$2:$A$23,"Q2",'3 Hazed Questions'!$C$2:$C$23,J7)+SUMIFS('3 Hazed Questions'!$L$2:$L$23,'3 Hazed Questions'!$A$2:$A$23,"Q3",'3 Hazed Questions'!$C$2:$C$23,K7)+SUMIFS('3 Hazed Questions'!$L$2:$L$23,'3 Hazed Questions'!$A$2:$A$23,"Q4",'3 Hazed Questions'!$C$2:$C$23,L7))</f>
        <v/>
      </c>
      <c r="V7" s="14" t="str">
        <f aca="false">IF(COUNTA(I7:L7)=0,"",SUMIFS('3 Hazed Questions'!$M$2:$M$23,'3 Hazed Questions'!$A$2:$A$23,"Q1",'3 Hazed Questions'!$C$2:$C$23,I7)+SUMIFS('3 Hazed Questions'!$M$2:$M$23,'3 Hazed Questions'!$A$2:$A$23,"Q2",'3 Hazed Questions'!$C$2:$C$23,J7)+SUMIFS('3 Hazed Questions'!$M$2:$M$23,'3 Hazed Questions'!$A$2:$A$23,"Q3",'3 Hazed Questions'!$C$2:$C$23,K7)+SUMIFS('3 Hazed Questions'!$M$2:$M$23,'3 Hazed Questions'!$A$2:$A$23,"Q4",'3 Hazed Questions'!$C$2:$C$23,L7))</f>
        <v/>
      </c>
      <c r="W7" s="14" t="str">
        <f aca="false">IF(COUNTA(I7:L7)=0,"",SUMIFS('3 Hazed Questions'!$N$2:$N$23,'3 Hazed Questions'!$A$2:$A$23,"Q1",'3 Hazed Questions'!$C$2:$C$23,I7)+SUMIFS('3 Hazed Questions'!$N$2:$N$23,'3 Hazed Questions'!$A$2:$A$23,"Q2",'3 Hazed Questions'!$C$2:$C$23,J7)+SUMIFS('3 Hazed Questions'!$N$2:$N$23,'3 Hazed Questions'!$A$2:$A$23,"Q3",'3 Hazed Questions'!$C$2:$C$23,K7)+SUMIFS('3 Hazed Questions'!$N$2:$N$23,'3 Hazed Questions'!$A$2:$A$23,"Q4",'3 Hazed Questions'!$C$2:$C$23,L7))</f>
        <v/>
      </c>
      <c r="X7" s="14" t="str">
        <f aca="false">IF(COUNTA(I7:L7)=0,"",INDEX(Fields!$B$2:$B$50,MATCH(SUBSTITUTE(INDEX($N$1:$W$1,MATCH(MAX($N7:$W7),$N7:$W7,0)),"Score: ",""),Fields!$A$2:$A$50,0)))</f>
        <v/>
      </c>
      <c r="Y7" s="14" t="str">
        <f aca="true">IF(COUNTA(I7:L7)=0,"",IF(LARGE($N7:$W7,2)=0,"-",INDEX(Fields!$B$2:$B$50,MATCH(SUBSTITUTE(INDEX($N$1:$W$1,IF(LARGE($N7:$W7,2)=MAX($N7:$W7),MATCH(MAX($N7:$W7),OFFSET($N7:$W7,0,MATCH(MAX($N7:$W7),$N7:$W7,0),1,10-MATCH(MAX($N7:$W7),$N7:$W7,0)),0)+MATCH(MAX($N7:$W7),$N7:$W7,0),MATCH(LARGE($N7:$W7,2),$N7:$W7,0))),"Score: ",""),Fields!$A$2:$A$50,0))))</f>
        <v/>
      </c>
      <c r="Z7" s="14" t="str">
        <f aca="false">IF(M7="","",IFERROR(INDEX('3 Hazed Questions'!$O$2:$O$23,MATCH(1,INDEX(('3 Hazed Questions'!$A$2:$A$23="Q5")*('3 Hazed Questions'!$C$2:$C$23=M7),0),0))&amp;"",""))</f>
        <v/>
      </c>
      <c r="AA7" s="18"/>
      <c r="AB7" s="18"/>
      <c r="AC7" s="19"/>
      <c r="AD7" s="19"/>
      <c r="AE7" s="18"/>
      <c r="AF7" s="18"/>
      <c r="AG7" s="18"/>
    </row>
    <row r="8" customFormat="false" ht="15" hidden="false" customHeight="false" outlineLevel="0" collapsed="false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4" t="str">
        <f aca="false">IF(COUNTA(I8:L8)=0,"",SUMIFS('3 Hazed Questions'!$E$2:$E$23,'3 Hazed Questions'!$A$2:$A$23,"Q1",'3 Hazed Questions'!$C$2:$C$23,I8)+SUMIFS('3 Hazed Questions'!$E$2:$E$23,'3 Hazed Questions'!$A$2:$A$23,"Q2",'3 Hazed Questions'!$C$2:$C$23,J8)+SUMIFS('3 Hazed Questions'!$E$2:$E$23,'3 Hazed Questions'!$A$2:$A$23,"Q3",'3 Hazed Questions'!$C$2:$C$23,K8)+SUMIFS('3 Hazed Questions'!$E$2:$E$23,'3 Hazed Questions'!$A$2:$A$23,"Q4",'3 Hazed Questions'!$C$2:$C$23,L8))</f>
        <v/>
      </c>
      <c r="O8" s="14" t="str">
        <f aca="false">IF(COUNTA(I8:L8)=0,"",SUMIFS('3 Hazed Questions'!$F$2:$F$23,'3 Hazed Questions'!$A$2:$A$23,"Q1",'3 Hazed Questions'!$C$2:$C$23,I8)+SUMIFS('3 Hazed Questions'!$F$2:$F$23,'3 Hazed Questions'!$A$2:$A$23,"Q2",'3 Hazed Questions'!$C$2:$C$23,J8)+SUMIFS('3 Hazed Questions'!$F$2:$F$23,'3 Hazed Questions'!$A$2:$A$23,"Q3",'3 Hazed Questions'!$C$2:$C$23,K8)+SUMIFS('3 Hazed Questions'!$F$2:$F$23,'3 Hazed Questions'!$A$2:$A$23,"Q4",'3 Hazed Questions'!$C$2:$C$23,L8))</f>
        <v/>
      </c>
      <c r="P8" s="14" t="str">
        <f aca="false">IF(COUNTA(I8:L8)=0,"",SUMIFS('3 Hazed Questions'!$G$2:$G$23,'3 Hazed Questions'!$A$2:$A$23,"Q1",'3 Hazed Questions'!$C$2:$C$23,I8)+SUMIFS('3 Hazed Questions'!$G$2:$G$23,'3 Hazed Questions'!$A$2:$A$23,"Q2",'3 Hazed Questions'!$C$2:$C$23,J8)+SUMIFS('3 Hazed Questions'!$G$2:$G$23,'3 Hazed Questions'!$A$2:$A$23,"Q3",'3 Hazed Questions'!$C$2:$C$23,K8)+SUMIFS('3 Hazed Questions'!$G$2:$G$23,'3 Hazed Questions'!$A$2:$A$23,"Q4",'3 Hazed Questions'!$C$2:$C$23,L8))</f>
        <v/>
      </c>
      <c r="Q8" s="14" t="str">
        <f aca="false">IF(COUNTA(I8:L8)=0,"",SUMIFS('3 Hazed Questions'!$H$2:$H$23,'3 Hazed Questions'!$A$2:$A$23,"Q1",'3 Hazed Questions'!$C$2:$C$23,I8)+SUMIFS('3 Hazed Questions'!$H$2:$H$23,'3 Hazed Questions'!$A$2:$A$23,"Q2",'3 Hazed Questions'!$C$2:$C$23,J8)+SUMIFS('3 Hazed Questions'!$H$2:$H$23,'3 Hazed Questions'!$A$2:$A$23,"Q3",'3 Hazed Questions'!$C$2:$C$23,K8)+SUMIFS('3 Hazed Questions'!$H$2:$H$23,'3 Hazed Questions'!$A$2:$A$23,"Q4",'3 Hazed Questions'!$C$2:$C$23,L8))</f>
        <v/>
      </c>
      <c r="R8" s="14" t="str">
        <f aca="false">IF(COUNTA(I8:L8)=0,"",SUMIFS('3 Hazed Questions'!$I$2:$I$23,'3 Hazed Questions'!$A$2:$A$23,"Q1",'3 Hazed Questions'!$C$2:$C$23,I8)+SUMIFS('3 Hazed Questions'!$I$2:$I$23,'3 Hazed Questions'!$A$2:$A$23,"Q2",'3 Hazed Questions'!$C$2:$C$23,J8)+SUMIFS('3 Hazed Questions'!$I$2:$I$23,'3 Hazed Questions'!$A$2:$A$23,"Q3",'3 Hazed Questions'!$C$2:$C$23,K8)+SUMIFS('3 Hazed Questions'!$I$2:$I$23,'3 Hazed Questions'!$A$2:$A$23,"Q4",'3 Hazed Questions'!$C$2:$C$23,L8))</f>
        <v/>
      </c>
      <c r="S8" s="14" t="str">
        <f aca="false">IF(COUNTA(I8:L8)=0,"",SUMIFS('3 Hazed Questions'!$J$2:$J$23,'3 Hazed Questions'!$A$2:$A$23,"Q1",'3 Hazed Questions'!$C$2:$C$23,I8)+SUMIFS('3 Hazed Questions'!$J$2:$J$23,'3 Hazed Questions'!$A$2:$A$23,"Q2",'3 Hazed Questions'!$C$2:$C$23,J8)+SUMIFS('3 Hazed Questions'!$J$2:$J$23,'3 Hazed Questions'!$A$2:$A$23,"Q3",'3 Hazed Questions'!$C$2:$C$23,K8)+SUMIFS('3 Hazed Questions'!$J$2:$J$23,'3 Hazed Questions'!$A$2:$A$23,"Q4",'3 Hazed Questions'!$C$2:$C$23,L8))</f>
        <v/>
      </c>
      <c r="T8" s="14" t="str">
        <f aca="false">IF(COUNTA(I8:L8)=0,"",SUMIFS('3 Hazed Questions'!$K$2:$K$23,'3 Hazed Questions'!$A$2:$A$23,"Q1",'3 Hazed Questions'!$C$2:$C$23,I8)+SUMIFS('3 Hazed Questions'!$K$2:$K$23,'3 Hazed Questions'!$A$2:$A$23,"Q2",'3 Hazed Questions'!$C$2:$C$23,J8)+SUMIFS('3 Hazed Questions'!$K$2:$K$23,'3 Hazed Questions'!$A$2:$A$23,"Q3",'3 Hazed Questions'!$C$2:$C$23,K8)+SUMIFS('3 Hazed Questions'!$K$2:$K$23,'3 Hazed Questions'!$A$2:$A$23,"Q4",'3 Hazed Questions'!$C$2:$C$23,L8))</f>
        <v/>
      </c>
      <c r="U8" s="14" t="str">
        <f aca="false">IF(COUNTA(I8:L8)=0,"",SUMIFS('3 Hazed Questions'!$L$2:$L$23,'3 Hazed Questions'!$A$2:$A$23,"Q1",'3 Hazed Questions'!$C$2:$C$23,I8)+SUMIFS('3 Hazed Questions'!$L$2:$L$23,'3 Hazed Questions'!$A$2:$A$23,"Q2",'3 Hazed Questions'!$C$2:$C$23,J8)+SUMIFS('3 Hazed Questions'!$L$2:$L$23,'3 Hazed Questions'!$A$2:$A$23,"Q3",'3 Hazed Questions'!$C$2:$C$23,K8)+SUMIFS('3 Hazed Questions'!$L$2:$L$23,'3 Hazed Questions'!$A$2:$A$23,"Q4",'3 Hazed Questions'!$C$2:$C$23,L8))</f>
        <v/>
      </c>
      <c r="V8" s="14" t="str">
        <f aca="false">IF(COUNTA(I8:L8)=0,"",SUMIFS('3 Hazed Questions'!$M$2:$M$23,'3 Hazed Questions'!$A$2:$A$23,"Q1",'3 Hazed Questions'!$C$2:$C$23,I8)+SUMIFS('3 Hazed Questions'!$M$2:$M$23,'3 Hazed Questions'!$A$2:$A$23,"Q2",'3 Hazed Questions'!$C$2:$C$23,J8)+SUMIFS('3 Hazed Questions'!$M$2:$M$23,'3 Hazed Questions'!$A$2:$A$23,"Q3",'3 Hazed Questions'!$C$2:$C$23,K8)+SUMIFS('3 Hazed Questions'!$M$2:$M$23,'3 Hazed Questions'!$A$2:$A$23,"Q4",'3 Hazed Questions'!$C$2:$C$23,L8))</f>
        <v/>
      </c>
      <c r="W8" s="14" t="str">
        <f aca="false">IF(COUNTA(I8:L8)=0,"",SUMIFS('3 Hazed Questions'!$N$2:$N$23,'3 Hazed Questions'!$A$2:$A$23,"Q1",'3 Hazed Questions'!$C$2:$C$23,I8)+SUMIFS('3 Hazed Questions'!$N$2:$N$23,'3 Hazed Questions'!$A$2:$A$23,"Q2",'3 Hazed Questions'!$C$2:$C$23,J8)+SUMIFS('3 Hazed Questions'!$N$2:$N$23,'3 Hazed Questions'!$A$2:$A$23,"Q3",'3 Hazed Questions'!$C$2:$C$23,K8)+SUMIFS('3 Hazed Questions'!$N$2:$N$23,'3 Hazed Questions'!$A$2:$A$23,"Q4",'3 Hazed Questions'!$C$2:$C$23,L8))</f>
        <v/>
      </c>
      <c r="X8" s="14" t="str">
        <f aca="false">IF(COUNTA(I8:L8)=0,"",INDEX(Fields!$B$2:$B$50,MATCH(SUBSTITUTE(INDEX($N$1:$W$1,MATCH(MAX($N8:$W8),$N8:$W8,0)),"Score: ",""),Fields!$A$2:$A$50,0)))</f>
        <v/>
      </c>
      <c r="Y8" s="14" t="str">
        <f aca="true">IF(COUNTA(I8:L8)=0,"",IF(LARGE($N8:$W8,2)=0,"-",INDEX(Fields!$B$2:$B$50,MATCH(SUBSTITUTE(INDEX($N$1:$W$1,IF(LARGE($N8:$W8,2)=MAX($N8:$W8),MATCH(MAX($N8:$W8),OFFSET($N8:$W8,0,MATCH(MAX($N8:$W8),$N8:$W8,0),1,10-MATCH(MAX($N8:$W8),$N8:$W8,0)),0)+MATCH(MAX($N8:$W8),$N8:$W8,0),MATCH(LARGE($N8:$W8,2),$N8:$W8,0))),"Score: ",""),Fields!$A$2:$A$50,0))))</f>
        <v/>
      </c>
      <c r="Z8" s="14" t="str">
        <f aca="false">IF(M8="","",IFERROR(INDEX('3 Hazed Questions'!$O$2:$O$23,MATCH(1,INDEX(('3 Hazed Questions'!$A$2:$A$23="Q5")*('3 Hazed Questions'!$C$2:$C$23=M8),0),0))&amp;"",""))</f>
        <v/>
      </c>
      <c r="AA8" s="18"/>
      <c r="AB8" s="18"/>
      <c r="AC8" s="19"/>
      <c r="AD8" s="19"/>
      <c r="AE8" s="18"/>
      <c r="AF8" s="18"/>
      <c r="AG8" s="18"/>
    </row>
    <row r="9" customFormat="false" ht="15" hidden="false" customHeight="false" outlineLevel="0" collapsed="false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4" t="str">
        <f aca="false">IF(COUNTA(I9:L9)=0,"",SUMIFS('3 Hazed Questions'!$E$2:$E$23,'3 Hazed Questions'!$A$2:$A$23,"Q1",'3 Hazed Questions'!$C$2:$C$23,I9)+SUMIFS('3 Hazed Questions'!$E$2:$E$23,'3 Hazed Questions'!$A$2:$A$23,"Q2",'3 Hazed Questions'!$C$2:$C$23,J9)+SUMIFS('3 Hazed Questions'!$E$2:$E$23,'3 Hazed Questions'!$A$2:$A$23,"Q3",'3 Hazed Questions'!$C$2:$C$23,K9)+SUMIFS('3 Hazed Questions'!$E$2:$E$23,'3 Hazed Questions'!$A$2:$A$23,"Q4",'3 Hazed Questions'!$C$2:$C$23,L9))</f>
        <v/>
      </c>
      <c r="O9" s="14" t="str">
        <f aca="false">IF(COUNTA(I9:L9)=0,"",SUMIFS('3 Hazed Questions'!$F$2:$F$23,'3 Hazed Questions'!$A$2:$A$23,"Q1",'3 Hazed Questions'!$C$2:$C$23,I9)+SUMIFS('3 Hazed Questions'!$F$2:$F$23,'3 Hazed Questions'!$A$2:$A$23,"Q2",'3 Hazed Questions'!$C$2:$C$23,J9)+SUMIFS('3 Hazed Questions'!$F$2:$F$23,'3 Hazed Questions'!$A$2:$A$23,"Q3",'3 Hazed Questions'!$C$2:$C$23,K9)+SUMIFS('3 Hazed Questions'!$F$2:$F$23,'3 Hazed Questions'!$A$2:$A$23,"Q4",'3 Hazed Questions'!$C$2:$C$23,L9))</f>
        <v/>
      </c>
      <c r="P9" s="14" t="str">
        <f aca="false">IF(COUNTA(I9:L9)=0,"",SUMIFS('3 Hazed Questions'!$G$2:$G$23,'3 Hazed Questions'!$A$2:$A$23,"Q1",'3 Hazed Questions'!$C$2:$C$23,I9)+SUMIFS('3 Hazed Questions'!$G$2:$G$23,'3 Hazed Questions'!$A$2:$A$23,"Q2",'3 Hazed Questions'!$C$2:$C$23,J9)+SUMIFS('3 Hazed Questions'!$G$2:$G$23,'3 Hazed Questions'!$A$2:$A$23,"Q3",'3 Hazed Questions'!$C$2:$C$23,K9)+SUMIFS('3 Hazed Questions'!$G$2:$G$23,'3 Hazed Questions'!$A$2:$A$23,"Q4",'3 Hazed Questions'!$C$2:$C$23,L9))</f>
        <v/>
      </c>
      <c r="Q9" s="14" t="str">
        <f aca="false">IF(COUNTA(I9:L9)=0,"",SUMIFS('3 Hazed Questions'!$H$2:$H$23,'3 Hazed Questions'!$A$2:$A$23,"Q1",'3 Hazed Questions'!$C$2:$C$23,I9)+SUMIFS('3 Hazed Questions'!$H$2:$H$23,'3 Hazed Questions'!$A$2:$A$23,"Q2",'3 Hazed Questions'!$C$2:$C$23,J9)+SUMIFS('3 Hazed Questions'!$H$2:$H$23,'3 Hazed Questions'!$A$2:$A$23,"Q3",'3 Hazed Questions'!$C$2:$C$23,K9)+SUMIFS('3 Hazed Questions'!$H$2:$H$23,'3 Hazed Questions'!$A$2:$A$23,"Q4",'3 Hazed Questions'!$C$2:$C$23,L9))</f>
        <v/>
      </c>
      <c r="R9" s="14" t="str">
        <f aca="false">IF(COUNTA(I9:L9)=0,"",SUMIFS('3 Hazed Questions'!$I$2:$I$23,'3 Hazed Questions'!$A$2:$A$23,"Q1",'3 Hazed Questions'!$C$2:$C$23,I9)+SUMIFS('3 Hazed Questions'!$I$2:$I$23,'3 Hazed Questions'!$A$2:$A$23,"Q2",'3 Hazed Questions'!$C$2:$C$23,J9)+SUMIFS('3 Hazed Questions'!$I$2:$I$23,'3 Hazed Questions'!$A$2:$A$23,"Q3",'3 Hazed Questions'!$C$2:$C$23,K9)+SUMIFS('3 Hazed Questions'!$I$2:$I$23,'3 Hazed Questions'!$A$2:$A$23,"Q4",'3 Hazed Questions'!$C$2:$C$23,L9))</f>
        <v/>
      </c>
      <c r="S9" s="14" t="str">
        <f aca="false">IF(COUNTA(I9:L9)=0,"",SUMIFS('3 Hazed Questions'!$J$2:$J$23,'3 Hazed Questions'!$A$2:$A$23,"Q1",'3 Hazed Questions'!$C$2:$C$23,I9)+SUMIFS('3 Hazed Questions'!$J$2:$J$23,'3 Hazed Questions'!$A$2:$A$23,"Q2",'3 Hazed Questions'!$C$2:$C$23,J9)+SUMIFS('3 Hazed Questions'!$J$2:$J$23,'3 Hazed Questions'!$A$2:$A$23,"Q3",'3 Hazed Questions'!$C$2:$C$23,K9)+SUMIFS('3 Hazed Questions'!$J$2:$J$23,'3 Hazed Questions'!$A$2:$A$23,"Q4",'3 Hazed Questions'!$C$2:$C$23,L9))</f>
        <v/>
      </c>
      <c r="T9" s="14" t="str">
        <f aca="false">IF(COUNTA(I9:L9)=0,"",SUMIFS('3 Hazed Questions'!$K$2:$K$23,'3 Hazed Questions'!$A$2:$A$23,"Q1",'3 Hazed Questions'!$C$2:$C$23,I9)+SUMIFS('3 Hazed Questions'!$K$2:$K$23,'3 Hazed Questions'!$A$2:$A$23,"Q2",'3 Hazed Questions'!$C$2:$C$23,J9)+SUMIFS('3 Hazed Questions'!$K$2:$K$23,'3 Hazed Questions'!$A$2:$A$23,"Q3",'3 Hazed Questions'!$C$2:$C$23,K9)+SUMIFS('3 Hazed Questions'!$K$2:$K$23,'3 Hazed Questions'!$A$2:$A$23,"Q4",'3 Hazed Questions'!$C$2:$C$23,L9))</f>
        <v/>
      </c>
      <c r="U9" s="14" t="str">
        <f aca="false">IF(COUNTA(I9:L9)=0,"",SUMIFS('3 Hazed Questions'!$L$2:$L$23,'3 Hazed Questions'!$A$2:$A$23,"Q1",'3 Hazed Questions'!$C$2:$C$23,I9)+SUMIFS('3 Hazed Questions'!$L$2:$L$23,'3 Hazed Questions'!$A$2:$A$23,"Q2",'3 Hazed Questions'!$C$2:$C$23,J9)+SUMIFS('3 Hazed Questions'!$L$2:$L$23,'3 Hazed Questions'!$A$2:$A$23,"Q3",'3 Hazed Questions'!$C$2:$C$23,K9)+SUMIFS('3 Hazed Questions'!$L$2:$L$23,'3 Hazed Questions'!$A$2:$A$23,"Q4",'3 Hazed Questions'!$C$2:$C$23,L9))</f>
        <v/>
      </c>
      <c r="V9" s="14" t="str">
        <f aca="false">IF(COUNTA(I9:L9)=0,"",SUMIFS('3 Hazed Questions'!$M$2:$M$23,'3 Hazed Questions'!$A$2:$A$23,"Q1",'3 Hazed Questions'!$C$2:$C$23,I9)+SUMIFS('3 Hazed Questions'!$M$2:$M$23,'3 Hazed Questions'!$A$2:$A$23,"Q2",'3 Hazed Questions'!$C$2:$C$23,J9)+SUMIFS('3 Hazed Questions'!$M$2:$M$23,'3 Hazed Questions'!$A$2:$A$23,"Q3",'3 Hazed Questions'!$C$2:$C$23,K9)+SUMIFS('3 Hazed Questions'!$M$2:$M$23,'3 Hazed Questions'!$A$2:$A$23,"Q4",'3 Hazed Questions'!$C$2:$C$23,L9))</f>
        <v/>
      </c>
      <c r="W9" s="14" t="str">
        <f aca="false">IF(COUNTA(I9:L9)=0,"",SUMIFS('3 Hazed Questions'!$N$2:$N$23,'3 Hazed Questions'!$A$2:$A$23,"Q1",'3 Hazed Questions'!$C$2:$C$23,I9)+SUMIFS('3 Hazed Questions'!$N$2:$N$23,'3 Hazed Questions'!$A$2:$A$23,"Q2",'3 Hazed Questions'!$C$2:$C$23,J9)+SUMIFS('3 Hazed Questions'!$N$2:$N$23,'3 Hazed Questions'!$A$2:$A$23,"Q3",'3 Hazed Questions'!$C$2:$C$23,K9)+SUMIFS('3 Hazed Questions'!$N$2:$N$23,'3 Hazed Questions'!$A$2:$A$23,"Q4",'3 Hazed Questions'!$C$2:$C$23,L9))</f>
        <v/>
      </c>
      <c r="X9" s="14" t="str">
        <f aca="false">IF(COUNTA(I9:L9)=0,"",INDEX(Fields!$B$2:$B$50,MATCH(SUBSTITUTE(INDEX($N$1:$W$1,MATCH(MAX($N9:$W9),$N9:$W9,0)),"Score: ",""),Fields!$A$2:$A$50,0)))</f>
        <v/>
      </c>
      <c r="Y9" s="14" t="str">
        <f aca="true">IF(COUNTA(I9:L9)=0,"",IF(LARGE($N9:$W9,2)=0,"-",INDEX(Fields!$B$2:$B$50,MATCH(SUBSTITUTE(INDEX($N$1:$W$1,IF(LARGE($N9:$W9,2)=MAX($N9:$W9),MATCH(MAX($N9:$W9),OFFSET($N9:$W9,0,MATCH(MAX($N9:$W9),$N9:$W9,0),1,10-MATCH(MAX($N9:$W9),$N9:$W9,0)),0)+MATCH(MAX($N9:$W9),$N9:$W9,0),MATCH(LARGE($N9:$W9,2),$N9:$W9,0))),"Score: ",""),Fields!$A$2:$A$50,0))))</f>
        <v/>
      </c>
      <c r="Z9" s="14" t="str">
        <f aca="false">IF(M9="","",IFERROR(INDEX('3 Hazed Questions'!$O$2:$O$23,MATCH(1,INDEX(('3 Hazed Questions'!$A$2:$A$23="Q5")*('3 Hazed Questions'!$C$2:$C$23=M9),0),0))&amp;"",""))</f>
        <v/>
      </c>
      <c r="AA9" s="18"/>
      <c r="AB9" s="18"/>
      <c r="AC9" s="19"/>
      <c r="AD9" s="19"/>
      <c r="AE9" s="18"/>
      <c r="AF9" s="18"/>
      <c r="AG9" s="18"/>
    </row>
    <row r="10" customFormat="false" ht="15" hidden="false" customHeight="false" outlineLevel="0" collapsed="false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4" t="str">
        <f aca="false">IF(COUNTA(I10:L10)=0,"",SUMIFS('3 Hazed Questions'!$E$2:$E$23,'3 Hazed Questions'!$A$2:$A$23,"Q1",'3 Hazed Questions'!$C$2:$C$23,I10)+SUMIFS('3 Hazed Questions'!$E$2:$E$23,'3 Hazed Questions'!$A$2:$A$23,"Q2",'3 Hazed Questions'!$C$2:$C$23,J10)+SUMIFS('3 Hazed Questions'!$E$2:$E$23,'3 Hazed Questions'!$A$2:$A$23,"Q3",'3 Hazed Questions'!$C$2:$C$23,K10)+SUMIFS('3 Hazed Questions'!$E$2:$E$23,'3 Hazed Questions'!$A$2:$A$23,"Q4",'3 Hazed Questions'!$C$2:$C$23,L10))</f>
        <v/>
      </c>
      <c r="O10" s="14" t="str">
        <f aca="false">IF(COUNTA(I10:L10)=0,"",SUMIFS('3 Hazed Questions'!$F$2:$F$23,'3 Hazed Questions'!$A$2:$A$23,"Q1",'3 Hazed Questions'!$C$2:$C$23,I10)+SUMIFS('3 Hazed Questions'!$F$2:$F$23,'3 Hazed Questions'!$A$2:$A$23,"Q2",'3 Hazed Questions'!$C$2:$C$23,J10)+SUMIFS('3 Hazed Questions'!$F$2:$F$23,'3 Hazed Questions'!$A$2:$A$23,"Q3",'3 Hazed Questions'!$C$2:$C$23,K10)+SUMIFS('3 Hazed Questions'!$F$2:$F$23,'3 Hazed Questions'!$A$2:$A$23,"Q4",'3 Hazed Questions'!$C$2:$C$23,L10))</f>
        <v/>
      </c>
      <c r="P10" s="14" t="str">
        <f aca="false">IF(COUNTA(I10:L10)=0,"",SUMIFS('3 Hazed Questions'!$G$2:$G$23,'3 Hazed Questions'!$A$2:$A$23,"Q1",'3 Hazed Questions'!$C$2:$C$23,I10)+SUMIFS('3 Hazed Questions'!$G$2:$G$23,'3 Hazed Questions'!$A$2:$A$23,"Q2",'3 Hazed Questions'!$C$2:$C$23,J10)+SUMIFS('3 Hazed Questions'!$G$2:$G$23,'3 Hazed Questions'!$A$2:$A$23,"Q3",'3 Hazed Questions'!$C$2:$C$23,K10)+SUMIFS('3 Hazed Questions'!$G$2:$G$23,'3 Hazed Questions'!$A$2:$A$23,"Q4",'3 Hazed Questions'!$C$2:$C$23,L10))</f>
        <v/>
      </c>
      <c r="Q10" s="14" t="str">
        <f aca="false">IF(COUNTA(I10:L10)=0,"",SUMIFS('3 Hazed Questions'!$H$2:$H$23,'3 Hazed Questions'!$A$2:$A$23,"Q1",'3 Hazed Questions'!$C$2:$C$23,I10)+SUMIFS('3 Hazed Questions'!$H$2:$H$23,'3 Hazed Questions'!$A$2:$A$23,"Q2",'3 Hazed Questions'!$C$2:$C$23,J10)+SUMIFS('3 Hazed Questions'!$H$2:$H$23,'3 Hazed Questions'!$A$2:$A$23,"Q3",'3 Hazed Questions'!$C$2:$C$23,K10)+SUMIFS('3 Hazed Questions'!$H$2:$H$23,'3 Hazed Questions'!$A$2:$A$23,"Q4",'3 Hazed Questions'!$C$2:$C$23,L10))</f>
        <v/>
      </c>
      <c r="R10" s="14" t="str">
        <f aca="false">IF(COUNTA(I10:L10)=0,"",SUMIFS('3 Hazed Questions'!$I$2:$I$23,'3 Hazed Questions'!$A$2:$A$23,"Q1",'3 Hazed Questions'!$C$2:$C$23,I10)+SUMIFS('3 Hazed Questions'!$I$2:$I$23,'3 Hazed Questions'!$A$2:$A$23,"Q2",'3 Hazed Questions'!$C$2:$C$23,J10)+SUMIFS('3 Hazed Questions'!$I$2:$I$23,'3 Hazed Questions'!$A$2:$A$23,"Q3",'3 Hazed Questions'!$C$2:$C$23,K10)+SUMIFS('3 Hazed Questions'!$I$2:$I$23,'3 Hazed Questions'!$A$2:$A$23,"Q4",'3 Hazed Questions'!$C$2:$C$23,L10))</f>
        <v/>
      </c>
      <c r="S10" s="14" t="str">
        <f aca="false">IF(COUNTA(I10:L10)=0,"",SUMIFS('3 Hazed Questions'!$J$2:$J$23,'3 Hazed Questions'!$A$2:$A$23,"Q1",'3 Hazed Questions'!$C$2:$C$23,I10)+SUMIFS('3 Hazed Questions'!$J$2:$J$23,'3 Hazed Questions'!$A$2:$A$23,"Q2",'3 Hazed Questions'!$C$2:$C$23,J10)+SUMIFS('3 Hazed Questions'!$J$2:$J$23,'3 Hazed Questions'!$A$2:$A$23,"Q3",'3 Hazed Questions'!$C$2:$C$23,K10)+SUMIFS('3 Hazed Questions'!$J$2:$J$23,'3 Hazed Questions'!$A$2:$A$23,"Q4",'3 Hazed Questions'!$C$2:$C$23,L10))</f>
        <v/>
      </c>
      <c r="T10" s="14" t="str">
        <f aca="false">IF(COUNTA(I10:L10)=0,"",SUMIFS('3 Hazed Questions'!$K$2:$K$23,'3 Hazed Questions'!$A$2:$A$23,"Q1",'3 Hazed Questions'!$C$2:$C$23,I10)+SUMIFS('3 Hazed Questions'!$K$2:$K$23,'3 Hazed Questions'!$A$2:$A$23,"Q2",'3 Hazed Questions'!$C$2:$C$23,J10)+SUMIFS('3 Hazed Questions'!$K$2:$K$23,'3 Hazed Questions'!$A$2:$A$23,"Q3",'3 Hazed Questions'!$C$2:$C$23,K10)+SUMIFS('3 Hazed Questions'!$K$2:$K$23,'3 Hazed Questions'!$A$2:$A$23,"Q4",'3 Hazed Questions'!$C$2:$C$23,L10))</f>
        <v/>
      </c>
      <c r="U10" s="14" t="str">
        <f aca="false">IF(COUNTA(I10:L10)=0,"",SUMIFS('3 Hazed Questions'!$L$2:$L$23,'3 Hazed Questions'!$A$2:$A$23,"Q1",'3 Hazed Questions'!$C$2:$C$23,I10)+SUMIFS('3 Hazed Questions'!$L$2:$L$23,'3 Hazed Questions'!$A$2:$A$23,"Q2",'3 Hazed Questions'!$C$2:$C$23,J10)+SUMIFS('3 Hazed Questions'!$L$2:$L$23,'3 Hazed Questions'!$A$2:$A$23,"Q3",'3 Hazed Questions'!$C$2:$C$23,K10)+SUMIFS('3 Hazed Questions'!$L$2:$L$23,'3 Hazed Questions'!$A$2:$A$23,"Q4",'3 Hazed Questions'!$C$2:$C$23,L10))</f>
        <v/>
      </c>
      <c r="V10" s="14" t="str">
        <f aca="false">IF(COUNTA(I10:L10)=0,"",SUMIFS('3 Hazed Questions'!$M$2:$M$23,'3 Hazed Questions'!$A$2:$A$23,"Q1",'3 Hazed Questions'!$C$2:$C$23,I10)+SUMIFS('3 Hazed Questions'!$M$2:$M$23,'3 Hazed Questions'!$A$2:$A$23,"Q2",'3 Hazed Questions'!$C$2:$C$23,J10)+SUMIFS('3 Hazed Questions'!$M$2:$M$23,'3 Hazed Questions'!$A$2:$A$23,"Q3",'3 Hazed Questions'!$C$2:$C$23,K10)+SUMIFS('3 Hazed Questions'!$M$2:$M$23,'3 Hazed Questions'!$A$2:$A$23,"Q4",'3 Hazed Questions'!$C$2:$C$23,L10))</f>
        <v/>
      </c>
      <c r="W10" s="14" t="str">
        <f aca="false">IF(COUNTA(I10:L10)=0,"",SUMIFS('3 Hazed Questions'!$N$2:$N$23,'3 Hazed Questions'!$A$2:$A$23,"Q1",'3 Hazed Questions'!$C$2:$C$23,I10)+SUMIFS('3 Hazed Questions'!$N$2:$N$23,'3 Hazed Questions'!$A$2:$A$23,"Q2",'3 Hazed Questions'!$C$2:$C$23,J10)+SUMIFS('3 Hazed Questions'!$N$2:$N$23,'3 Hazed Questions'!$A$2:$A$23,"Q3",'3 Hazed Questions'!$C$2:$C$23,K10)+SUMIFS('3 Hazed Questions'!$N$2:$N$23,'3 Hazed Questions'!$A$2:$A$23,"Q4",'3 Hazed Questions'!$C$2:$C$23,L10))</f>
        <v/>
      </c>
      <c r="X10" s="14" t="str">
        <f aca="false">IF(COUNTA(I10:L10)=0,"",INDEX(Fields!$B$2:$B$50,MATCH(SUBSTITUTE(INDEX($N$1:$W$1,MATCH(MAX($N10:$W10),$N10:$W10,0)),"Score: ",""),Fields!$A$2:$A$50,0)))</f>
        <v/>
      </c>
      <c r="Y10" s="14" t="str">
        <f aca="true">IF(COUNTA(I10:L10)=0,"",IF(LARGE($N10:$W10,2)=0,"-",INDEX(Fields!$B$2:$B$50,MATCH(SUBSTITUTE(INDEX($N$1:$W$1,IF(LARGE($N10:$W10,2)=MAX($N10:$W10),MATCH(MAX($N10:$W10),OFFSET($N10:$W10,0,MATCH(MAX($N10:$W10),$N10:$W10,0),1,10-MATCH(MAX($N10:$W10),$N10:$W10,0)),0)+MATCH(MAX($N10:$W10),$N10:$W10,0),MATCH(LARGE($N10:$W10,2),$N10:$W10,0))),"Score: ",""),Fields!$A$2:$A$50,0))))</f>
        <v/>
      </c>
      <c r="Z10" s="14" t="str">
        <f aca="false">IF(M10="","",IFERROR(INDEX('3 Hazed Questions'!$O$2:$O$23,MATCH(1,INDEX(('3 Hazed Questions'!$A$2:$A$23="Q5")*('3 Hazed Questions'!$C$2:$C$23=M10),0),0))&amp;"",""))</f>
        <v/>
      </c>
      <c r="AA10" s="18"/>
      <c r="AB10" s="18"/>
      <c r="AC10" s="19"/>
      <c r="AD10" s="19"/>
      <c r="AE10" s="18"/>
      <c r="AF10" s="18"/>
      <c r="AG10" s="18"/>
    </row>
    <row r="11" customFormat="false" ht="15" hidden="false" customHeight="false" outlineLevel="0" collapsed="false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4" t="str">
        <f aca="false">IF(COUNTA(I11:L11)=0,"",SUMIFS('3 Hazed Questions'!$E$2:$E$23,'3 Hazed Questions'!$A$2:$A$23,"Q1",'3 Hazed Questions'!$C$2:$C$23,I11)+SUMIFS('3 Hazed Questions'!$E$2:$E$23,'3 Hazed Questions'!$A$2:$A$23,"Q2",'3 Hazed Questions'!$C$2:$C$23,J11)+SUMIFS('3 Hazed Questions'!$E$2:$E$23,'3 Hazed Questions'!$A$2:$A$23,"Q3",'3 Hazed Questions'!$C$2:$C$23,K11)+SUMIFS('3 Hazed Questions'!$E$2:$E$23,'3 Hazed Questions'!$A$2:$A$23,"Q4",'3 Hazed Questions'!$C$2:$C$23,L11))</f>
        <v/>
      </c>
      <c r="O11" s="14" t="str">
        <f aca="false">IF(COUNTA(I11:L11)=0,"",SUMIFS('3 Hazed Questions'!$F$2:$F$23,'3 Hazed Questions'!$A$2:$A$23,"Q1",'3 Hazed Questions'!$C$2:$C$23,I11)+SUMIFS('3 Hazed Questions'!$F$2:$F$23,'3 Hazed Questions'!$A$2:$A$23,"Q2",'3 Hazed Questions'!$C$2:$C$23,J11)+SUMIFS('3 Hazed Questions'!$F$2:$F$23,'3 Hazed Questions'!$A$2:$A$23,"Q3",'3 Hazed Questions'!$C$2:$C$23,K11)+SUMIFS('3 Hazed Questions'!$F$2:$F$23,'3 Hazed Questions'!$A$2:$A$23,"Q4",'3 Hazed Questions'!$C$2:$C$23,L11))</f>
        <v/>
      </c>
      <c r="P11" s="14" t="str">
        <f aca="false">IF(COUNTA(I11:L11)=0,"",SUMIFS('3 Hazed Questions'!$G$2:$G$23,'3 Hazed Questions'!$A$2:$A$23,"Q1",'3 Hazed Questions'!$C$2:$C$23,I11)+SUMIFS('3 Hazed Questions'!$G$2:$G$23,'3 Hazed Questions'!$A$2:$A$23,"Q2",'3 Hazed Questions'!$C$2:$C$23,J11)+SUMIFS('3 Hazed Questions'!$G$2:$G$23,'3 Hazed Questions'!$A$2:$A$23,"Q3",'3 Hazed Questions'!$C$2:$C$23,K11)+SUMIFS('3 Hazed Questions'!$G$2:$G$23,'3 Hazed Questions'!$A$2:$A$23,"Q4",'3 Hazed Questions'!$C$2:$C$23,L11))</f>
        <v/>
      </c>
      <c r="Q11" s="14" t="str">
        <f aca="false">IF(COUNTA(I11:L11)=0,"",SUMIFS('3 Hazed Questions'!$H$2:$H$23,'3 Hazed Questions'!$A$2:$A$23,"Q1",'3 Hazed Questions'!$C$2:$C$23,I11)+SUMIFS('3 Hazed Questions'!$H$2:$H$23,'3 Hazed Questions'!$A$2:$A$23,"Q2",'3 Hazed Questions'!$C$2:$C$23,J11)+SUMIFS('3 Hazed Questions'!$H$2:$H$23,'3 Hazed Questions'!$A$2:$A$23,"Q3",'3 Hazed Questions'!$C$2:$C$23,K11)+SUMIFS('3 Hazed Questions'!$H$2:$H$23,'3 Hazed Questions'!$A$2:$A$23,"Q4",'3 Hazed Questions'!$C$2:$C$23,L11))</f>
        <v/>
      </c>
      <c r="R11" s="14" t="str">
        <f aca="false">IF(COUNTA(I11:L11)=0,"",SUMIFS('3 Hazed Questions'!$I$2:$I$23,'3 Hazed Questions'!$A$2:$A$23,"Q1",'3 Hazed Questions'!$C$2:$C$23,I11)+SUMIFS('3 Hazed Questions'!$I$2:$I$23,'3 Hazed Questions'!$A$2:$A$23,"Q2",'3 Hazed Questions'!$C$2:$C$23,J11)+SUMIFS('3 Hazed Questions'!$I$2:$I$23,'3 Hazed Questions'!$A$2:$A$23,"Q3",'3 Hazed Questions'!$C$2:$C$23,K11)+SUMIFS('3 Hazed Questions'!$I$2:$I$23,'3 Hazed Questions'!$A$2:$A$23,"Q4",'3 Hazed Questions'!$C$2:$C$23,L11))</f>
        <v/>
      </c>
      <c r="S11" s="14" t="str">
        <f aca="false">IF(COUNTA(I11:L11)=0,"",SUMIFS('3 Hazed Questions'!$J$2:$J$23,'3 Hazed Questions'!$A$2:$A$23,"Q1",'3 Hazed Questions'!$C$2:$C$23,I11)+SUMIFS('3 Hazed Questions'!$J$2:$J$23,'3 Hazed Questions'!$A$2:$A$23,"Q2",'3 Hazed Questions'!$C$2:$C$23,J11)+SUMIFS('3 Hazed Questions'!$J$2:$J$23,'3 Hazed Questions'!$A$2:$A$23,"Q3",'3 Hazed Questions'!$C$2:$C$23,K11)+SUMIFS('3 Hazed Questions'!$J$2:$J$23,'3 Hazed Questions'!$A$2:$A$23,"Q4",'3 Hazed Questions'!$C$2:$C$23,L11))</f>
        <v/>
      </c>
      <c r="T11" s="14" t="str">
        <f aca="false">IF(COUNTA(I11:L11)=0,"",SUMIFS('3 Hazed Questions'!$K$2:$K$23,'3 Hazed Questions'!$A$2:$A$23,"Q1",'3 Hazed Questions'!$C$2:$C$23,I11)+SUMIFS('3 Hazed Questions'!$K$2:$K$23,'3 Hazed Questions'!$A$2:$A$23,"Q2",'3 Hazed Questions'!$C$2:$C$23,J11)+SUMIFS('3 Hazed Questions'!$K$2:$K$23,'3 Hazed Questions'!$A$2:$A$23,"Q3",'3 Hazed Questions'!$C$2:$C$23,K11)+SUMIFS('3 Hazed Questions'!$K$2:$K$23,'3 Hazed Questions'!$A$2:$A$23,"Q4",'3 Hazed Questions'!$C$2:$C$23,L11))</f>
        <v/>
      </c>
      <c r="U11" s="14" t="str">
        <f aca="false">IF(COUNTA(I11:L11)=0,"",SUMIFS('3 Hazed Questions'!$L$2:$L$23,'3 Hazed Questions'!$A$2:$A$23,"Q1",'3 Hazed Questions'!$C$2:$C$23,I11)+SUMIFS('3 Hazed Questions'!$L$2:$L$23,'3 Hazed Questions'!$A$2:$A$23,"Q2",'3 Hazed Questions'!$C$2:$C$23,J11)+SUMIFS('3 Hazed Questions'!$L$2:$L$23,'3 Hazed Questions'!$A$2:$A$23,"Q3",'3 Hazed Questions'!$C$2:$C$23,K11)+SUMIFS('3 Hazed Questions'!$L$2:$L$23,'3 Hazed Questions'!$A$2:$A$23,"Q4",'3 Hazed Questions'!$C$2:$C$23,L11))</f>
        <v/>
      </c>
      <c r="V11" s="14" t="str">
        <f aca="false">IF(COUNTA(I11:L11)=0,"",SUMIFS('3 Hazed Questions'!$M$2:$M$23,'3 Hazed Questions'!$A$2:$A$23,"Q1",'3 Hazed Questions'!$C$2:$C$23,I11)+SUMIFS('3 Hazed Questions'!$M$2:$M$23,'3 Hazed Questions'!$A$2:$A$23,"Q2",'3 Hazed Questions'!$C$2:$C$23,J11)+SUMIFS('3 Hazed Questions'!$M$2:$M$23,'3 Hazed Questions'!$A$2:$A$23,"Q3",'3 Hazed Questions'!$C$2:$C$23,K11)+SUMIFS('3 Hazed Questions'!$M$2:$M$23,'3 Hazed Questions'!$A$2:$A$23,"Q4",'3 Hazed Questions'!$C$2:$C$23,L11))</f>
        <v/>
      </c>
      <c r="W11" s="14" t="str">
        <f aca="false">IF(COUNTA(I11:L11)=0,"",SUMIFS('3 Hazed Questions'!$N$2:$N$23,'3 Hazed Questions'!$A$2:$A$23,"Q1",'3 Hazed Questions'!$C$2:$C$23,I11)+SUMIFS('3 Hazed Questions'!$N$2:$N$23,'3 Hazed Questions'!$A$2:$A$23,"Q2",'3 Hazed Questions'!$C$2:$C$23,J11)+SUMIFS('3 Hazed Questions'!$N$2:$N$23,'3 Hazed Questions'!$A$2:$A$23,"Q3",'3 Hazed Questions'!$C$2:$C$23,K11)+SUMIFS('3 Hazed Questions'!$N$2:$N$23,'3 Hazed Questions'!$A$2:$A$23,"Q4",'3 Hazed Questions'!$C$2:$C$23,L11))</f>
        <v/>
      </c>
      <c r="X11" s="14" t="str">
        <f aca="false">IF(COUNTA(I11:L11)=0,"",INDEX(Fields!$B$2:$B$50,MATCH(SUBSTITUTE(INDEX($N$1:$W$1,MATCH(MAX($N11:$W11),$N11:$W11,0)),"Score: ",""),Fields!$A$2:$A$50,0)))</f>
        <v/>
      </c>
      <c r="Y11" s="14" t="str">
        <f aca="true">IF(COUNTA(I11:L11)=0,"",IF(LARGE($N11:$W11,2)=0,"-",INDEX(Fields!$B$2:$B$50,MATCH(SUBSTITUTE(INDEX($N$1:$W$1,IF(LARGE($N11:$W11,2)=MAX($N11:$W11),MATCH(MAX($N11:$W11),OFFSET($N11:$W11,0,MATCH(MAX($N11:$W11),$N11:$W11,0),1,10-MATCH(MAX($N11:$W11),$N11:$W11,0)),0)+MATCH(MAX($N11:$W11),$N11:$W11,0),MATCH(LARGE($N11:$W11,2),$N11:$W11,0))),"Score: ",""),Fields!$A$2:$A$50,0))))</f>
        <v/>
      </c>
      <c r="Z11" s="14" t="str">
        <f aca="false">IF(M11="","",IFERROR(INDEX('3 Hazed Questions'!$O$2:$O$23,MATCH(1,INDEX(('3 Hazed Questions'!$A$2:$A$23="Q5")*('3 Hazed Questions'!$C$2:$C$23=M11),0),0))&amp;"",""))</f>
        <v/>
      </c>
      <c r="AA11" s="18"/>
      <c r="AB11" s="18"/>
      <c r="AC11" s="19"/>
      <c r="AD11" s="19"/>
      <c r="AE11" s="18"/>
      <c r="AF11" s="18"/>
      <c r="AG11" s="18"/>
    </row>
    <row r="12" customFormat="false" ht="15" hidden="false" customHeight="false" outlineLevel="0" collapsed="false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4" t="str">
        <f aca="false">IF(COUNTA(I12:L12)=0,"",SUMIFS('3 Hazed Questions'!$E$2:$E$23,'3 Hazed Questions'!$A$2:$A$23,"Q1",'3 Hazed Questions'!$C$2:$C$23,I12)+SUMIFS('3 Hazed Questions'!$E$2:$E$23,'3 Hazed Questions'!$A$2:$A$23,"Q2",'3 Hazed Questions'!$C$2:$C$23,J12)+SUMIFS('3 Hazed Questions'!$E$2:$E$23,'3 Hazed Questions'!$A$2:$A$23,"Q3",'3 Hazed Questions'!$C$2:$C$23,K12)+SUMIFS('3 Hazed Questions'!$E$2:$E$23,'3 Hazed Questions'!$A$2:$A$23,"Q4",'3 Hazed Questions'!$C$2:$C$23,L12))</f>
        <v/>
      </c>
      <c r="O12" s="14" t="str">
        <f aca="false">IF(COUNTA(I12:L12)=0,"",SUMIFS('3 Hazed Questions'!$F$2:$F$23,'3 Hazed Questions'!$A$2:$A$23,"Q1",'3 Hazed Questions'!$C$2:$C$23,I12)+SUMIFS('3 Hazed Questions'!$F$2:$F$23,'3 Hazed Questions'!$A$2:$A$23,"Q2",'3 Hazed Questions'!$C$2:$C$23,J12)+SUMIFS('3 Hazed Questions'!$F$2:$F$23,'3 Hazed Questions'!$A$2:$A$23,"Q3",'3 Hazed Questions'!$C$2:$C$23,K12)+SUMIFS('3 Hazed Questions'!$F$2:$F$23,'3 Hazed Questions'!$A$2:$A$23,"Q4",'3 Hazed Questions'!$C$2:$C$23,L12))</f>
        <v/>
      </c>
      <c r="P12" s="14" t="str">
        <f aca="false">IF(COUNTA(I12:L12)=0,"",SUMIFS('3 Hazed Questions'!$G$2:$G$23,'3 Hazed Questions'!$A$2:$A$23,"Q1",'3 Hazed Questions'!$C$2:$C$23,I12)+SUMIFS('3 Hazed Questions'!$G$2:$G$23,'3 Hazed Questions'!$A$2:$A$23,"Q2",'3 Hazed Questions'!$C$2:$C$23,J12)+SUMIFS('3 Hazed Questions'!$G$2:$G$23,'3 Hazed Questions'!$A$2:$A$23,"Q3",'3 Hazed Questions'!$C$2:$C$23,K12)+SUMIFS('3 Hazed Questions'!$G$2:$G$23,'3 Hazed Questions'!$A$2:$A$23,"Q4",'3 Hazed Questions'!$C$2:$C$23,L12))</f>
        <v/>
      </c>
      <c r="Q12" s="14" t="str">
        <f aca="false">IF(COUNTA(I12:L12)=0,"",SUMIFS('3 Hazed Questions'!$H$2:$H$23,'3 Hazed Questions'!$A$2:$A$23,"Q1",'3 Hazed Questions'!$C$2:$C$23,I12)+SUMIFS('3 Hazed Questions'!$H$2:$H$23,'3 Hazed Questions'!$A$2:$A$23,"Q2",'3 Hazed Questions'!$C$2:$C$23,J12)+SUMIFS('3 Hazed Questions'!$H$2:$H$23,'3 Hazed Questions'!$A$2:$A$23,"Q3",'3 Hazed Questions'!$C$2:$C$23,K12)+SUMIFS('3 Hazed Questions'!$H$2:$H$23,'3 Hazed Questions'!$A$2:$A$23,"Q4",'3 Hazed Questions'!$C$2:$C$23,L12))</f>
        <v/>
      </c>
      <c r="R12" s="14" t="str">
        <f aca="false">IF(COUNTA(I12:L12)=0,"",SUMIFS('3 Hazed Questions'!$I$2:$I$23,'3 Hazed Questions'!$A$2:$A$23,"Q1",'3 Hazed Questions'!$C$2:$C$23,I12)+SUMIFS('3 Hazed Questions'!$I$2:$I$23,'3 Hazed Questions'!$A$2:$A$23,"Q2",'3 Hazed Questions'!$C$2:$C$23,J12)+SUMIFS('3 Hazed Questions'!$I$2:$I$23,'3 Hazed Questions'!$A$2:$A$23,"Q3",'3 Hazed Questions'!$C$2:$C$23,K12)+SUMIFS('3 Hazed Questions'!$I$2:$I$23,'3 Hazed Questions'!$A$2:$A$23,"Q4",'3 Hazed Questions'!$C$2:$C$23,L12))</f>
        <v/>
      </c>
      <c r="S12" s="14" t="str">
        <f aca="false">IF(COUNTA(I12:L12)=0,"",SUMIFS('3 Hazed Questions'!$J$2:$J$23,'3 Hazed Questions'!$A$2:$A$23,"Q1",'3 Hazed Questions'!$C$2:$C$23,I12)+SUMIFS('3 Hazed Questions'!$J$2:$J$23,'3 Hazed Questions'!$A$2:$A$23,"Q2",'3 Hazed Questions'!$C$2:$C$23,J12)+SUMIFS('3 Hazed Questions'!$J$2:$J$23,'3 Hazed Questions'!$A$2:$A$23,"Q3",'3 Hazed Questions'!$C$2:$C$23,K12)+SUMIFS('3 Hazed Questions'!$J$2:$J$23,'3 Hazed Questions'!$A$2:$A$23,"Q4",'3 Hazed Questions'!$C$2:$C$23,L12))</f>
        <v/>
      </c>
      <c r="T12" s="14" t="str">
        <f aca="false">IF(COUNTA(I12:L12)=0,"",SUMIFS('3 Hazed Questions'!$K$2:$K$23,'3 Hazed Questions'!$A$2:$A$23,"Q1",'3 Hazed Questions'!$C$2:$C$23,I12)+SUMIFS('3 Hazed Questions'!$K$2:$K$23,'3 Hazed Questions'!$A$2:$A$23,"Q2",'3 Hazed Questions'!$C$2:$C$23,J12)+SUMIFS('3 Hazed Questions'!$K$2:$K$23,'3 Hazed Questions'!$A$2:$A$23,"Q3",'3 Hazed Questions'!$C$2:$C$23,K12)+SUMIFS('3 Hazed Questions'!$K$2:$K$23,'3 Hazed Questions'!$A$2:$A$23,"Q4",'3 Hazed Questions'!$C$2:$C$23,L12))</f>
        <v/>
      </c>
      <c r="U12" s="14" t="str">
        <f aca="false">IF(COUNTA(I12:L12)=0,"",SUMIFS('3 Hazed Questions'!$L$2:$L$23,'3 Hazed Questions'!$A$2:$A$23,"Q1",'3 Hazed Questions'!$C$2:$C$23,I12)+SUMIFS('3 Hazed Questions'!$L$2:$L$23,'3 Hazed Questions'!$A$2:$A$23,"Q2",'3 Hazed Questions'!$C$2:$C$23,J12)+SUMIFS('3 Hazed Questions'!$L$2:$L$23,'3 Hazed Questions'!$A$2:$A$23,"Q3",'3 Hazed Questions'!$C$2:$C$23,K12)+SUMIFS('3 Hazed Questions'!$L$2:$L$23,'3 Hazed Questions'!$A$2:$A$23,"Q4",'3 Hazed Questions'!$C$2:$C$23,L12))</f>
        <v/>
      </c>
      <c r="V12" s="14" t="str">
        <f aca="false">IF(COUNTA(I12:L12)=0,"",SUMIFS('3 Hazed Questions'!$M$2:$M$23,'3 Hazed Questions'!$A$2:$A$23,"Q1",'3 Hazed Questions'!$C$2:$C$23,I12)+SUMIFS('3 Hazed Questions'!$M$2:$M$23,'3 Hazed Questions'!$A$2:$A$23,"Q2",'3 Hazed Questions'!$C$2:$C$23,J12)+SUMIFS('3 Hazed Questions'!$M$2:$M$23,'3 Hazed Questions'!$A$2:$A$23,"Q3",'3 Hazed Questions'!$C$2:$C$23,K12)+SUMIFS('3 Hazed Questions'!$M$2:$M$23,'3 Hazed Questions'!$A$2:$A$23,"Q4",'3 Hazed Questions'!$C$2:$C$23,L12))</f>
        <v/>
      </c>
      <c r="W12" s="14" t="str">
        <f aca="false">IF(COUNTA(I12:L12)=0,"",SUMIFS('3 Hazed Questions'!$N$2:$N$23,'3 Hazed Questions'!$A$2:$A$23,"Q1",'3 Hazed Questions'!$C$2:$C$23,I12)+SUMIFS('3 Hazed Questions'!$N$2:$N$23,'3 Hazed Questions'!$A$2:$A$23,"Q2",'3 Hazed Questions'!$C$2:$C$23,J12)+SUMIFS('3 Hazed Questions'!$N$2:$N$23,'3 Hazed Questions'!$A$2:$A$23,"Q3",'3 Hazed Questions'!$C$2:$C$23,K12)+SUMIFS('3 Hazed Questions'!$N$2:$N$23,'3 Hazed Questions'!$A$2:$A$23,"Q4",'3 Hazed Questions'!$C$2:$C$23,L12))</f>
        <v/>
      </c>
      <c r="X12" s="14" t="str">
        <f aca="false">IF(COUNTA(I12:L12)=0,"",INDEX(Fields!$B$2:$B$50,MATCH(SUBSTITUTE(INDEX($N$1:$W$1,MATCH(MAX($N12:$W12),$N12:$W12,0)),"Score: ",""),Fields!$A$2:$A$50,0)))</f>
        <v/>
      </c>
      <c r="Y12" s="14" t="str">
        <f aca="true">IF(COUNTA(I12:L12)=0,"",IF(LARGE($N12:$W12,2)=0,"-",INDEX(Fields!$B$2:$B$50,MATCH(SUBSTITUTE(INDEX($N$1:$W$1,IF(LARGE($N12:$W12,2)=MAX($N12:$W12),MATCH(MAX($N12:$W12),OFFSET($N12:$W12,0,MATCH(MAX($N12:$W12),$N12:$W12,0),1,10-MATCH(MAX($N12:$W12),$N12:$W12,0)),0)+MATCH(MAX($N12:$W12),$N12:$W12,0),MATCH(LARGE($N12:$W12,2),$N12:$W12,0))),"Score: ",""),Fields!$A$2:$A$50,0))))</f>
        <v/>
      </c>
      <c r="Z12" s="14" t="str">
        <f aca="false">IF(M12="","",IFERROR(INDEX('3 Hazed Questions'!$O$2:$O$23,MATCH(1,INDEX(('3 Hazed Questions'!$A$2:$A$23="Q5")*('3 Hazed Questions'!$C$2:$C$23=M12),0),0))&amp;"",""))</f>
        <v/>
      </c>
      <c r="AA12" s="18"/>
      <c r="AB12" s="18"/>
      <c r="AC12" s="19"/>
      <c r="AD12" s="19"/>
      <c r="AE12" s="18"/>
      <c r="AF12" s="18"/>
      <c r="AG12" s="18"/>
    </row>
    <row r="13" customFormat="false" ht="15" hidden="false" customHeight="false" outlineLevel="0" collapsed="false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4" t="str">
        <f aca="false">IF(COUNTA(I13:L13)=0,"",SUMIFS('3 Hazed Questions'!$E$2:$E$23,'3 Hazed Questions'!$A$2:$A$23,"Q1",'3 Hazed Questions'!$C$2:$C$23,I13)+SUMIFS('3 Hazed Questions'!$E$2:$E$23,'3 Hazed Questions'!$A$2:$A$23,"Q2",'3 Hazed Questions'!$C$2:$C$23,J13)+SUMIFS('3 Hazed Questions'!$E$2:$E$23,'3 Hazed Questions'!$A$2:$A$23,"Q3",'3 Hazed Questions'!$C$2:$C$23,K13)+SUMIFS('3 Hazed Questions'!$E$2:$E$23,'3 Hazed Questions'!$A$2:$A$23,"Q4",'3 Hazed Questions'!$C$2:$C$23,L13))</f>
        <v/>
      </c>
      <c r="O13" s="14" t="str">
        <f aca="false">IF(COUNTA(I13:L13)=0,"",SUMIFS('3 Hazed Questions'!$F$2:$F$23,'3 Hazed Questions'!$A$2:$A$23,"Q1",'3 Hazed Questions'!$C$2:$C$23,I13)+SUMIFS('3 Hazed Questions'!$F$2:$F$23,'3 Hazed Questions'!$A$2:$A$23,"Q2",'3 Hazed Questions'!$C$2:$C$23,J13)+SUMIFS('3 Hazed Questions'!$F$2:$F$23,'3 Hazed Questions'!$A$2:$A$23,"Q3",'3 Hazed Questions'!$C$2:$C$23,K13)+SUMIFS('3 Hazed Questions'!$F$2:$F$23,'3 Hazed Questions'!$A$2:$A$23,"Q4",'3 Hazed Questions'!$C$2:$C$23,L13))</f>
        <v/>
      </c>
      <c r="P13" s="14" t="str">
        <f aca="false">IF(COUNTA(I13:L13)=0,"",SUMIFS('3 Hazed Questions'!$G$2:$G$23,'3 Hazed Questions'!$A$2:$A$23,"Q1",'3 Hazed Questions'!$C$2:$C$23,I13)+SUMIFS('3 Hazed Questions'!$G$2:$G$23,'3 Hazed Questions'!$A$2:$A$23,"Q2",'3 Hazed Questions'!$C$2:$C$23,J13)+SUMIFS('3 Hazed Questions'!$G$2:$G$23,'3 Hazed Questions'!$A$2:$A$23,"Q3",'3 Hazed Questions'!$C$2:$C$23,K13)+SUMIFS('3 Hazed Questions'!$G$2:$G$23,'3 Hazed Questions'!$A$2:$A$23,"Q4",'3 Hazed Questions'!$C$2:$C$23,L13))</f>
        <v/>
      </c>
      <c r="Q13" s="14" t="str">
        <f aca="false">IF(COUNTA(I13:L13)=0,"",SUMIFS('3 Hazed Questions'!$H$2:$H$23,'3 Hazed Questions'!$A$2:$A$23,"Q1",'3 Hazed Questions'!$C$2:$C$23,I13)+SUMIFS('3 Hazed Questions'!$H$2:$H$23,'3 Hazed Questions'!$A$2:$A$23,"Q2",'3 Hazed Questions'!$C$2:$C$23,J13)+SUMIFS('3 Hazed Questions'!$H$2:$H$23,'3 Hazed Questions'!$A$2:$A$23,"Q3",'3 Hazed Questions'!$C$2:$C$23,K13)+SUMIFS('3 Hazed Questions'!$H$2:$H$23,'3 Hazed Questions'!$A$2:$A$23,"Q4",'3 Hazed Questions'!$C$2:$C$23,L13))</f>
        <v/>
      </c>
      <c r="R13" s="14" t="str">
        <f aca="false">IF(COUNTA(I13:L13)=0,"",SUMIFS('3 Hazed Questions'!$I$2:$I$23,'3 Hazed Questions'!$A$2:$A$23,"Q1",'3 Hazed Questions'!$C$2:$C$23,I13)+SUMIFS('3 Hazed Questions'!$I$2:$I$23,'3 Hazed Questions'!$A$2:$A$23,"Q2",'3 Hazed Questions'!$C$2:$C$23,J13)+SUMIFS('3 Hazed Questions'!$I$2:$I$23,'3 Hazed Questions'!$A$2:$A$23,"Q3",'3 Hazed Questions'!$C$2:$C$23,K13)+SUMIFS('3 Hazed Questions'!$I$2:$I$23,'3 Hazed Questions'!$A$2:$A$23,"Q4",'3 Hazed Questions'!$C$2:$C$23,L13))</f>
        <v/>
      </c>
      <c r="S13" s="14" t="str">
        <f aca="false">IF(COUNTA(I13:L13)=0,"",SUMIFS('3 Hazed Questions'!$J$2:$J$23,'3 Hazed Questions'!$A$2:$A$23,"Q1",'3 Hazed Questions'!$C$2:$C$23,I13)+SUMIFS('3 Hazed Questions'!$J$2:$J$23,'3 Hazed Questions'!$A$2:$A$23,"Q2",'3 Hazed Questions'!$C$2:$C$23,J13)+SUMIFS('3 Hazed Questions'!$J$2:$J$23,'3 Hazed Questions'!$A$2:$A$23,"Q3",'3 Hazed Questions'!$C$2:$C$23,K13)+SUMIFS('3 Hazed Questions'!$J$2:$J$23,'3 Hazed Questions'!$A$2:$A$23,"Q4",'3 Hazed Questions'!$C$2:$C$23,L13))</f>
        <v/>
      </c>
      <c r="T13" s="14" t="str">
        <f aca="false">IF(COUNTA(I13:L13)=0,"",SUMIFS('3 Hazed Questions'!$K$2:$K$23,'3 Hazed Questions'!$A$2:$A$23,"Q1",'3 Hazed Questions'!$C$2:$C$23,I13)+SUMIFS('3 Hazed Questions'!$K$2:$K$23,'3 Hazed Questions'!$A$2:$A$23,"Q2",'3 Hazed Questions'!$C$2:$C$23,J13)+SUMIFS('3 Hazed Questions'!$K$2:$K$23,'3 Hazed Questions'!$A$2:$A$23,"Q3",'3 Hazed Questions'!$C$2:$C$23,K13)+SUMIFS('3 Hazed Questions'!$K$2:$K$23,'3 Hazed Questions'!$A$2:$A$23,"Q4",'3 Hazed Questions'!$C$2:$C$23,L13))</f>
        <v/>
      </c>
      <c r="U13" s="14" t="str">
        <f aca="false">IF(COUNTA(I13:L13)=0,"",SUMIFS('3 Hazed Questions'!$L$2:$L$23,'3 Hazed Questions'!$A$2:$A$23,"Q1",'3 Hazed Questions'!$C$2:$C$23,I13)+SUMIFS('3 Hazed Questions'!$L$2:$L$23,'3 Hazed Questions'!$A$2:$A$23,"Q2",'3 Hazed Questions'!$C$2:$C$23,J13)+SUMIFS('3 Hazed Questions'!$L$2:$L$23,'3 Hazed Questions'!$A$2:$A$23,"Q3",'3 Hazed Questions'!$C$2:$C$23,K13)+SUMIFS('3 Hazed Questions'!$L$2:$L$23,'3 Hazed Questions'!$A$2:$A$23,"Q4",'3 Hazed Questions'!$C$2:$C$23,L13))</f>
        <v/>
      </c>
      <c r="V13" s="14" t="str">
        <f aca="false">IF(COUNTA(I13:L13)=0,"",SUMIFS('3 Hazed Questions'!$M$2:$M$23,'3 Hazed Questions'!$A$2:$A$23,"Q1",'3 Hazed Questions'!$C$2:$C$23,I13)+SUMIFS('3 Hazed Questions'!$M$2:$M$23,'3 Hazed Questions'!$A$2:$A$23,"Q2",'3 Hazed Questions'!$C$2:$C$23,J13)+SUMIFS('3 Hazed Questions'!$M$2:$M$23,'3 Hazed Questions'!$A$2:$A$23,"Q3",'3 Hazed Questions'!$C$2:$C$23,K13)+SUMIFS('3 Hazed Questions'!$M$2:$M$23,'3 Hazed Questions'!$A$2:$A$23,"Q4",'3 Hazed Questions'!$C$2:$C$23,L13))</f>
        <v/>
      </c>
      <c r="W13" s="14" t="str">
        <f aca="false">IF(COUNTA(I13:L13)=0,"",SUMIFS('3 Hazed Questions'!$N$2:$N$23,'3 Hazed Questions'!$A$2:$A$23,"Q1",'3 Hazed Questions'!$C$2:$C$23,I13)+SUMIFS('3 Hazed Questions'!$N$2:$N$23,'3 Hazed Questions'!$A$2:$A$23,"Q2",'3 Hazed Questions'!$C$2:$C$23,J13)+SUMIFS('3 Hazed Questions'!$N$2:$N$23,'3 Hazed Questions'!$A$2:$A$23,"Q3",'3 Hazed Questions'!$C$2:$C$23,K13)+SUMIFS('3 Hazed Questions'!$N$2:$N$23,'3 Hazed Questions'!$A$2:$A$23,"Q4",'3 Hazed Questions'!$C$2:$C$23,L13))</f>
        <v/>
      </c>
      <c r="X13" s="14" t="str">
        <f aca="false">IF(COUNTA(I13:L13)=0,"",INDEX(Fields!$B$2:$B$50,MATCH(SUBSTITUTE(INDEX($N$1:$W$1,MATCH(MAX($N13:$W13),$N13:$W13,0)),"Score: ",""),Fields!$A$2:$A$50,0)))</f>
        <v/>
      </c>
      <c r="Y13" s="14" t="str">
        <f aca="true">IF(COUNTA(I13:L13)=0,"",IF(LARGE($N13:$W13,2)=0,"-",INDEX(Fields!$B$2:$B$50,MATCH(SUBSTITUTE(INDEX($N$1:$W$1,IF(LARGE($N13:$W13,2)=MAX($N13:$W13),MATCH(MAX($N13:$W13),OFFSET($N13:$W13,0,MATCH(MAX($N13:$W13),$N13:$W13,0),1,10-MATCH(MAX($N13:$W13),$N13:$W13,0)),0)+MATCH(MAX($N13:$W13),$N13:$W13,0),MATCH(LARGE($N13:$W13,2),$N13:$W13,0))),"Score: ",""),Fields!$A$2:$A$50,0))))</f>
        <v/>
      </c>
      <c r="Z13" s="14" t="str">
        <f aca="false">IF(M13="","",IFERROR(INDEX('3 Hazed Questions'!$O$2:$O$23,MATCH(1,INDEX(('3 Hazed Questions'!$A$2:$A$23="Q5")*('3 Hazed Questions'!$C$2:$C$23=M13),0),0))&amp;"",""))</f>
        <v/>
      </c>
      <c r="AA13" s="18"/>
      <c r="AB13" s="18"/>
      <c r="AC13" s="19"/>
      <c r="AD13" s="19"/>
      <c r="AE13" s="18"/>
      <c r="AF13" s="18"/>
      <c r="AG13" s="18"/>
    </row>
    <row r="14" customFormat="false" ht="15" hidden="false" customHeight="false" outlineLevel="0" collapsed="false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4" t="str">
        <f aca="false">IF(COUNTA(I14:L14)=0,"",SUMIFS('3 Hazed Questions'!$E$2:$E$23,'3 Hazed Questions'!$A$2:$A$23,"Q1",'3 Hazed Questions'!$C$2:$C$23,I14)+SUMIFS('3 Hazed Questions'!$E$2:$E$23,'3 Hazed Questions'!$A$2:$A$23,"Q2",'3 Hazed Questions'!$C$2:$C$23,J14)+SUMIFS('3 Hazed Questions'!$E$2:$E$23,'3 Hazed Questions'!$A$2:$A$23,"Q3",'3 Hazed Questions'!$C$2:$C$23,K14)+SUMIFS('3 Hazed Questions'!$E$2:$E$23,'3 Hazed Questions'!$A$2:$A$23,"Q4",'3 Hazed Questions'!$C$2:$C$23,L14))</f>
        <v/>
      </c>
      <c r="O14" s="14" t="str">
        <f aca="false">IF(COUNTA(I14:L14)=0,"",SUMIFS('3 Hazed Questions'!$F$2:$F$23,'3 Hazed Questions'!$A$2:$A$23,"Q1",'3 Hazed Questions'!$C$2:$C$23,I14)+SUMIFS('3 Hazed Questions'!$F$2:$F$23,'3 Hazed Questions'!$A$2:$A$23,"Q2",'3 Hazed Questions'!$C$2:$C$23,J14)+SUMIFS('3 Hazed Questions'!$F$2:$F$23,'3 Hazed Questions'!$A$2:$A$23,"Q3",'3 Hazed Questions'!$C$2:$C$23,K14)+SUMIFS('3 Hazed Questions'!$F$2:$F$23,'3 Hazed Questions'!$A$2:$A$23,"Q4",'3 Hazed Questions'!$C$2:$C$23,L14))</f>
        <v/>
      </c>
      <c r="P14" s="14" t="str">
        <f aca="false">IF(COUNTA(I14:L14)=0,"",SUMIFS('3 Hazed Questions'!$G$2:$G$23,'3 Hazed Questions'!$A$2:$A$23,"Q1",'3 Hazed Questions'!$C$2:$C$23,I14)+SUMIFS('3 Hazed Questions'!$G$2:$G$23,'3 Hazed Questions'!$A$2:$A$23,"Q2",'3 Hazed Questions'!$C$2:$C$23,J14)+SUMIFS('3 Hazed Questions'!$G$2:$G$23,'3 Hazed Questions'!$A$2:$A$23,"Q3",'3 Hazed Questions'!$C$2:$C$23,K14)+SUMIFS('3 Hazed Questions'!$G$2:$G$23,'3 Hazed Questions'!$A$2:$A$23,"Q4",'3 Hazed Questions'!$C$2:$C$23,L14))</f>
        <v/>
      </c>
      <c r="Q14" s="14" t="str">
        <f aca="false">IF(COUNTA(I14:L14)=0,"",SUMIFS('3 Hazed Questions'!$H$2:$H$23,'3 Hazed Questions'!$A$2:$A$23,"Q1",'3 Hazed Questions'!$C$2:$C$23,I14)+SUMIFS('3 Hazed Questions'!$H$2:$H$23,'3 Hazed Questions'!$A$2:$A$23,"Q2",'3 Hazed Questions'!$C$2:$C$23,J14)+SUMIFS('3 Hazed Questions'!$H$2:$H$23,'3 Hazed Questions'!$A$2:$A$23,"Q3",'3 Hazed Questions'!$C$2:$C$23,K14)+SUMIFS('3 Hazed Questions'!$H$2:$H$23,'3 Hazed Questions'!$A$2:$A$23,"Q4",'3 Hazed Questions'!$C$2:$C$23,L14))</f>
        <v/>
      </c>
      <c r="R14" s="14" t="str">
        <f aca="false">IF(COUNTA(I14:L14)=0,"",SUMIFS('3 Hazed Questions'!$I$2:$I$23,'3 Hazed Questions'!$A$2:$A$23,"Q1",'3 Hazed Questions'!$C$2:$C$23,I14)+SUMIFS('3 Hazed Questions'!$I$2:$I$23,'3 Hazed Questions'!$A$2:$A$23,"Q2",'3 Hazed Questions'!$C$2:$C$23,J14)+SUMIFS('3 Hazed Questions'!$I$2:$I$23,'3 Hazed Questions'!$A$2:$A$23,"Q3",'3 Hazed Questions'!$C$2:$C$23,K14)+SUMIFS('3 Hazed Questions'!$I$2:$I$23,'3 Hazed Questions'!$A$2:$A$23,"Q4",'3 Hazed Questions'!$C$2:$C$23,L14))</f>
        <v/>
      </c>
      <c r="S14" s="14" t="str">
        <f aca="false">IF(COUNTA(I14:L14)=0,"",SUMIFS('3 Hazed Questions'!$J$2:$J$23,'3 Hazed Questions'!$A$2:$A$23,"Q1",'3 Hazed Questions'!$C$2:$C$23,I14)+SUMIFS('3 Hazed Questions'!$J$2:$J$23,'3 Hazed Questions'!$A$2:$A$23,"Q2",'3 Hazed Questions'!$C$2:$C$23,J14)+SUMIFS('3 Hazed Questions'!$J$2:$J$23,'3 Hazed Questions'!$A$2:$A$23,"Q3",'3 Hazed Questions'!$C$2:$C$23,K14)+SUMIFS('3 Hazed Questions'!$J$2:$J$23,'3 Hazed Questions'!$A$2:$A$23,"Q4",'3 Hazed Questions'!$C$2:$C$23,L14))</f>
        <v/>
      </c>
      <c r="T14" s="14" t="str">
        <f aca="false">IF(COUNTA(I14:L14)=0,"",SUMIFS('3 Hazed Questions'!$K$2:$K$23,'3 Hazed Questions'!$A$2:$A$23,"Q1",'3 Hazed Questions'!$C$2:$C$23,I14)+SUMIFS('3 Hazed Questions'!$K$2:$K$23,'3 Hazed Questions'!$A$2:$A$23,"Q2",'3 Hazed Questions'!$C$2:$C$23,J14)+SUMIFS('3 Hazed Questions'!$K$2:$K$23,'3 Hazed Questions'!$A$2:$A$23,"Q3",'3 Hazed Questions'!$C$2:$C$23,K14)+SUMIFS('3 Hazed Questions'!$K$2:$K$23,'3 Hazed Questions'!$A$2:$A$23,"Q4",'3 Hazed Questions'!$C$2:$C$23,L14))</f>
        <v/>
      </c>
      <c r="U14" s="14" t="str">
        <f aca="false">IF(COUNTA(I14:L14)=0,"",SUMIFS('3 Hazed Questions'!$L$2:$L$23,'3 Hazed Questions'!$A$2:$A$23,"Q1",'3 Hazed Questions'!$C$2:$C$23,I14)+SUMIFS('3 Hazed Questions'!$L$2:$L$23,'3 Hazed Questions'!$A$2:$A$23,"Q2",'3 Hazed Questions'!$C$2:$C$23,J14)+SUMIFS('3 Hazed Questions'!$L$2:$L$23,'3 Hazed Questions'!$A$2:$A$23,"Q3",'3 Hazed Questions'!$C$2:$C$23,K14)+SUMIFS('3 Hazed Questions'!$L$2:$L$23,'3 Hazed Questions'!$A$2:$A$23,"Q4",'3 Hazed Questions'!$C$2:$C$23,L14))</f>
        <v/>
      </c>
      <c r="V14" s="14" t="str">
        <f aca="false">IF(COUNTA(I14:L14)=0,"",SUMIFS('3 Hazed Questions'!$M$2:$M$23,'3 Hazed Questions'!$A$2:$A$23,"Q1",'3 Hazed Questions'!$C$2:$C$23,I14)+SUMIFS('3 Hazed Questions'!$M$2:$M$23,'3 Hazed Questions'!$A$2:$A$23,"Q2",'3 Hazed Questions'!$C$2:$C$23,J14)+SUMIFS('3 Hazed Questions'!$M$2:$M$23,'3 Hazed Questions'!$A$2:$A$23,"Q3",'3 Hazed Questions'!$C$2:$C$23,K14)+SUMIFS('3 Hazed Questions'!$M$2:$M$23,'3 Hazed Questions'!$A$2:$A$23,"Q4",'3 Hazed Questions'!$C$2:$C$23,L14))</f>
        <v/>
      </c>
      <c r="W14" s="14" t="str">
        <f aca="false">IF(COUNTA(I14:L14)=0,"",SUMIFS('3 Hazed Questions'!$N$2:$N$23,'3 Hazed Questions'!$A$2:$A$23,"Q1",'3 Hazed Questions'!$C$2:$C$23,I14)+SUMIFS('3 Hazed Questions'!$N$2:$N$23,'3 Hazed Questions'!$A$2:$A$23,"Q2",'3 Hazed Questions'!$C$2:$C$23,J14)+SUMIFS('3 Hazed Questions'!$N$2:$N$23,'3 Hazed Questions'!$A$2:$A$23,"Q3",'3 Hazed Questions'!$C$2:$C$23,K14)+SUMIFS('3 Hazed Questions'!$N$2:$N$23,'3 Hazed Questions'!$A$2:$A$23,"Q4",'3 Hazed Questions'!$C$2:$C$23,L14))</f>
        <v/>
      </c>
      <c r="X14" s="14" t="str">
        <f aca="false">IF(COUNTA(I14:L14)=0,"",INDEX(Fields!$B$2:$B$50,MATCH(SUBSTITUTE(INDEX($N$1:$W$1,MATCH(MAX($N14:$W14),$N14:$W14,0)),"Score: ",""),Fields!$A$2:$A$50,0)))</f>
        <v/>
      </c>
      <c r="Y14" s="14" t="str">
        <f aca="true">IF(COUNTA(I14:L14)=0,"",IF(LARGE($N14:$W14,2)=0,"-",INDEX(Fields!$B$2:$B$50,MATCH(SUBSTITUTE(INDEX($N$1:$W$1,IF(LARGE($N14:$W14,2)=MAX($N14:$W14),MATCH(MAX($N14:$W14),OFFSET($N14:$W14,0,MATCH(MAX($N14:$W14),$N14:$W14,0),1,10-MATCH(MAX($N14:$W14),$N14:$W14,0)),0)+MATCH(MAX($N14:$W14),$N14:$W14,0),MATCH(LARGE($N14:$W14,2),$N14:$W14,0))),"Score: ",""),Fields!$A$2:$A$50,0))))</f>
        <v/>
      </c>
      <c r="Z14" s="14" t="str">
        <f aca="false">IF(M14="","",IFERROR(INDEX('3 Hazed Questions'!$O$2:$O$23,MATCH(1,INDEX(('3 Hazed Questions'!$A$2:$A$23="Q5")*('3 Hazed Questions'!$C$2:$C$23=M14),0),0))&amp;"",""))</f>
        <v/>
      </c>
      <c r="AA14" s="18"/>
      <c r="AB14" s="18"/>
      <c r="AC14" s="19"/>
      <c r="AD14" s="19"/>
      <c r="AE14" s="18"/>
      <c r="AF14" s="18"/>
      <c r="AG14" s="18"/>
    </row>
    <row r="15" customFormat="false" ht="15" hidden="false" customHeight="false" outlineLevel="0" collapsed="false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4" t="str">
        <f aca="false">IF(COUNTA(I15:L15)=0,"",SUMIFS('3 Hazed Questions'!$E$2:$E$23,'3 Hazed Questions'!$A$2:$A$23,"Q1",'3 Hazed Questions'!$C$2:$C$23,I15)+SUMIFS('3 Hazed Questions'!$E$2:$E$23,'3 Hazed Questions'!$A$2:$A$23,"Q2",'3 Hazed Questions'!$C$2:$C$23,J15)+SUMIFS('3 Hazed Questions'!$E$2:$E$23,'3 Hazed Questions'!$A$2:$A$23,"Q3",'3 Hazed Questions'!$C$2:$C$23,K15)+SUMIFS('3 Hazed Questions'!$E$2:$E$23,'3 Hazed Questions'!$A$2:$A$23,"Q4",'3 Hazed Questions'!$C$2:$C$23,L15))</f>
        <v/>
      </c>
      <c r="O15" s="14" t="str">
        <f aca="false">IF(COUNTA(I15:L15)=0,"",SUMIFS('3 Hazed Questions'!$F$2:$F$23,'3 Hazed Questions'!$A$2:$A$23,"Q1",'3 Hazed Questions'!$C$2:$C$23,I15)+SUMIFS('3 Hazed Questions'!$F$2:$F$23,'3 Hazed Questions'!$A$2:$A$23,"Q2",'3 Hazed Questions'!$C$2:$C$23,J15)+SUMIFS('3 Hazed Questions'!$F$2:$F$23,'3 Hazed Questions'!$A$2:$A$23,"Q3",'3 Hazed Questions'!$C$2:$C$23,K15)+SUMIFS('3 Hazed Questions'!$F$2:$F$23,'3 Hazed Questions'!$A$2:$A$23,"Q4",'3 Hazed Questions'!$C$2:$C$23,L15))</f>
        <v/>
      </c>
      <c r="P15" s="14" t="str">
        <f aca="false">IF(COUNTA(I15:L15)=0,"",SUMIFS('3 Hazed Questions'!$G$2:$G$23,'3 Hazed Questions'!$A$2:$A$23,"Q1",'3 Hazed Questions'!$C$2:$C$23,I15)+SUMIFS('3 Hazed Questions'!$G$2:$G$23,'3 Hazed Questions'!$A$2:$A$23,"Q2",'3 Hazed Questions'!$C$2:$C$23,J15)+SUMIFS('3 Hazed Questions'!$G$2:$G$23,'3 Hazed Questions'!$A$2:$A$23,"Q3",'3 Hazed Questions'!$C$2:$C$23,K15)+SUMIFS('3 Hazed Questions'!$G$2:$G$23,'3 Hazed Questions'!$A$2:$A$23,"Q4",'3 Hazed Questions'!$C$2:$C$23,L15))</f>
        <v/>
      </c>
      <c r="Q15" s="14" t="str">
        <f aca="false">IF(COUNTA(I15:L15)=0,"",SUMIFS('3 Hazed Questions'!$H$2:$H$23,'3 Hazed Questions'!$A$2:$A$23,"Q1",'3 Hazed Questions'!$C$2:$C$23,I15)+SUMIFS('3 Hazed Questions'!$H$2:$H$23,'3 Hazed Questions'!$A$2:$A$23,"Q2",'3 Hazed Questions'!$C$2:$C$23,J15)+SUMIFS('3 Hazed Questions'!$H$2:$H$23,'3 Hazed Questions'!$A$2:$A$23,"Q3",'3 Hazed Questions'!$C$2:$C$23,K15)+SUMIFS('3 Hazed Questions'!$H$2:$H$23,'3 Hazed Questions'!$A$2:$A$23,"Q4",'3 Hazed Questions'!$C$2:$C$23,L15))</f>
        <v/>
      </c>
      <c r="R15" s="14" t="str">
        <f aca="false">IF(COUNTA(I15:L15)=0,"",SUMIFS('3 Hazed Questions'!$I$2:$I$23,'3 Hazed Questions'!$A$2:$A$23,"Q1",'3 Hazed Questions'!$C$2:$C$23,I15)+SUMIFS('3 Hazed Questions'!$I$2:$I$23,'3 Hazed Questions'!$A$2:$A$23,"Q2",'3 Hazed Questions'!$C$2:$C$23,J15)+SUMIFS('3 Hazed Questions'!$I$2:$I$23,'3 Hazed Questions'!$A$2:$A$23,"Q3",'3 Hazed Questions'!$C$2:$C$23,K15)+SUMIFS('3 Hazed Questions'!$I$2:$I$23,'3 Hazed Questions'!$A$2:$A$23,"Q4",'3 Hazed Questions'!$C$2:$C$23,L15))</f>
        <v/>
      </c>
      <c r="S15" s="14" t="str">
        <f aca="false">IF(COUNTA(I15:L15)=0,"",SUMIFS('3 Hazed Questions'!$J$2:$J$23,'3 Hazed Questions'!$A$2:$A$23,"Q1",'3 Hazed Questions'!$C$2:$C$23,I15)+SUMIFS('3 Hazed Questions'!$J$2:$J$23,'3 Hazed Questions'!$A$2:$A$23,"Q2",'3 Hazed Questions'!$C$2:$C$23,J15)+SUMIFS('3 Hazed Questions'!$J$2:$J$23,'3 Hazed Questions'!$A$2:$A$23,"Q3",'3 Hazed Questions'!$C$2:$C$23,K15)+SUMIFS('3 Hazed Questions'!$J$2:$J$23,'3 Hazed Questions'!$A$2:$A$23,"Q4",'3 Hazed Questions'!$C$2:$C$23,L15))</f>
        <v/>
      </c>
      <c r="T15" s="14" t="str">
        <f aca="false">IF(COUNTA(I15:L15)=0,"",SUMIFS('3 Hazed Questions'!$K$2:$K$23,'3 Hazed Questions'!$A$2:$A$23,"Q1",'3 Hazed Questions'!$C$2:$C$23,I15)+SUMIFS('3 Hazed Questions'!$K$2:$K$23,'3 Hazed Questions'!$A$2:$A$23,"Q2",'3 Hazed Questions'!$C$2:$C$23,J15)+SUMIFS('3 Hazed Questions'!$K$2:$K$23,'3 Hazed Questions'!$A$2:$A$23,"Q3",'3 Hazed Questions'!$C$2:$C$23,K15)+SUMIFS('3 Hazed Questions'!$K$2:$K$23,'3 Hazed Questions'!$A$2:$A$23,"Q4",'3 Hazed Questions'!$C$2:$C$23,L15))</f>
        <v/>
      </c>
      <c r="U15" s="14" t="str">
        <f aca="false">IF(COUNTA(I15:L15)=0,"",SUMIFS('3 Hazed Questions'!$L$2:$L$23,'3 Hazed Questions'!$A$2:$A$23,"Q1",'3 Hazed Questions'!$C$2:$C$23,I15)+SUMIFS('3 Hazed Questions'!$L$2:$L$23,'3 Hazed Questions'!$A$2:$A$23,"Q2",'3 Hazed Questions'!$C$2:$C$23,J15)+SUMIFS('3 Hazed Questions'!$L$2:$L$23,'3 Hazed Questions'!$A$2:$A$23,"Q3",'3 Hazed Questions'!$C$2:$C$23,K15)+SUMIFS('3 Hazed Questions'!$L$2:$L$23,'3 Hazed Questions'!$A$2:$A$23,"Q4",'3 Hazed Questions'!$C$2:$C$23,L15))</f>
        <v/>
      </c>
      <c r="V15" s="14" t="str">
        <f aca="false">IF(COUNTA(I15:L15)=0,"",SUMIFS('3 Hazed Questions'!$M$2:$M$23,'3 Hazed Questions'!$A$2:$A$23,"Q1",'3 Hazed Questions'!$C$2:$C$23,I15)+SUMIFS('3 Hazed Questions'!$M$2:$M$23,'3 Hazed Questions'!$A$2:$A$23,"Q2",'3 Hazed Questions'!$C$2:$C$23,J15)+SUMIFS('3 Hazed Questions'!$M$2:$M$23,'3 Hazed Questions'!$A$2:$A$23,"Q3",'3 Hazed Questions'!$C$2:$C$23,K15)+SUMIFS('3 Hazed Questions'!$M$2:$M$23,'3 Hazed Questions'!$A$2:$A$23,"Q4",'3 Hazed Questions'!$C$2:$C$23,L15))</f>
        <v/>
      </c>
      <c r="W15" s="14" t="str">
        <f aca="false">IF(COUNTA(I15:L15)=0,"",SUMIFS('3 Hazed Questions'!$N$2:$N$23,'3 Hazed Questions'!$A$2:$A$23,"Q1",'3 Hazed Questions'!$C$2:$C$23,I15)+SUMIFS('3 Hazed Questions'!$N$2:$N$23,'3 Hazed Questions'!$A$2:$A$23,"Q2",'3 Hazed Questions'!$C$2:$C$23,J15)+SUMIFS('3 Hazed Questions'!$N$2:$N$23,'3 Hazed Questions'!$A$2:$A$23,"Q3",'3 Hazed Questions'!$C$2:$C$23,K15)+SUMIFS('3 Hazed Questions'!$N$2:$N$23,'3 Hazed Questions'!$A$2:$A$23,"Q4",'3 Hazed Questions'!$C$2:$C$23,L15))</f>
        <v/>
      </c>
      <c r="X15" s="14" t="str">
        <f aca="false">IF(COUNTA(I15:L15)=0,"",INDEX(Fields!$B$2:$B$50,MATCH(SUBSTITUTE(INDEX($N$1:$W$1,MATCH(MAX($N15:$W15),$N15:$W15,0)),"Score: ",""),Fields!$A$2:$A$50,0)))</f>
        <v/>
      </c>
      <c r="Y15" s="14" t="str">
        <f aca="true">IF(COUNTA(I15:L15)=0,"",IF(LARGE($N15:$W15,2)=0,"-",INDEX(Fields!$B$2:$B$50,MATCH(SUBSTITUTE(INDEX($N$1:$W$1,IF(LARGE($N15:$W15,2)=MAX($N15:$W15),MATCH(MAX($N15:$W15),OFFSET($N15:$W15,0,MATCH(MAX($N15:$W15),$N15:$W15,0),1,10-MATCH(MAX($N15:$W15),$N15:$W15,0)),0)+MATCH(MAX($N15:$W15),$N15:$W15,0),MATCH(LARGE($N15:$W15,2),$N15:$W15,0))),"Score: ",""),Fields!$A$2:$A$50,0))))</f>
        <v/>
      </c>
      <c r="Z15" s="14" t="str">
        <f aca="false">IF(M15="","",IFERROR(INDEX('3 Hazed Questions'!$O$2:$O$23,MATCH(1,INDEX(('3 Hazed Questions'!$A$2:$A$23="Q5")*('3 Hazed Questions'!$C$2:$C$23=M15),0),0))&amp;"",""))</f>
        <v/>
      </c>
      <c r="AA15" s="18"/>
      <c r="AB15" s="18"/>
      <c r="AC15" s="19"/>
      <c r="AD15" s="19"/>
      <c r="AE15" s="18"/>
      <c r="AF15" s="18"/>
      <c r="AG15" s="18"/>
    </row>
    <row r="16" customFormat="false" ht="15" hidden="false" customHeight="false" outlineLevel="0" collapsed="false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4" t="str">
        <f aca="false">IF(COUNTA(I16:L16)=0,"",SUMIFS('3 Hazed Questions'!$E$2:$E$23,'3 Hazed Questions'!$A$2:$A$23,"Q1",'3 Hazed Questions'!$C$2:$C$23,I16)+SUMIFS('3 Hazed Questions'!$E$2:$E$23,'3 Hazed Questions'!$A$2:$A$23,"Q2",'3 Hazed Questions'!$C$2:$C$23,J16)+SUMIFS('3 Hazed Questions'!$E$2:$E$23,'3 Hazed Questions'!$A$2:$A$23,"Q3",'3 Hazed Questions'!$C$2:$C$23,K16)+SUMIFS('3 Hazed Questions'!$E$2:$E$23,'3 Hazed Questions'!$A$2:$A$23,"Q4",'3 Hazed Questions'!$C$2:$C$23,L16))</f>
        <v/>
      </c>
      <c r="O16" s="14" t="str">
        <f aca="false">IF(COUNTA(I16:L16)=0,"",SUMIFS('3 Hazed Questions'!$F$2:$F$23,'3 Hazed Questions'!$A$2:$A$23,"Q1",'3 Hazed Questions'!$C$2:$C$23,I16)+SUMIFS('3 Hazed Questions'!$F$2:$F$23,'3 Hazed Questions'!$A$2:$A$23,"Q2",'3 Hazed Questions'!$C$2:$C$23,J16)+SUMIFS('3 Hazed Questions'!$F$2:$F$23,'3 Hazed Questions'!$A$2:$A$23,"Q3",'3 Hazed Questions'!$C$2:$C$23,K16)+SUMIFS('3 Hazed Questions'!$F$2:$F$23,'3 Hazed Questions'!$A$2:$A$23,"Q4",'3 Hazed Questions'!$C$2:$C$23,L16))</f>
        <v/>
      </c>
      <c r="P16" s="14" t="str">
        <f aca="false">IF(COUNTA(I16:L16)=0,"",SUMIFS('3 Hazed Questions'!$G$2:$G$23,'3 Hazed Questions'!$A$2:$A$23,"Q1",'3 Hazed Questions'!$C$2:$C$23,I16)+SUMIFS('3 Hazed Questions'!$G$2:$G$23,'3 Hazed Questions'!$A$2:$A$23,"Q2",'3 Hazed Questions'!$C$2:$C$23,J16)+SUMIFS('3 Hazed Questions'!$G$2:$G$23,'3 Hazed Questions'!$A$2:$A$23,"Q3",'3 Hazed Questions'!$C$2:$C$23,K16)+SUMIFS('3 Hazed Questions'!$G$2:$G$23,'3 Hazed Questions'!$A$2:$A$23,"Q4",'3 Hazed Questions'!$C$2:$C$23,L16))</f>
        <v/>
      </c>
      <c r="Q16" s="14" t="str">
        <f aca="false">IF(COUNTA(I16:L16)=0,"",SUMIFS('3 Hazed Questions'!$H$2:$H$23,'3 Hazed Questions'!$A$2:$A$23,"Q1",'3 Hazed Questions'!$C$2:$C$23,I16)+SUMIFS('3 Hazed Questions'!$H$2:$H$23,'3 Hazed Questions'!$A$2:$A$23,"Q2",'3 Hazed Questions'!$C$2:$C$23,J16)+SUMIFS('3 Hazed Questions'!$H$2:$H$23,'3 Hazed Questions'!$A$2:$A$23,"Q3",'3 Hazed Questions'!$C$2:$C$23,K16)+SUMIFS('3 Hazed Questions'!$H$2:$H$23,'3 Hazed Questions'!$A$2:$A$23,"Q4",'3 Hazed Questions'!$C$2:$C$23,L16))</f>
        <v/>
      </c>
      <c r="R16" s="14" t="str">
        <f aca="false">IF(COUNTA(I16:L16)=0,"",SUMIFS('3 Hazed Questions'!$I$2:$I$23,'3 Hazed Questions'!$A$2:$A$23,"Q1",'3 Hazed Questions'!$C$2:$C$23,I16)+SUMIFS('3 Hazed Questions'!$I$2:$I$23,'3 Hazed Questions'!$A$2:$A$23,"Q2",'3 Hazed Questions'!$C$2:$C$23,J16)+SUMIFS('3 Hazed Questions'!$I$2:$I$23,'3 Hazed Questions'!$A$2:$A$23,"Q3",'3 Hazed Questions'!$C$2:$C$23,K16)+SUMIFS('3 Hazed Questions'!$I$2:$I$23,'3 Hazed Questions'!$A$2:$A$23,"Q4",'3 Hazed Questions'!$C$2:$C$23,L16))</f>
        <v/>
      </c>
      <c r="S16" s="14" t="str">
        <f aca="false">IF(COUNTA(I16:L16)=0,"",SUMIFS('3 Hazed Questions'!$J$2:$J$23,'3 Hazed Questions'!$A$2:$A$23,"Q1",'3 Hazed Questions'!$C$2:$C$23,I16)+SUMIFS('3 Hazed Questions'!$J$2:$J$23,'3 Hazed Questions'!$A$2:$A$23,"Q2",'3 Hazed Questions'!$C$2:$C$23,J16)+SUMIFS('3 Hazed Questions'!$J$2:$J$23,'3 Hazed Questions'!$A$2:$A$23,"Q3",'3 Hazed Questions'!$C$2:$C$23,K16)+SUMIFS('3 Hazed Questions'!$J$2:$J$23,'3 Hazed Questions'!$A$2:$A$23,"Q4",'3 Hazed Questions'!$C$2:$C$23,L16))</f>
        <v/>
      </c>
      <c r="T16" s="14" t="str">
        <f aca="false">IF(COUNTA(I16:L16)=0,"",SUMIFS('3 Hazed Questions'!$K$2:$K$23,'3 Hazed Questions'!$A$2:$A$23,"Q1",'3 Hazed Questions'!$C$2:$C$23,I16)+SUMIFS('3 Hazed Questions'!$K$2:$K$23,'3 Hazed Questions'!$A$2:$A$23,"Q2",'3 Hazed Questions'!$C$2:$C$23,J16)+SUMIFS('3 Hazed Questions'!$K$2:$K$23,'3 Hazed Questions'!$A$2:$A$23,"Q3",'3 Hazed Questions'!$C$2:$C$23,K16)+SUMIFS('3 Hazed Questions'!$K$2:$K$23,'3 Hazed Questions'!$A$2:$A$23,"Q4",'3 Hazed Questions'!$C$2:$C$23,L16))</f>
        <v/>
      </c>
      <c r="U16" s="14" t="str">
        <f aca="false">IF(COUNTA(I16:L16)=0,"",SUMIFS('3 Hazed Questions'!$L$2:$L$23,'3 Hazed Questions'!$A$2:$A$23,"Q1",'3 Hazed Questions'!$C$2:$C$23,I16)+SUMIFS('3 Hazed Questions'!$L$2:$L$23,'3 Hazed Questions'!$A$2:$A$23,"Q2",'3 Hazed Questions'!$C$2:$C$23,J16)+SUMIFS('3 Hazed Questions'!$L$2:$L$23,'3 Hazed Questions'!$A$2:$A$23,"Q3",'3 Hazed Questions'!$C$2:$C$23,K16)+SUMIFS('3 Hazed Questions'!$L$2:$L$23,'3 Hazed Questions'!$A$2:$A$23,"Q4",'3 Hazed Questions'!$C$2:$C$23,L16))</f>
        <v/>
      </c>
      <c r="V16" s="14" t="str">
        <f aca="false">IF(COUNTA(I16:L16)=0,"",SUMIFS('3 Hazed Questions'!$M$2:$M$23,'3 Hazed Questions'!$A$2:$A$23,"Q1",'3 Hazed Questions'!$C$2:$C$23,I16)+SUMIFS('3 Hazed Questions'!$M$2:$M$23,'3 Hazed Questions'!$A$2:$A$23,"Q2",'3 Hazed Questions'!$C$2:$C$23,J16)+SUMIFS('3 Hazed Questions'!$M$2:$M$23,'3 Hazed Questions'!$A$2:$A$23,"Q3",'3 Hazed Questions'!$C$2:$C$23,K16)+SUMIFS('3 Hazed Questions'!$M$2:$M$23,'3 Hazed Questions'!$A$2:$A$23,"Q4",'3 Hazed Questions'!$C$2:$C$23,L16))</f>
        <v/>
      </c>
      <c r="W16" s="14" t="str">
        <f aca="false">IF(COUNTA(I16:L16)=0,"",SUMIFS('3 Hazed Questions'!$N$2:$N$23,'3 Hazed Questions'!$A$2:$A$23,"Q1",'3 Hazed Questions'!$C$2:$C$23,I16)+SUMIFS('3 Hazed Questions'!$N$2:$N$23,'3 Hazed Questions'!$A$2:$A$23,"Q2",'3 Hazed Questions'!$C$2:$C$23,J16)+SUMIFS('3 Hazed Questions'!$N$2:$N$23,'3 Hazed Questions'!$A$2:$A$23,"Q3",'3 Hazed Questions'!$C$2:$C$23,K16)+SUMIFS('3 Hazed Questions'!$N$2:$N$23,'3 Hazed Questions'!$A$2:$A$23,"Q4",'3 Hazed Questions'!$C$2:$C$23,L16))</f>
        <v/>
      </c>
      <c r="X16" s="14" t="str">
        <f aca="false">IF(COUNTA(I16:L16)=0,"",INDEX(Fields!$B$2:$B$50,MATCH(SUBSTITUTE(INDEX($N$1:$W$1,MATCH(MAX($N16:$W16),$N16:$W16,0)),"Score: ",""),Fields!$A$2:$A$50,0)))</f>
        <v/>
      </c>
      <c r="Y16" s="14" t="str">
        <f aca="true">IF(COUNTA(I16:L16)=0,"",IF(LARGE($N16:$W16,2)=0,"-",INDEX(Fields!$B$2:$B$50,MATCH(SUBSTITUTE(INDEX($N$1:$W$1,IF(LARGE($N16:$W16,2)=MAX($N16:$W16),MATCH(MAX($N16:$W16),OFFSET($N16:$W16,0,MATCH(MAX($N16:$W16),$N16:$W16,0),1,10-MATCH(MAX($N16:$W16),$N16:$W16,0)),0)+MATCH(MAX($N16:$W16),$N16:$W16,0),MATCH(LARGE($N16:$W16,2),$N16:$W16,0))),"Score: ",""),Fields!$A$2:$A$50,0))))</f>
        <v/>
      </c>
      <c r="Z16" s="14" t="str">
        <f aca="false">IF(M16="","",IFERROR(INDEX('3 Hazed Questions'!$O$2:$O$23,MATCH(1,INDEX(('3 Hazed Questions'!$A$2:$A$23="Q5")*('3 Hazed Questions'!$C$2:$C$23=M16),0),0))&amp;"",""))</f>
        <v/>
      </c>
      <c r="AA16" s="18"/>
      <c r="AB16" s="18"/>
      <c r="AC16" s="19"/>
      <c r="AD16" s="19"/>
      <c r="AE16" s="18"/>
      <c r="AF16" s="18"/>
      <c r="AG16" s="18"/>
    </row>
    <row r="17" customFormat="false" ht="15" hidden="false" customHeight="false" outlineLevel="0" collapsed="false">
      <c r="A17" s="18"/>
      <c r="B17" s="19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4" t="str">
        <f aca="false">IF(COUNTA(I17:L17)=0,"",SUMIFS('3 Hazed Questions'!$E$2:$E$23,'3 Hazed Questions'!$A$2:$A$23,"Q1",'3 Hazed Questions'!$C$2:$C$23,I17)+SUMIFS('3 Hazed Questions'!$E$2:$E$23,'3 Hazed Questions'!$A$2:$A$23,"Q2",'3 Hazed Questions'!$C$2:$C$23,J17)+SUMIFS('3 Hazed Questions'!$E$2:$E$23,'3 Hazed Questions'!$A$2:$A$23,"Q3",'3 Hazed Questions'!$C$2:$C$23,K17)+SUMIFS('3 Hazed Questions'!$E$2:$E$23,'3 Hazed Questions'!$A$2:$A$23,"Q4",'3 Hazed Questions'!$C$2:$C$23,L17))</f>
        <v/>
      </c>
      <c r="O17" s="14" t="str">
        <f aca="false">IF(COUNTA(I17:L17)=0,"",SUMIFS('3 Hazed Questions'!$F$2:$F$23,'3 Hazed Questions'!$A$2:$A$23,"Q1",'3 Hazed Questions'!$C$2:$C$23,I17)+SUMIFS('3 Hazed Questions'!$F$2:$F$23,'3 Hazed Questions'!$A$2:$A$23,"Q2",'3 Hazed Questions'!$C$2:$C$23,J17)+SUMIFS('3 Hazed Questions'!$F$2:$F$23,'3 Hazed Questions'!$A$2:$A$23,"Q3",'3 Hazed Questions'!$C$2:$C$23,K17)+SUMIFS('3 Hazed Questions'!$F$2:$F$23,'3 Hazed Questions'!$A$2:$A$23,"Q4",'3 Hazed Questions'!$C$2:$C$23,L17))</f>
        <v/>
      </c>
      <c r="P17" s="14" t="str">
        <f aca="false">IF(COUNTA(I17:L17)=0,"",SUMIFS('3 Hazed Questions'!$G$2:$G$23,'3 Hazed Questions'!$A$2:$A$23,"Q1",'3 Hazed Questions'!$C$2:$C$23,I17)+SUMIFS('3 Hazed Questions'!$G$2:$G$23,'3 Hazed Questions'!$A$2:$A$23,"Q2",'3 Hazed Questions'!$C$2:$C$23,J17)+SUMIFS('3 Hazed Questions'!$G$2:$G$23,'3 Hazed Questions'!$A$2:$A$23,"Q3",'3 Hazed Questions'!$C$2:$C$23,K17)+SUMIFS('3 Hazed Questions'!$G$2:$G$23,'3 Hazed Questions'!$A$2:$A$23,"Q4",'3 Hazed Questions'!$C$2:$C$23,L17))</f>
        <v/>
      </c>
      <c r="Q17" s="14" t="str">
        <f aca="false">IF(COUNTA(I17:L17)=0,"",SUMIFS('3 Hazed Questions'!$H$2:$H$23,'3 Hazed Questions'!$A$2:$A$23,"Q1",'3 Hazed Questions'!$C$2:$C$23,I17)+SUMIFS('3 Hazed Questions'!$H$2:$H$23,'3 Hazed Questions'!$A$2:$A$23,"Q2",'3 Hazed Questions'!$C$2:$C$23,J17)+SUMIFS('3 Hazed Questions'!$H$2:$H$23,'3 Hazed Questions'!$A$2:$A$23,"Q3",'3 Hazed Questions'!$C$2:$C$23,K17)+SUMIFS('3 Hazed Questions'!$H$2:$H$23,'3 Hazed Questions'!$A$2:$A$23,"Q4",'3 Hazed Questions'!$C$2:$C$23,L17))</f>
        <v/>
      </c>
      <c r="R17" s="14" t="str">
        <f aca="false">IF(COUNTA(I17:L17)=0,"",SUMIFS('3 Hazed Questions'!$I$2:$I$23,'3 Hazed Questions'!$A$2:$A$23,"Q1",'3 Hazed Questions'!$C$2:$C$23,I17)+SUMIFS('3 Hazed Questions'!$I$2:$I$23,'3 Hazed Questions'!$A$2:$A$23,"Q2",'3 Hazed Questions'!$C$2:$C$23,J17)+SUMIFS('3 Hazed Questions'!$I$2:$I$23,'3 Hazed Questions'!$A$2:$A$23,"Q3",'3 Hazed Questions'!$C$2:$C$23,K17)+SUMIFS('3 Hazed Questions'!$I$2:$I$23,'3 Hazed Questions'!$A$2:$A$23,"Q4",'3 Hazed Questions'!$C$2:$C$23,L17))</f>
        <v/>
      </c>
      <c r="S17" s="14" t="str">
        <f aca="false">IF(COUNTA(I17:L17)=0,"",SUMIFS('3 Hazed Questions'!$J$2:$J$23,'3 Hazed Questions'!$A$2:$A$23,"Q1",'3 Hazed Questions'!$C$2:$C$23,I17)+SUMIFS('3 Hazed Questions'!$J$2:$J$23,'3 Hazed Questions'!$A$2:$A$23,"Q2",'3 Hazed Questions'!$C$2:$C$23,J17)+SUMIFS('3 Hazed Questions'!$J$2:$J$23,'3 Hazed Questions'!$A$2:$A$23,"Q3",'3 Hazed Questions'!$C$2:$C$23,K17)+SUMIFS('3 Hazed Questions'!$J$2:$J$23,'3 Hazed Questions'!$A$2:$A$23,"Q4",'3 Hazed Questions'!$C$2:$C$23,L17))</f>
        <v/>
      </c>
      <c r="T17" s="14" t="str">
        <f aca="false">IF(COUNTA(I17:L17)=0,"",SUMIFS('3 Hazed Questions'!$K$2:$K$23,'3 Hazed Questions'!$A$2:$A$23,"Q1",'3 Hazed Questions'!$C$2:$C$23,I17)+SUMIFS('3 Hazed Questions'!$K$2:$K$23,'3 Hazed Questions'!$A$2:$A$23,"Q2",'3 Hazed Questions'!$C$2:$C$23,J17)+SUMIFS('3 Hazed Questions'!$K$2:$K$23,'3 Hazed Questions'!$A$2:$A$23,"Q3",'3 Hazed Questions'!$C$2:$C$23,K17)+SUMIFS('3 Hazed Questions'!$K$2:$K$23,'3 Hazed Questions'!$A$2:$A$23,"Q4",'3 Hazed Questions'!$C$2:$C$23,L17))</f>
        <v/>
      </c>
      <c r="U17" s="14" t="str">
        <f aca="false">IF(COUNTA(I17:L17)=0,"",SUMIFS('3 Hazed Questions'!$L$2:$L$23,'3 Hazed Questions'!$A$2:$A$23,"Q1",'3 Hazed Questions'!$C$2:$C$23,I17)+SUMIFS('3 Hazed Questions'!$L$2:$L$23,'3 Hazed Questions'!$A$2:$A$23,"Q2",'3 Hazed Questions'!$C$2:$C$23,J17)+SUMIFS('3 Hazed Questions'!$L$2:$L$23,'3 Hazed Questions'!$A$2:$A$23,"Q3",'3 Hazed Questions'!$C$2:$C$23,K17)+SUMIFS('3 Hazed Questions'!$L$2:$L$23,'3 Hazed Questions'!$A$2:$A$23,"Q4",'3 Hazed Questions'!$C$2:$C$23,L17))</f>
        <v/>
      </c>
      <c r="V17" s="14" t="str">
        <f aca="false">IF(COUNTA(I17:L17)=0,"",SUMIFS('3 Hazed Questions'!$M$2:$M$23,'3 Hazed Questions'!$A$2:$A$23,"Q1",'3 Hazed Questions'!$C$2:$C$23,I17)+SUMIFS('3 Hazed Questions'!$M$2:$M$23,'3 Hazed Questions'!$A$2:$A$23,"Q2",'3 Hazed Questions'!$C$2:$C$23,J17)+SUMIFS('3 Hazed Questions'!$M$2:$M$23,'3 Hazed Questions'!$A$2:$A$23,"Q3",'3 Hazed Questions'!$C$2:$C$23,K17)+SUMIFS('3 Hazed Questions'!$M$2:$M$23,'3 Hazed Questions'!$A$2:$A$23,"Q4",'3 Hazed Questions'!$C$2:$C$23,L17))</f>
        <v/>
      </c>
      <c r="W17" s="14" t="str">
        <f aca="false">IF(COUNTA(I17:L17)=0,"",SUMIFS('3 Hazed Questions'!$N$2:$N$23,'3 Hazed Questions'!$A$2:$A$23,"Q1",'3 Hazed Questions'!$C$2:$C$23,I17)+SUMIFS('3 Hazed Questions'!$N$2:$N$23,'3 Hazed Questions'!$A$2:$A$23,"Q2",'3 Hazed Questions'!$C$2:$C$23,J17)+SUMIFS('3 Hazed Questions'!$N$2:$N$23,'3 Hazed Questions'!$A$2:$A$23,"Q3",'3 Hazed Questions'!$C$2:$C$23,K17)+SUMIFS('3 Hazed Questions'!$N$2:$N$23,'3 Hazed Questions'!$A$2:$A$23,"Q4",'3 Hazed Questions'!$C$2:$C$23,L17))</f>
        <v/>
      </c>
      <c r="X17" s="14" t="str">
        <f aca="false">IF(COUNTA(I17:L17)=0,"",INDEX(Fields!$B$2:$B$50,MATCH(SUBSTITUTE(INDEX($N$1:$W$1,MATCH(MAX($N17:$W17),$N17:$W17,0)),"Score: ",""),Fields!$A$2:$A$50,0)))</f>
        <v/>
      </c>
      <c r="Y17" s="14" t="str">
        <f aca="true">IF(COUNTA(I17:L17)=0,"",IF(LARGE($N17:$W17,2)=0,"-",INDEX(Fields!$B$2:$B$50,MATCH(SUBSTITUTE(INDEX($N$1:$W$1,IF(LARGE($N17:$W17,2)=MAX($N17:$W17),MATCH(MAX($N17:$W17),OFFSET($N17:$W17,0,MATCH(MAX($N17:$W17),$N17:$W17,0),1,10-MATCH(MAX($N17:$W17),$N17:$W17,0)),0)+MATCH(MAX($N17:$W17),$N17:$W17,0),MATCH(LARGE($N17:$W17,2),$N17:$W17,0))),"Score: ",""),Fields!$A$2:$A$50,0))))</f>
        <v/>
      </c>
      <c r="Z17" s="14" t="str">
        <f aca="false">IF(M17="","",IFERROR(INDEX('3 Hazed Questions'!$O$2:$O$23,MATCH(1,INDEX(('3 Hazed Questions'!$A$2:$A$23="Q5")*('3 Hazed Questions'!$C$2:$C$23=M17),0),0))&amp;"",""))</f>
        <v/>
      </c>
      <c r="AA17" s="18"/>
      <c r="AB17" s="18"/>
      <c r="AC17" s="19"/>
      <c r="AD17" s="19"/>
      <c r="AE17" s="18"/>
      <c r="AF17" s="18"/>
      <c r="AG17" s="18"/>
    </row>
    <row r="18" customFormat="false" ht="15" hidden="false" customHeight="false" outlineLevel="0" collapsed="false">
      <c r="A18" s="18"/>
      <c r="B18" s="19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4" t="str">
        <f aca="false">IF(COUNTA(I18:L18)=0,"",SUMIFS('3 Hazed Questions'!$E$2:$E$23,'3 Hazed Questions'!$A$2:$A$23,"Q1",'3 Hazed Questions'!$C$2:$C$23,I18)+SUMIFS('3 Hazed Questions'!$E$2:$E$23,'3 Hazed Questions'!$A$2:$A$23,"Q2",'3 Hazed Questions'!$C$2:$C$23,J18)+SUMIFS('3 Hazed Questions'!$E$2:$E$23,'3 Hazed Questions'!$A$2:$A$23,"Q3",'3 Hazed Questions'!$C$2:$C$23,K18)+SUMIFS('3 Hazed Questions'!$E$2:$E$23,'3 Hazed Questions'!$A$2:$A$23,"Q4",'3 Hazed Questions'!$C$2:$C$23,L18))</f>
        <v/>
      </c>
      <c r="O18" s="14" t="str">
        <f aca="false">IF(COUNTA(I18:L18)=0,"",SUMIFS('3 Hazed Questions'!$F$2:$F$23,'3 Hazed Questions'!$A$2:$A$23,"Q1",'3 Hazed Questions'!$C$2:$C$23,I18)+SUMIFS('3 Hazed Questions'!$F$2:$F$23,'3 Hazed Questions'!$A$2:$A$23,"Q2",'3 Hazed Questions'!$C$2:$C$23,J18)+SUMIFS('3 Hazed Questions'!$F$2:$F$23,'3 Hazed Questions'!$A$2:$A$23,"Q3",'3 Hazed Questions'!$C$2:$C$23,K18)+SUMIFS('3 Hazed Questions'!$F$2:$F$23,'3 Hazed Questions'!$A$2:$A$23,"Q4",'3 Hazed Questions'!$C$2:$C$23,L18))</f>
        <v/>
      </c>
      <c r="P18" s="14" t="str">
        <f aca="false">IF(COUNTA(I18:L18)=0,"",SUMIFS('3 Hazed Questions'!$G$2:$G$23,'3 Hazed Questions'!$A$2:$A$23,"Q1",'3 Hazed Questions'!$C$2:$C$23,I18)+SUMIFS('3 Hazed Questions'!$G$2:$G$23,'3 Hazed Questions'!$A$2:$A$23,"Q2",'3 Hazed Questions'!$C$2:$C$23,J18)+SUMIFS('3 Hazed Questions'!$G$2:$G$23,'3 Hazed Questions'!$A$2:$A$23,"Q3",'3 Hazed Questions'!$C$2:$C$23,K18)+SUMIFS('3 Hazed Questions'!$G$2:$G$23,'3 Hazed Questions'!$A$2:$A$23,"Q4",'3 Hazed Questions'!$C$2:$C$23,L18))</f>
        <v/>
      </c>
      <c r="Q18" s="14" t="str">
        <f aca="false">IF(COUNTA(I18:L18)=0,"",SUMIFS('3 Hazed Questions'!$H$2:$H$23,'3 Hazed Questions'!$A$2:$A$23,"Q1",'3 Hazed Questions'!$C$2:$C$23,I18)+SUMIFS('3 Hazed Questions'!$H$2:$H$23,'3 Hazed Questions'!$A$2:$A$23,"Q2",'3 Hazed Questions'!$C$2:$C$23,J18)+SUMIFS('3 Hazed Questions'!$H$2:$H$23,'3 Hazed Questions'!$A$2:$A$23,"Q3",'3 Hazed Questions'!$C$2:$C$23,K18)+SUMIFS('3 Hazed Questions'!$H$2:$H$23,'3 Hazed Questions'!$A$2:$A$23,"Q4",'3 Hazed Questions'!$C$2:$C$23,L18))</f>
        <v/>
      </c>
      <c r="R18" s="14" t="str">
        <f aca="false">IF(COUNTA(I18:L18)=0,"",SUMIFS('3 Hazed Questions'!$I$2:$I$23,'3 Hazed Questions'!$A$2:$A$23,"Q1",'3 Hazed Questions'!$C$2:$C$23,I18)+SUMIFS('3 Hazed Questions'!$I$2:$I$23,'3 Hazed Questions'!$A$2:$A$23,"Q2",'3 Hazed Questions'!$C$2:$C$23,J18)+SUMIFS('3 Hazed Questions'!$I$2:$I$23,'3 Hazed Questions'!$A$2:$A$23,"Q3",'3 Hazed Questions'!$C$2:$C$23,K18)+SUMIFS('3 Hazed Questions'!$I$2:$I$23,'3 Hazed Questions'!$A$2:$A$23,"Q4",'3 Hazed Questions'!$C$2:$C$23,L18))</f>
        <v/>
      </c>
      <c r="S18" s="14" t="str">
        <f aca="false">IF(COUNTA(I18:L18)=0,"",SUMIFS('3 Hazed Questions'!$J$2:$J$23,'3 Hazed Questions'!$A$2:$A$23,"Q1",'3 Hazed Questions'!$C$2:$C$23,I18)+SUMIFS('3 Hazed Questions'!$J$2:$J$23,'3 Hazed Questions'!$A$2:$A$23,"Q2",'3 Hazed Questions'!$C$2:$C$23,J18)+SUMIFS('3 Hazed Questions'!$J$2:$J$23,'3 Hazed Questions'!$A$2:$A$23,"Q3",'3 Hazed Questions'!$C$2:$C$23,K18)+SUMIFS('3 Hazed Questions'!$J$2:$J$23,'3 Hazed Questions'!$A$2:$A$23,"Q4",'3 Hazed Questions'!$C$2:$C$23,L18))</f>
        <v/>
      </c>
      <c r="T18" s="14" t="str">
        <f aca="false">IF(COUNTA(I18:L18)=0,"",SUMIFS('3 Hazed Questions'!$K$2:$K$23,'3 Hazed Questions'!$A$2:$A$23,"Q1",'3 Hazed Questions'!$C$2:$C$23,I18)+SUMIFS('3 Hazed Questions'!$K$2:$K$23,'3 Hazed Questions'!$A$2:$A$23,"Q2",'3 Hazed Questions'!$C$2:$C$23,J18)+SUMIFS('3 Hazed Questions'!$K$2:$K$23,'3 Hazed Questions'!$A$2:$A$23,"Q3",'3 Hazed Questions'!$C$2:$C$23,K18)+SUMIFS('3 Hazed Questions'!$K$2:$K$23,'3 Hazed Questions'!$A$2:$A$23,"Q4",'3 Hazed Questions'!$C$2:$C$23,L18))</f>
        <v/>
      </c>
      <c r="U18" s="14" t="str">
        <f aca="false">IF(COUNTA(I18:L18)=0,"",SUMIFS('3 Hazed Questions'!$L$2:$L$23,'3 Hazed Questions'!$A$2:$A$23,"Q1",'3 Hazed Questions'!$C$2:$C$23,I18)+SUMIFS('3 Hazed Questions'!$L$2:$L$23,'3 Hazed Questions'!$A$2:$A$23,"Q2",'3 Hazed Questions'!$C$2:$C$23,J18)+SUMIFS('3 Hazed Questions'!$L$2:$L$23,'3 Hazed Questions'!$A$2:$A$23,"Q3",'3 Hazed Questions'!$C$2:$C$23,K18)+SUMIFS('3 Hazed Questions'!$L$2:$L$23,'3 Hazed Questions'!$A$2:$A$23,"Q4",'3 Hazed Questions'!$C$2:$C$23,L18))</f>
        <v/>
      </c>
      <c r="V18" s="14" t="str">
        <f aca="false">IF(COUNTA(I18:L18)=0,"",SUMIFS('3 Hazed Questions'!$M$2:$M$23,'3 Hazed Questions'!$A$2:$A$23,"Q1",'3 Hazed Questions'!$C$2:$C$23,I18)+SUMIFS('3 Hazed Questions'!$M$2:$M$23,'3 Hazed Questions'!$A$2:$A$23,"Q2",'3 Hazed Questions'!$C$2:$C$23,J18)+SUMIFS('3 Hazed Questions'!$M$2:$M$23,'3 Hazed Questions'!$A$2:$A$23,"Q3",'3 Hazed Questions'!$C$2:$C$23,K18)+SUMIFS('3 Hazed Questions'!$M$2:$M$23,'3 Hazed Questions'!$A$2:$A$23,"Q4",'3 Hazed Questions'!$C$2:$C$23,L18))</f>
        <v/>
      </c>
      <c r="W18" s="14" t="str">
        <f aca="false">IF(COUNTA(I18:L18)=0,"",SUMIFS('3 Hazed Questions'!$N$2:$N$23,'3 Hazed Questions'!$A$2:$A$23,"Q1",'3 Hazed Questions'!$C$2:$C$23,I18)+SUMIFS('3 Hazed Questions'!$N$2:$N$23,'3 Hazed Questions'!$A$2:$A$23,"Q2",'3 Hazed Questions'!$C$2:$C$23,J18)+SUMIFS('3 Hazed Questions'!$N$2:$N$23,'3 Hazed Questions'!$A$2:$A$23,"Q3",'3 Hazed Questions'!$C$2:$C$23,K18)+SUMIFS('3 Hazed Questions'!$N$2:$N$23,'3 Hazed Questions'!$A$2:$A$23,"Q4",'3 Hazed Questions'!$C$2:$C$23,L18))</f>
        <v/>
      </c>
      <c r="X18" s="14" t="str">
        <f aca="false">IF(COUNTA(I18:L18)=0,"",INDEX(Fields!$B$2:$B$50,MATCH(SUBSTITUTE(INDEX($N$1:$W$1,MATCH(MAX($N18:$W18),$N18:$W18,0)),"Score: ",""),Fields!$A$2:$A$50,0)))</f>
        <v/>
      </c>
      <c r="Y18" s="14" t="str">
        <f aca="true">IF(COUNTA(I18:L18)=0,"",IF(LARGE($N18:$W18,2)=0,"-",INDEX(Fields!$B$2:$B$50,MATCH(SUBSTITUTE(INDEX($N$1:$W$1,IF(LARGE($N18:$W18,2)=MAX($N18:$W18),MATCH(MAX($N18:$W18),OFFSET($N18:$W18,0,MATCH(MAX($N18:$W18),$N18:$W18,0),1,10-MATCH(MAX($N18:$W18),$N18:$W18,0)),0)+MATCH(MAX($N18:$W18),$N18:$W18,0),MATCH(LARGE($N18:$W18,2),$N18:$W18,0))),"Score: ",""),Fields!$A$2:$A$50,0))))</f>
        <v/>
      </c>
      <c r="Z18" s="14" t="str">
        <f aca="false">IF(M18="","",IFERROR(INDEX('3 Hazed Questions'!$O$2:$O$23,MATCH(1,INDEX(('3 Hazed Questions'!$A$2:$A$23="Q5")*('3 Hazed Questions'!$C$2:$C$23=M18),0),0))&amp;"",""))</f>
        <v/>
      </c>
      <c r="AA18" s="18"/>
      <c r="AB18" s="18"/>
      <c r="AC18" s="19"/>
      <c r="AD18" s="19"/>
      <c r="AE18" s="18"/>
      <c r="AF18" s="18"/>
      <c r="AG18" s="18"/>
    </row>
    <row r="19" customFormat="false" ht="15" hidden="false" customHeight="false" outlineLevel="0" collapsed="false">
      <c r="A19" s="18"/>
      <c r="B19" s="19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4" t="str">
        <f aca="false">IF(COUNTA(I19:L19)=0,"",SUMIFS('3 Hazed Questions'!$E$2:$E$23,'3 Hazed Questions'!$A$2:$A$23,"Q1",'3 Hazed Questions'!$C$2:$C$23,I19)+SUMIFS('3 Hazed Questions'!$E$2:$E$23,'3 Hazed Questions'!$A$2:$A$23,"Q2",'3 Hazed Questions'!$C$2:$C$23,J19)+SUMIFS('3 Hazed Questions'!$E$2:$E$23,'3 Hazed Questions'!$A$2:$A$23,"Q3",'3 Hazed Questions'!$C$2:$C$23,K19)+SUMIFS('3 Hazed Questions'!$E$2:$E$23,'3 Hazed Questions'!$A$2:$A$23,"Q4",'3 Hazed Questions'!$C$2:$C$23,L19))</f>
        <v/>
      </c>
      <c r="O19" s="14" t="str">
        <f aca="false">IF(COUNTA(I19:L19)=0,"",SUMIFS('3 Hazed Questions'!$F$2:$F$23,'3 Hazed Questions'!$A$2:$A$23,"Q1",'3 Hazed Questions'!$C$2:$C$23,I19)+SUMIFS('3 Hazed Questions'!$F$2:$F$23,'3 Hazed Questions'!$A$2:$A$23,"Q2",'3 Hazed Questions'!$C$2:$C$23,J19)+SUMIFS('3 Hazed Questions'!$F$2:$F$23,'3 Hazed Questions'!$A$2:$A$23,"Q3",'3 Hazed Questions'!$C$2:$C$23,K19)+SUMIFS('3 Hazed Questions'!$F$2:$F$23,'3 Hazed Questions'!$A$2:$A$23,"Q4",'3 Hazed Questions'!$C$2:$C$23,L19))</f>
        <v/>
      </c>
      <c r="P19" s="14" t="str">
        <f aca="false">IF(COUNTA(I19:L19)=0,"",SUMIFS('3 Hazed Questions'!$G$2:$G$23,'3 Hazed Questions'!$A$2:$A$23,"Q1",'3 Hazed Questions'!$C$2:$C$23,I19)+SUMIFS('3 Hazed Questions'!$G$2:$G$23,'3 Hazed Questions'!$A$2:$A$23,"Q2",'3 Hazed Questions'!$C$2:$C$23,J19)+SUMIFS('3 Hazed Questions'!$G$2:$G$23,'3 Hazed Questions'!$A$2:$A$23,"Q3",'3 Hazed Questions'!$C$2:$C$23,K19)+SUMIFS('3 Hazed Questions'!$G$2:$G$23,'3 Hazed Questions'!$A$2:$A$23,"Q4",'3 Hazed Questions'!$C$2:$C$23,L19))</f>
        <v/>
      </c>
      <c r="Q19" s="14" t="str">
        <f aca="false">IF(COUNTA(I19:L19)=0,"",SUMIFS('3 Hazed Questions'!$H$2:$H$23,'3 Hazed Questions'!$A$2:$A$23,"Q1",'3 Hazed Questions'!$C$2:$C$23,I19)+SUMIFS('3 Hazed Questions'!$H$2:$H$23,'3 Hazed Questions'!$A$2:$A$23,"Q2",'3 Hazed Questions'!$C$2:$C$23,J19)+SUMIFS('3 Hazed Questions'!$H$2:$H$23,'3 Hazed Questions'!$A$2:$A$23,"Q3",'3 Hazed Questions'!$C$2:$C$23,K19)+SUMIFS('3 Hazed Questions'!$H$2:$H$23,'3 Hazed Questions'!$A$2:$A$23,"Q4",'3 Hazed Questions'!$C$2:$C$23,L19))</f>
        <v/>
      </c>
      <c r="R19" s="14" t="str">
        <f aca="false">IF(COUNTA(I19:L19)=0,"",SUMIFS('3 Hazed Questions'!$I$2:$I$23,'3 Hazed Questions'!$A$2:$A$23,"Q1",'3 Hazed Questions'!$C$2:$C$23,I19)+SUMIFS('3 Hazed Questions'!$I$2:$I$23,'3 Hazed Questions'!$A$2:$A$23,"Q2",'3 Hazed Questions'!$C$2:$C$23,J19)+SUMIFS('3 Hazed Questions'!$I$2:$I$23,'3 Hazed Questions'!$A$2:$A$23,"Q3",'3 Hazed Questions'!$C$2:$C$23,K19)+SUMIFS('3 Hazed Questions'!$I$2:$I$23,'3 Hazed Questions'!$A$2:$A$23,"Q4",'3 Hazed Questions'!$C$2:$C$23,L19))</f>
        <v/>
      </c>
      <c r="S19" s="14" t="str">
        <f aca="false">IF(COUNTA(I19:L19)=0,"",SUMIFS('3 Hazed Questions'!$J$2:$J$23,'3 Hazed Questions'!$A$2:$A$23,"Q1",'3 Hazed Questions'!$C$2:$C$23,I19)+SUMIFS('3 Hazed Questions'!$J$2:$J$23,'3 Hazed Questions'!$A$2:$A$23,"Q2",'3 Hazed Questions'!$C$2:$C$23,J19)+SUMIFS('3 Hazed Questions'!$J$2:$J$23,'3 Hazed Questions'!$A$2:$A$23,"Q3",'3 Hazed Questions'!$C$2:$C$23,K19)+SUMIFS('3 Hazed Questions'!$J$2:$J$23,'3 Hazed Questions'!$A$2:$A$23,"Q4",'3 Hazed Questions'!$C$2:$C$23,L19))</f>
        <v/>
      </c>
      <c r="T19" s="14" t="str">
        <f aca="false">IF(COUNTA(I19:L19)=0,"",SUMIFS('3 Hazed Questions'!$K$2:$K$23,'3 Hazed Questions'!$A$2:$A$23,"Q1",'3 Hazed Questions'!$C$2:$C$23,I19)+SUMIFS('3 Hazed Questions'!$K$2:$K$23,'3 Hazed Questions'!$A$2:$A$23,"Q2",'3 Hazed Questions'!$C$2:$C$23,J19)+SUMIFS('3 Hazed Questions'!$K$2:$K$23,'3 Hazed Questions'!$A$2:$A$23,"Q3",'3 Hazed Questions'!$C$2:$C$23,K19)+SUMIFS('3 Hazed Questions'!$K$2:$K$23,'3 Hazed Questions'!$A$2:$A$23,"Q4",'3 Hazed Questions'!$C$2:$C$23,L19))</f>
        <v/>
      </c>
      <c r="U19" s="14" t="str">
        <f aca="false">IF(COUNTA(I19:L19)=0,"",SUMIFS('3 Hazed Questions'!$L$2:$L$23,'3 Hazed Questions'!$A$2:$A$23,"Q1",'3 Hazed Questions'!$C$2:$C$23,I19)+SUMIFS('3 Hazed Questions'!$L$2:$L$23,'3 Hazed Questions'!$A$2:$A$23,"Q2",'3 Hazed Questions'!$C$2:$C$23,J19)+SUMIFS('3 Hazed Questions'!$L$2:$L$23,'3 Hazed Questions'!$A$2:$A$23,"Q3",'3 Hazed Questions'!$C$2:$C$23,K19)+SUMIFS('3 Hazed Questions'!$L$2:$L$23,'3 Hazed Questions'!$A$2:$A$23,"Q4",'3 Hazed Questions'!$C$2:$C$23,L19))</f>
        <v/>
      </c>
      <c r="V19" s="14" t="str">
        <f aca="false">IF(COUNTA(I19:L19)=0,"",SUMIFS('3 Hazed Questions'!$M$2:$M$23,'3 Hazed Questions'!$A$2:$A$23,"Q1",'3 Hazed Questions'!$C$2:$C$23,I19)+SUMIFS('3 Hazed Questions'!$M$2:$M$23,'3 Hazed Questions'!$A$2:$A$23,"Q2",'3 Hazed Questions'!$C$2:$C$23,J19)+SUMIFS('3 Hazed Questions'!$M$2:$M$23,'3 Hazed Questions'!$A$2:$A$23,"Q3",'3 Hazed Questions'!$C$2:$C$23,K19)+SUMIFS('3 Hazed Questions'!$M$2:$M$23,'3 Hazed Questions'!$A$2:$A$23,"Q4",'3 Hazed Questions'!$C$2:$C$23,L19))</f>
        <v/>
      </c>
      <c r="W19" s="14" t="str">
        <f aca="false">IF(COUNTA(I19:L19)=0,"",SUMIFS('3 Hazed Questions'!$N$2:$N$23,'3 Hazed Questions'!$A$2:$A$23,"Q1",'3 Hazed Questions'!$C$2:$C$23,I19)+SUMIFS('3 Hazed Questions'!$N$2:$N$23,'3 Hazed Questions'!$A$2:$A$23,"Q2",'3 Hazed Questions'!$C$2:$C$23,J19)+SUMIFS('3 Hazed Questions'!$N$2:$N$23,'3 Hazed Questions'!$A$2:$A$23,"Q3",'3 Hazed Questions'!$C$2:$C$23,K19)+SUMIFS('3 Hazed Questions'!$N$2:$N$23,'3 Hazed Questions'!$A$2:$A$23,"Q4",'3 Hazed Questions'!$C$2:$C$23,L19))</f>
        <v/>
      </c>
      <c r="X19" s="14" t="str">
        <f aca="false">IF(COUNTA(I19:L19)=0,"",INDEX(Fields!$B$2:$B$50,MATCH(SUBSTITUTE(INDEX($N$1:$W$1,MATCH(MAX($N19:$W19),$N19:$W19,0)),"Score: ",""),Fields!$A$2:$A$50,0)))</f>
        <v/>
      </c>
      <c r="Y19" s="14" t="str">
        <f aca="true">IF(COUNTA(I19:L19)=0,"",IF(LARGE($N19:$W19,2)=0,"-",INDEX(Fields!$B$2:$B$50,MATCH(SUBSTITUTE(INDEX($N$1:$W$1,IF(LARGE($N19:$W19,2)=MAX($N19:$W19),MATCH(MAX($N19:$W19),OFFSET($N19:$W19,0,MATCH(MAX($N19:$W19),$N19:$W19,0),1,10-MATCH(MAX($N19:$W19),$N19:$W19,0)),0)+MATCH(MAX($N19:$W19),$N19:$W19,0),MATCH(LARGE($N19:$W19,2),$N19:$W19,0))),"Score: ",""),Fields!$A$2:$A$50,0))))</f>
        <v/>
      </c>
      <c r="Z19" s="14" t="str">
        <f aca="false">IF(M19="","",IFERROR(INDEX('3 Hazed Questions'!$O$2:$O$23,MATCH(1,INDEX(('3 Hazed Questions'!$A$2:$A$23="Q5")*('3 Hazed Questions'!$C$2:$C$23=M19),0),0))&amp;"",""))</f>
        <v/>
      </c>
      <c r="AA19" s="18"/>
      <c r="AB19" s="18"/>
      <c r="AC19" s="19"/>
      <c r="AD19" s="19"/>
      <c r="AE19" s="18"/>
      <c r="AF19" s="18"/>
      <c r="AG19" s="18"/>
    </row>
    <row r="20" customFormat="false" ht="15" hidden="false" customHeight="false" outlineLevel="0" collapsed="false">
      <c r="A20" s="18"/>
      <c r="B20" s="19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4" t="str">
        <f aca="false">IF(COUNTA(I20:L20)=0,"",SUMIFS('3 Hazed Questions'!$E$2:$E$23,'3 Hazed Questions'!$A$2:$A$23,"Q1",'3 Hazed Questions'!$C$2:$C$23,I20)+SUMIFS('3 Hazed Questions'!$E$2:$E$23,'3 Hazed Questions'!$A$2:$A$23,"Q2",'3 Hazed Questions'!$C$2:$C$23,J20)+SUMIFS('3 Hazed Questions'!$E$2:$E$23,'3 Hazed Questions'!$A$2:$A$23,"Q3",'3 Hazed Questions'!$C$2:$C$23,K20)+SUMIFS('3 Hazed Questions'!$E$2:$E$23,'3 Hazed Questions'!$A$2:$A$23,"Q4",'3 Hazed Questions'!$C$2:$C$23,L20))</f>
        <v/>
      </c>
      <c r="O20" s="14" t="str">
        <f aca="false">IF(COUNTA(I20:L20)=0,"",SUMIFS('3 Hazed Questions'!$F$2:$F$23,'3 Hazed Questions'!$A$2:$A$23,"Q1",'3 Hazed Questions'!$C$2:$C$23,I20)+SUMIFS('3 Hazed Questions'!$F$2:$F$23,'3 Hazed Questions'!$A$2:$A$23,"Q2",'3 Hazed Questions'!$C$2:$C$23,J20)+SUMIFS('3 Hazed Questions'!$F$2:$F$23,'3 Hazed Questions'!$A$2:$A$23,"Q3",'3 Hazed Questions'!$C$2:$C$23,K20)+SUMIFS('3 Hazed Questions'!$F$2:$F$23,'3 Hazed Questions'!$A$2:$A$23,"Q4",'3 Hazed Questions'!$C$2:$C$23,L20))</f>
        <v/>
      </c>
      <c r="P20" s="14" t="str">
        <f aca="false">IF(COUNTA(I20:L20)=0,"",SUMIFS('3 Hazed Questions'!$G$2:$G$23,'3 Hazed Questions'!$A$2:$A$23,"Q1",'3 Hazed Questions'!$C$2:$C$23,I20)+SUMIFS('3 Hazed Questions'!$G$2:$G$23,'3 Hazed Questions'!$A$2:$A$23,"Q2",'3 Hazed Questions'!$C$2:$C$23,J20)+SUMIFS('3 Hazed Questions'!$G$2:$G$23,'3 Hazed Questions'!$A$2:$A$23,"Q3",'3 Hazed Questions'!$C$2:$C$23,K20)+SUMIFS('3 Hazed Questions'!$G$2:$G$23,'3 Hazed Questions'!$A$2:$A$23,"Q4",'3 Hazed Questions'!$C$2:$C$23,L20))</f>
        <v/>
      </c>
      <c r="Q20" s="14" t="str">
        <f aca="false">IF(COUNTA(I20:L20)=0,"",SUMIFS('3 Hazed Questions'!$H$2:$H$23,'3 Hazed Questions'!$A$2:$A$23,"Q1",'3 Hazed Questions'!$C$2:$C$23,I20)+SUMIFS('3 Hazed Questions'!$H$2:$H$23,'3 Hazed Questions'!$A$2:$A$23,"Q2",'3 Hazed Questions'!$C$2:$C$23,J20)+SUMIFS('3 Hazed Questions'!$H$2:$H$23,'3 Hazed Questions'!$A$2:$A$23,"Q3",'3 Hazed Questions'!$C$2:$C$23,K20)+SUMIFS('3 Hazed Questions'!$H$2:$H$23,'3 Hazed Questions'!$A$2:$A$23,"Q4",'3 Hazed Questions'!$C$2:$C$23,L20))</f>
        <v/>
      </c>
      <c r="R20" s="14" t="str">
        <f aca="false">IF(COUNTA(I20:L20)=0,"",SUMIFS('3 Hazed Questions'!$I$2:$I$23,'3 Hazed Questions'!$A$2:$A$23,"Q1",'3 Hazed Questions'!$C$2:$C$23,I20)+SUMIFS('3 Hazed Questions'!$I$2:$I$23,'3 Hazed Questions'!$A$2:$A$23,"Q2",'3 Hazed Questions'!$C$2:$C$23,J20)+SUMIFS('3 Hazed Questions'!$I$2:$I$23,'3 Hazed Questions'!$A$2:$A$23,"Q3",'3 Hazed Questions'!$C$2:$C$23,K20)+SUMIFS('3 Hazed Questions'!$I$2:$I$23,'3 Hazed Questions'!$A$2:$A$23,"Q4",'3 Hazed Questions'!$C$2:$C$23,L20))</f>
        <v/>
      </c>
      <c r="S20" s="14" t="str">
        <f aca="false">IF(COUNTA(I20:L20)=0,"",SUMIFS('3 Hazed Questions'!$J$2:$J$23,'3 Hazed Questions'!$A$2:$A$23,"Q1",'3 Hazed Questions'!$C$2:$C$23,I20)+SUMIFS('3 Hazed Questions'!$J$2:$J$23,'3 Hazed Questions'!$A$2:$A$23,"Q2",'3 Hazed Questions'!$C$2:$C$23,J20)+SUMIFS('3 Hazed Questions'!$J$2:$J$23,'3 Hazed Questions'!$A$2:$A$23,"Q3",'3 Hazed Questions'!$C$2:$C$23,K20)+SUMIFS('3 Hazed Questions'!$J$2:$J$23,'3 Hazed Questions'!$A$2:$A$23,"Q4",'3 Hazed Questions'!$C$2:$C$23,L20))</f>
        <v/>
      </c>
      <c r="T20" s="14" t="str">
        <f aca="false">IF(COUNTA(I20:L20)=0,"",SUMIFS('3 Hazed Questions'!$K$2:$K$23,'3 Hazed Questions'!$A$2:$A$23,"Q1",'3 Hazed Questions'!$C$2:$C$23,I20)+SUMIFS('3 Hazed Questions'!$K$2:$K$23,'3 Hazed Questions'!$A$2:$A$23,"Q2",'3 Hazed Questions'!$C$2:$C$23,J20)+SUMIFS('3 Hazed Questions'!$K$2:$K$23,'3 Hazed Questions'!$A$2:$A$23,"Q3",'3 Hazed Questions'!$C$2:$C$23,K20)+SUMIFS('3 Hazed Questions'!$K$2:$K$23,'3 Hazed Questions'!$A$2:$A$23,"Q4",'3 Hazed Questions'!$C$2:$C$23,L20))</f>
        <v/>
      </c>
      <c r="U20" s="14" t="str">
        <f aca="false">IF(COUNTA(I20:L20)=0,"",SUMIFS('3 Hazed Questions'!$L$2:$L$23,'3 Hazed Questions'!$A$2:$A$23,"Q1",'3 Hazed Questions'!$C$2:$C$23,I20)+SUMIFS('3 Hazed Questions'!$L$2:$L$23,'3 Hazed Questions'!$A$2:$A$23,"Q2",'3 Hazed Questions'!$C$2:$C$23,J20)+SUMIFS('3 Hazed Questions'!$L$2:$L$23,'3 Hazed Questions'!$A$2:$A$23,"Q3",'3 Hazed Questions'!$C$2:$C$23,K20)+SUMIFS('3 Hazed Questions'!$L$2:$L$23,'3 Hazed Questions'!$A$2:$A$23,"Q4",'3 Hazed Questions'!$C$2:$C$23,L20))</f>
        <v/>
      </c>
      <c r="V20" s="14" t="str">
        <f aca="false">IF(COUNTA(I20:L20)=0,"",SUMIFS('3 Hazed Questions'!$M$2:$M$23,'3 Hazed Questions'!$A$2:$A$23,"Q1",'3 Hazed Questions'!$C$2:$C$23,I20)+SUMIFS('3 Hazed Questions'!$M$2:$M$23,'3 Hazed Questions'!$A$2:$A$23,"Q2",'3 Hazed Questions'!$C$2:$C$23,J20)+SUMIFS('3 Hazed Questions'!$M$2:$M$23,'3 Hazed Questions'!$A$2:$A$23,"Q3",'3 Hazed Questions'!$C$2:$C$23,K20)+SUMIFS('3 Hazed Questions'!$M$2:$M$23,'3 Hazed Questions'!$A$2:$A$23,"Q4",'3 Hazed Questions'!$C$2:$C$23,L20))</f>
        <v/>
      </c>
      <c r="W20" s="14" t="str">
        <f aca="false">IF(COUNTA(I20:L20)=0,"",SUMIFS('3 Hazed Questions'!$N$2:$N$23,'3 Hazed Questions'!$A$2:$A$23,"Q1",'3 Hazed Questions'!$C$2:$C$23,I20)+SUMIFS('3 Hazed Questions'!$N$2:$N$23,'3 Hazed Questions'!$A$2:$A$23,"Q2",'3 Hazed Questions'!$C$2:$C$23,J20)+SUMIFS('3 Hazed Questions'!$N$2:$N$23,'3 Hazed Questions'!$A$2:$A$23,"Q3",'3 Hazed Questions'!$C$2:$C$23,K20)+SUMIFS('3 Hazed Questions'!$N$2:$N$23,'3 Hazed Questions'!$A$2:$A$23,"Q4",'3 Hazed Questions'!$C$2:$C$23,L20))</f>
        <v/>
      </c>
      <c r="X20" s="14" t="str">
        <f aca="false">IF(COUNTA(I20:L20)=0,"",INDEX(Fields!$B$2:$B$50,MATCH(SUBSTITUTE(INDEX($N$1:$W$1,MATCH(MAX($N20:$W20),$N20:$W20,0)),"Score: ",""),Fields!$A$2:$A$50,0)))</f>
        <v/>
      </c>
      <c r="Y20" s="14" t="str">
        <f aca="true">IF(COUNTA(I20:L20)=0,"",IF(LARGE($N20:$W20,2)=0,"-",INDEX(Fields!$B$2:$B$50,MATCH(SUBSTITUTE(INDEX($N$1:$W$1,IF(LARGE($N20:$W20,2)=MAX($N20:$W20),MATCH(MAX($N20:$W20),OFFSET($N20:$W20,0,MATCH(MAX($N20:$W20),$N20:$W20,0),1,10-MATCH(MAX($N20:$W20),$N20:$W20,0)),0)+MATCH(MAX($N20:$W20),$N20:$W20,0),MATCH(LARGE($N20:$W20,2),$N20:$W20,0))),"Score: ",""),Fields!$A$2:$A$50,0))))</f>
        <v/>
      </c>
      <c r="Z20" s="14" t="str">
        <f aca="false">IF(M20="","",IFERROR(INDEX('3 Hazed Questions'!$O$2:$O$23,MATCH(1,INDEX(('3 Hazed Questions'!$A$2:$A$23="Q5")*('3 Hazed Questions'!$C$2:$C$23=M20),0),0))&amp;"",""))</f>
        <v/>
      </c>
      <c r="AA20" s="18"/>
      <c r="AB20" s="18"/>
      <c r="AC20" s="19"/>
      <c r="AD20" s="19"/>
      <c r="AE20" s="18"/>
      <c r="AF20" s="18"/>
      <c r="AG20" s="18"/>
    </row>
    <row r="21" customFormat="false" ht="15" hidden="false" customHeight="false" outlineLevel="0" collapsed="false">
      <c r="A21" s="18"/>
      <c r="B21" s="19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4" t="str">
        <f aca="false">IF(COUNTA(I21:L21)=0,"",SUMIFS('3 Hazed Questions'!$E$2:$E$23,'3 Hazed Questions'!$A$2:$A$23,"Q1",'3 Hazed Questions'!$C$2:$C$23,I21)+SUMIFS('3 Hazed Questions'!$E$2:$E$23,'3 Hazed Questions'!$A$2:$A$23,"Q2",'3 Hazed Questions'!$C$2:$C$23,J21)+SUMIFS('3 Hazed Questions'!$E$2:$E$23,'3 Hazed Questions'!$A$2:$A$23,"Q3",'3 Hazed Questions'!$C$2:$C$23,K21)+SUMIFS('3 Hazed Questions'!$E$2:$E$23,'3 Hazed Questions'!$A$2:$A$23,"Q4",'3 Hazed Questions'!$C$2:$C$23,L21))</f>
        <v/>
      </c>
      <c r="O21" s="14" t="str">
        <f aca="false">IF(COUNTA(I21:L21)=0,"",SUMIFS('3 Hazed Questions'!$F$2:$F$23,'3 Hazed Questions'!$A$2:$A$23,"Q1",'3 Hazed Questions'!$C$2:$C$23,I21)+SUMIFS('3 Hazed Questions'!$F$2:$F$23,'3 Hazed Questions'!$A$2:$A$23,"Q2",'3 Hazed Questions'!$C$2:$C$23,J21)+SUMIFS('3 Hazed Questions'!$F$2:$F$23,'3 Hazed Questions'!$A$2:$A$23,"Q3",'3 Hazed Questions'!$C$2:$C$23,K21)+SUMIFS('3 Hazed Questions'!$F$2:$F$23,'3 Hazed Questions'!$A$2:$A$23,"Q4",'3 Hazed Questions'!$C$2:$C$23,L21))</f>
        <v/>
      </c>
      <c r="P21" s="14" t="str">
        <f aca="false">IF(COUNTA(I21:L21)=0,"",SUMIFS('3 Hazed Questions'!$G$2:$G$23,'3 Hazed Questions'!$A$2:$A$23,"Q1",'3 Hazed Questions'!$C$2:$C$23,I21)+SUMIFS('3 Hazed Questions'!$G$2:$G$23,'3 Hazed Questions'!$A$2:$A$23,"Q2",'3 Hazed Questions'!$C$2:$C$23,J21)+SUMIFS('3 Hazed Questions'!$G$2:$G$23,'3 Hazed Questions'!$A$2:$A$23,"Q3",'3 Hazed Questions'!$C$2:$C$23,K21)+SUMIFS('3 Hazed Questions'!$G$2:$G$23,'3 Hazed Questions'!$A$2:$A$23,"Q4",'3 Hazed Questions'!$C$2:$C$23,L21))</f>
        <v/>
      </c>
      <c r="Q21" s="14" t="str">
        <f aca="false">IF(COUNTA(I21:L21)=0,"",SUMIFS('3 Hazed Questions'!$H$2:$H$23,'3 Hazed Questions'!$A$2:$A$23,"Q1",'3 Hazed Questions'!$C$2:$C$23,I21)+SUMIFS('3 Hazed Questions'!$H$2:$H$23,'3 Hazed Questions'!$A$2:$A$23,"Q2",'3 Hazed Questions'!$C$2:$C$23,J21)+SUMIFS('3 Hazed Questions'!$H$2:$H$23,'3 Hazed Questions'!$A$2:$A$23,"Q3",'3 Hazed Questions'!$C$2:$C$23,K21)+SUMIFS('3 Hazed Questions'!$H$2:$H$23,'3 Hazed Questions'!$A$2:$A$23,"Q4",'3 Hazed Questions'!$C$2:$C$23,L21))</f>
        <v/>
      </c>
      <c r="R21" s="14" t="str">
        <f aca="false">IF(COUNTA(I21:L21)=0,"",SUMIFS('3 Hazed Questions'!$I$2:$I$23,'3 Hazed Questions'!$A$2:$A$23,"Q1",'3 Hazed Questions'!$C$2:$C$23,I21)+SUMIFS('3 Hazed Questions'!$I$2:$I$23,'3 Hazed Questions'!$A$2:$A$23,"Q2",'3 Hazed Questions'!$C$2:$C$23,J21)+SUMIFS('3 Hazed Questions'!$I$2:$I$23,'3 Hazed Questions'!$A$2:$A$23,"Q3",'3 Hazed Questions'!$C$2:$C$23,K21)+SUMIFS('3 Hazed Questions'!$I$2:$I$23,'3 Hazed Questions'!$A$2:$A$23,"Q4",'3 Hazed Questions'!$C$2:$C$23,L21))</f>
        <v/>
      </c>
      <c r="S21" s="14" t="str">
        <f aca="false">IF(COUNTA(I21:L21)=0,"",SUMIFS('3 Hazed Questions'!$J$2:$J$23,'3 Hazed Questions'!$A$2:$A$23,"Q1",'3 Hazed Questions'!$C$2:$C$23,I21)+SUMIFS('3 Hazed Questions'!$J$2:$J$23,'3 Hazed Questions'!$A$2:$A$23,"Q2",'3 Hazed Questions'!$C$2:$C$23,J21)+SUMIFS('3 Hazed Questions'!$J$2:$J$23,'3 Hazed Questions'!$A$2:$A$23,"Q3",'3 Hazed Questions'!$C$2:$C$23,K21)+SUMIFS('3 Hazed Questions'!$J$2:$J$23,'3 Hazed Questions'!$A$2:$A$23,"Q4",'3 Hazed Questions'!$C$2:$C$23,L21))</f>
        <v/>
      </c>
      <c r="T21" s="14" t="str">
        <f aca="false">IF(COUNTA(I21:L21)=0,"",SUMIFS('3 Hazed Questions'!$K$2:$K$23,'3 Hazed Questions'!$A$2:$A$23,"Q1",'3 Hazed Questions'!$C$2:$C$23,I21)+SUMIFS('3 Hazed Questions'!$K$2:$K$23,'3 Hazed Questions'!$A$2:$A$23,"Q2",'3 Hazed Questions'!$C$2:$C$23,J21)+SUMIFS('3 Hazed Questions'!$K$2:$K$23,'3 Hazed Questions'!$A$2:$A$23,"Q3",'3 Hazed Questions'!$C$2:$C$23,K21)+SUMIFS('3 Hazed Questions'!$K$2:$K$23,'3 Hazed Questions'!$A$2:$A$23,"Q4",'3 Hazed Questions'!$C$2:$C$23,L21))</f>
        <v/>
      </c>
      <c r="U21" s="14" t="str">
        <f aca="false">IF(COUNTA(I21:L21)=0,"",SUMIFS('3 Hazed Questions'!$L$2:$L$23,'3 Hazed Questions'!$A$2:$A$23,"Q1",'3 Hazed Questions'!$C$2:$C$23,I21)+SUMIFS('3 Hazed Questions'!$L$2:$L$23,'3 Hazed Questions'!$A$2:$A$23,"Q2",'3 Hazed Questions'!$C$2:$C$23,J21)+SUMIFS('3 Hazed Questions'!$L$2:$L$23,'3 Hazed Questions'!$A$2:$A$23,"Q3",'3 Hazed Questions'!$C$2:$C$23,K21)+SUMIFS('3 Hazed Questions'!$L$2:$L$23,'3 Hazed Questions'!$A$2:$A$23,"Q4",'3 Hazed Questions'!$C$2:$C$23,L21))</f>
        <v/>
      </c>
      <c r="V21" s="14" t="str">
        <f aca="false">IF(COUNTA(I21:L21)=0,"",SUMIFS('3 Hazed Questions'!$M$2:$M$23,'3 Hazed Questions'!$A$2:$A$23,"Q1",'3 Hazed Questions'!$C$2:$C$23,I21)+SUMIFS('3 Hazed Questions'!$M$2:$M$23,'3 Hazed Questions'!$A$2:$A$23,"Q2",'3 Hazed Questions'!$C$2:$C$23,J21)+SUMIFS('3 Hazed Questions'!$M$2:$M$23,'3 Hazed Questions'!$A$2:$A$23,"Q3",'3 Hazed Questions'!$C$2:$C$23,K21)+SUMIFS('3 Hazed Questions'!$M$2:$M$23,'3 Hazed Questions'!$A$2:$A$23,"Q4",'3 Hazed Questions'!$C$2:$C$23,L21))</f>
        <v/>
      </c>
      <c r="W21" s="14" t="str">
        <f aca="false">IF(COUNTA(I21:L21)=0,"",SUMIFS('3 Hazed Questions'!$N$2:$N$23,'3 Hazed Questions'!$A$2:$A$23,"Q1",'3 Hazed Questions'!$C$2:$C$23,I21)+SUMIFS('3 Hazed Questions'!$N$2:$N$23,'3 Hazed Questions'!$A$2:$A$23,"Q2",'3 Hazed Questions'!$C$2:$C$23,J21)+SUMIFS('3 Hazed Questions'!$N$2:$N$23,'3 Hazed Questions'!$A$2:$A$23,"Q3",'3 Hazed Questions'!$C$2:$C$23,K21)+SUMIFS('3 Hazed Questions'!$N$2:$N$23,'3 Hazed Questions'!$A$2:$A$23,"Q4",'3 Hazed Questions'!$C$2:$C$23,L21))</f>
        <v/>
      </c>
      <c r="X21" s="14" t="str">
        <f aca="false">IF(COUNTA(I21:L21)=0,"",INDEX(Fields!$B$2:$B$50,MATCH(SUBSTITUTE(INDEX($N$1:$W$1,MATCH(MAX($N21:$W21),$N21:$W21,0)),"Score: ",""),Fields!$A$2:$A$50,0)))</f>
        <v/>
      </c>
      <c r="Y21" s="14" t="str">
        <f aca="true">IF(COUNTA(I21:L21)=0,"",IF(LARGE($N21:$W21,2)=0,"-",INDEX(Fields!$B$2:$B$50,MATCH(SUBSTITUTE(INDEX($N$1:$W$1,IF(LARGE($N21:$W21,2)=MAX($N21:$W21),MATCH(MAX($N21:$W21),OFFSET($N21:$W21,0,MATCH(MAX($N21:$W21),$N21:$W21,0),1,10-MATCH(MAX($N21:$W21),$N21:$W21,0)),0)+MATCH(MAX($N21:$W21),$N21:$W21,0),MATCH(LARGE($N21:$W21,2),$N21:$W21,0))),"Score: ",""),Fields!$A$2:$A$50,0))))</f>
        <v/>
      </c>
      <c r="Z21" s="14" t="str">
        <f aca="false">IF(M21="","",IFERROR(INDEX('3 Hazed Questions'!$O$2:$O$23,MATCH(1,INDEX(('3 Hazed Questions'!$A$2:$A$23="Q5")*('3 Hazed Questions'!$C$2:$C$23=M21),0),0))&amp;"",""))</f>
        <v/>
      </c>
      <c r="AA21" s="18"/>
      <c r="AB21" s="18"/>
      <c r="AC21" s="19"/>
      <c r="AD21" s="19"/>
      <c r="AE21" s="18"/>
      <c r="AF21" s="18"/>
      <c r="AG21" s="18"/>
    </row>
    <row r="22" customFormat="false" ht="15" hidden="false" customHeight="false" outlineLevel="0" collapsed="false">
      <c r="A22" s="18"/>
      <c r="B22" s="19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4" t="str">
        <f aca="false">IF(COUNTA(I22:L22)=0,"",SUMIFS('3 Hazed Questions'!$E$2:$E$23,'3 Hazed Questions'!$A$2:$A$23,"Q1",'3 Hazed Questions'!$C$2:$C$23,I22)+SUMIFS('3 Hazed Questions'!$E$2:$E$23,'3 Hazed Questions'!$A$2:$A$23,"Q2",'3 Hazed Questions'!$C$2:$C$23,J22)+SUMIFS('3 Hazed Questions'!$E$2:$E$23,'3 Hazed Questions'!$A$2:$A$23,"Q3",'3 Hazed Questions'!$C$2:$C$23,K22)+SUMIFS('3 Hazed Questions'!$E$2:$E$23,'3 Hazed Questions'!$A$2:$A$23,"Q4",'3 Hazed Questions'!$C$2:$C$23,L22))</f>
        <v/>
      </c>
      <c r="O22" s="14" t="str">
        <f aca="false">IF(COUNTA(I22:L22)=0,"",SUMIFS('3 Hazed Questions'!$F$2:$F$23,'3 Hazed Questions'!$A$2:$A$23,"Q1",'3 Hazed Questions'!$C$2:$C$23,I22)+SUMIFS('3 Hazed Questions'!$F$2:$F$23,'3 Hazed Questions'!$A$2:$A$23,"Q2",'3 Hazed Questions'!$C$2:$C$23,J22)+SUMIFS('3 Hazed Questions'!$F$2:$F$23,'3 Hazed Questions'!$A$2:$A$23,"Q3",'3 Hazed Questions'!$C$2:$C$23,K22)+SUMIFS('3 Hazed Questions'!$F$2:$F$23,'3 Hazed Questions'!$A$2:$A$23,"Q4",'3 Hazed Questions'!$C$2:$C$23,L22))</f>
        <v/>
      </c>
      <c r="P22" s="14" t="str">
        <f aca="false">IF(COUNTA(I22:L22)=0,"",SUMIFS('3 Hazed Questions'!$G$2:$G$23,'3 Hazed Questions'!$A$2:$A$23,"Q1",'3 Hazed Questions'!$C$2:$C$23,I22)+SUMIFS('3 Hazed Questions'!$G$2:$G$23,'3 Hazed Questions'!$A$2:$A$23,"Q2",'3 Hazed Questions'!$C$2:$C$23,J22)+SUMIFS('3 Hazed Questions'!$G$2:$G$23,'3 Hazed Questions'!$A$2:$A$23,"Q3",'3 Hazed Questions'!$C$2:$C$23,K22)+SUMIFS('3 Hazed Questions'!$G$2:$G$23,'3 Hazed Questions'!$A$2:$A$23,"Q4",'3 Hazed Questions'!$C$2:$C$23,L22))</f>
        <v/>
      </c>
      <c r="Q22" s="14" t="str">
        <f aca="false">IF(COUNTA(I22:L22)=0,"",SUMIFS('3 Hazed Questions'!$H$2:$H$23,'3 Hazed Questions'!$A$2:$A$23,"Q1",'3 Hazed Questions'!$C$2:$C$23,I22)+SUMIFS('3 Hazed Questions'!$H$2:$H$23,'3 Hazed Questions'!$A$2:$A$23,"Q2",'3 Hazed Questions'!$C$2:$C$23,J22)+SUMIFS('3 Hazed Questions'!$H$2:$H$23,'3 Hazed Questions'!$A$2:$A$23,"Q3",'3 Hazed Questions'!$C$2:$C$23,K22)+SUMIFS('3 Hazed Questions'!$H$2:$H$23,'3 Hazed Questions'!$A$2:$A$23,"Q4",'3 Hazed Questions'!$C$2:$C$23,L22))</f>
        <v/>
      </c>
      <c r="R22" s="14" t="str">
        <f aca="false">IF(COUNTA(I22:L22)=0,"",SUMIFS('3 Hazed Questions'!$I$2:$I$23,'3 Hazed Questions'!$A$2:$A$23,"Q1",'3 Hazed Questions'!$C$2:$C$23,I22)+SUMIFS('3 Hazed Questions'!$I$2:$I$23,'3 Hazed Questions'!$A$2:$A$23,"Q2",'3 Hazed Questions'!$C$2:$C$23,J22)+SUMIFS('3 Hazed Questions'!$I$2:$I$23,'3 Hazed Questions'!$A$2:$A$23,"Q3",'3 Hazed Questions'!$C$2:$C$23,K22)+SUMIFS('3 Hazed Questions'!$I$2:$I$23,'3 Hazed Questions'!$A$2:$A$23,"Q4",'3 Hazed Questions'!$C$2:$C$23,L22))</f>
        <v/>
      </c>
      <c r="S22" s="14" t="str">
        <f aca="false">IF(COUNTA(I22:L22)=0,"",SUMIFS('3 Hazed Questions'!$J$2:$J$23,'3 Hazed Questions'!$A$2:$A$23,"Q1",'3 Hazed Questions'!$C$2:$C$23,I22)+SUMIFS('3 Hazed Questions'!$J$2:$J$23,'3 Hazed Questions'!$A$2:$A$23,"Q2",'3 Hazed Questions'!$C$2:$C$23,J22)+SUMIFS('3 Hazed Questions'!$J$2:$J$23,'3 Hazed Questions'!$A$2:$A$23,"Q3",'3 Hazed Questions'!$C$2:$C$23,K22)+SUMIFS('3 Hazed Questions'!$J$2:$J$23,'3 Hazed Questions'!$A$2:$A$23,"Q4",'3 Hazed Questions'!$C$2:$C$23,L22))</f>
        <v/>
      </c>
      <c r="T22" s="14" t="str">
        <f aca="false">IF(COUNTA(I22:L22)=0,"",SUMIFS('3 Hazed Questions'!$K$2:$K$23,'3 Hazed Questions'!$A$2:$A$23,"Q1",'3 Hazed Questions'!$C$2:$C$23,I22)+SUMIFS('3 Hazed Questions'!$K$2:$K$23,'3 Hazed Questions'!$A$2:$A$23,"Q2",'3 Hazed Questions'!$C$2:$C$23,J22)+SUMIFS('3 Hazed Questions'!$K$2:$K$23,'3 Hazed Questions'!$A$2:$A$23,"Q3",'3 Hazed Questions'!$C$2:$C$23,K22)+SUMIFS('3 Hazed Questions'!$K$2:$K$23,'3 Hazed Questions'!$A$2:$A$23,"Q4",'3 Hazed Questions'!$C$2:$C$23,L22))</f>
        <v/>
      </c>
      <c r="U22" s="14" t="str">
        <f aca="false">IF(COUNTA(I22:L22)=0,"",SUMIFS('3 Hazed Questions'!$L$2:$L$23,'3 Hazed Questions'!$A$2:$A$23,"Q1",'3 Hazed Questions'!$C$2:$C$23,I22)+SUMIFS('3 Hazed Questions'!$L$2:$L$23,'3 Hazed Questions'!$A$2:$A$23,"Q2",'3 Hazed Questions'!$C$2:$C$23,J22)+SUMIFS('3 Hazed Questions'!$L$2:$L$23,'3 Hazed Questions'!$A$2:$A$23,"Q3",'3 Hazed Questions'!$C$2:$C$23,K22)+SUMIFS('3 Hazed Questions'!$L$2:$L$23,'3 Hazed Questions'!$A$2:$A$23,"Q4",'3 Hazed Questions'!$C$2:$C$23,L22))</f>
        <v/>
      </c>
      <c r="V22" s="14" t="str">
        <f aca="false">IF(COUNTA(I22:L22)=0,"",SUMIFS('3 Hazed Questions'!$M$2:$M$23,'3 Hazed Questions'!$A$2:$A$23,"Q1",'3 Hazed Questions'!$C$2:$C$23,I22)+SUMIFS('3 Hazed Questions'!$M$2:$M$23,'3 Hazed Questions'!$A$2:$A$23,"Q2",'3 Hazed Questions'!$C$2:$C$23,J22)+SUMIFS('3 Hazed Questions'!$M$2:$M$23,'3 Hazed Questions'!$A$2:$A$23,"Q3",'3 Hazed Questions'!$C$2:$C$23,K22)+SUMIFS('3 Hazed Questions'!$M$2:$M$23,'3 Hazed Questions'!$A$2:$A$23,"Q4",'3 Hazed Questions'!$C$2:$C$23,L22))</f>
        <v/>
      </c>
      <c r="W22" s="14" t="str">
        <f aca="false">IF(COUNTA(I22:L22)=0,"",SUMIFS('3 Hazed Questions'!$N$2:$N$23,'3 Hazed Questions'!$A$2:$A$23,"Q1",'3 Hazed Questions'!$C$2:$C$23,I22)+SUMIFS('3 Hazed Questions'!$N$2:$N$23,'3 Hazed Questions'!$A$2:$A$23,"Q2",'3 Hazed Questions'!$C$2:$C$23,J22)+SUMIFS('3 Hazed Questions'!$N$2:$N$23,'3 Hazed Questions'!$A$2:$A$23,"Q3",'3 Hazed Questions'!$C$2:$C$23,K22)+SUMIFS('3 Hazed Questions'!$N$2:$N$23,'3 Hazed Questions'!$A$2:$A$23,"Q4",'3 Hazed Questions'!$C$2:$C$23,L22))</f>
        <v/>
      </c>
      <c r="X22" s="14" t="str">
        <f aca="false">IF(COUNTA(I22:L22)=0,"",INDEX(Fields!$B$2:$B$50,MATCH(SUBSTITUTE(INDEX($N$1:$W$1,MATCH(MAX($N22:$W22),$N22:$W22,0)),"Score: ",""),Fields!$A$2:$A$50,0)))</f>
        <v/>
      </c>
      <c r="Y22" s="14" t="str">
        <f aca="true">IF(COUNTA(I22:L22)=0,"",IF(LARGE($N22:$W22,2)=0,"-",INDEX(Fields!$B$2:$B$50,MATCH(SUBSTITUTE(INDEX($N$1:$W$1,IF(LARGE($N22:$W22,2)=MAX($N22:$W22),MATCH(MAX($N22:$W22),OFFSET($N22:$W22,0,MATCH(MAX($N22:$W22),$N22:$W22,0),1,10-MATCH(MAX($N22:$W22),$N22:$W22,0)),0)+MATCH(MAX($N22:$W22),$N22:$W22,0),MATCH(LARGE($N22:$W22,2),$N22:$W22,0))),"Score: ",""),Fields!$A$2:$A$50,0))))</f>
        <v/>
      </c>
      <c r="Z22" s="14" t="str">
        <f aca="false">IF(M22="","",IFERROR(INDEX('3 Hazed Questions'!$O$2:$O$23,MATCH(1,INDEX(('3 Hazed Questions'!$A$2:$A$23="Q5")*('3 Hazed Questions'!$C$2:$C$23=M22),0),0))&amp;"",""))</f>
        <v/>
      </c>
      <c r="AA22" s="18"/>
      <c r="AB22" s="18"/>
      <c r="AC22" s="19"/>
      <c r="AD22" s="19"/>
      <c r="AE22" s="18"/>
      <c r="AF22" s="18"/>
      <c r="AG22" s="18"/>
    </row>
    <row r="23" customFormat="false" ht="15" hidden="false" customHeight="false" outlineLevel="0" collapsed="false">
      <c r="A23" s="18"/>
      <c r="B23" s="1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4" t="str">
        <f aca="false">IF(COUNTA(I23:L23)=0,"",SUMIFS('3 Hazed Questions'!$E$2:$E$23,'3 Hazed Questions'!$A$2:$A$23,"Q1",'3 Hazed Questions'!$C$2:$C$23,I23)+SUMIFS('3 Hazed Questions'!$E$2:$E$23,'3 Hazed Questions'!$A$2:$A$23,"Q2",'3 Hazed Questions'!$C$2:$C$23,J23)+SUMIFS('3 Hazed Questions'!$E$2:$E$23,'3 Hazed Questions'!$A$2:$A$23,"Q3",'3 Hazed Questions'!$C$2:$C$23,K23)+SUMIFS('3 Hazed Questions'!$E$2:$E$23,'3 Hazed Questions'!$A$2:$A$23,"Q4",'3 Hazed Questions'!$C$2:$C$23,L23))</f>
        <v/>
      </c>
      <c r="O23" s="14" t="str">
        <f aca="false">IF(COUNTA(I23:L23)=0,"",SUMIFS('3 Hazed Questions'!$F$2:$F$23,'3 Hazed Questions'!$A$2:$A$23,"Q1",'3 Hazed Questions'!$C$2:$C$23,I23)+SUMIFS('3 Hazed Questions'!$F$2:$F$23,'3 Hazed Questions'!$A$2:$A$23,"Q2",'3 Hazed Questions'!$C$2:$C$23,J23)+SUMIFS('3 Hazed Questions'!$F$2:$F$23,'3 Hazed Questions'!$A$2:$A$23,"Q3",'3 Hazed Questions'!$C$2:$C$23,K23)+SUMIFS('3 Hazed Questions'!$F$2:$F$23,'3 Hazed Questions'!$A$2:$A$23,"Q4",'3 Hazed Questions'!$C$2:$C$23,L23))</f>
        <v/>
      </c>
      <c r="P23" s="14" t="str">
        <f aca="false">IF(COUNTA(I23:L23)=0,"",SUMIFS('3 Hazed Questions'!$G$2:$G$23,'3 Hazed Questions'!$A$2:$A$23,"Q1",'3 Hazed Questions'!$C$2:$C$23,I23)+SUMIFS('3 Hazed Questions'!$G$2:$G$23,'3 Hazed Questions'!$A$2:$A$23,"Q2",'3 Hazed Questions'!$C$2:$C$23,J23)+SUMIFS('3 Hazed Questions'!$G$2:$G$23,'3 Hazed Questions'!$A$2:$A$23,"Q3",'3 Hazed Questions'!$C$2:$C$23,K23)+SUMIFS('3 Hazed Questions'!$G$2:$G$23,'3 Hazed Questions'!$A$2:$A$23,"Q4",'3 Hazed Questions'!$C$2:$C$23,L23))</f>
        <v/>
      </c>
      <c r="Q23" s="14" t="str">
        <f aca="false">IF(COUNTA(I23:L23)=0,"",SUMIFS('3 Hazed Questions'!$H$2:$H$23,'3 Hazed Questions'!$A$2:$A$23,"Q1",'3 Hazed Questions'!$C$2:$C$23,I23)+SUMIFS('3 Hazed Questions'!$H$2:$H$23,'3 Hazed Questions'!$A$2:$A$23,"Q2",'3 Hazed Questions'!$C$2:$C$23,J23)+SUMIFS('3 Hazed Questions'!$H$2:$H$23,'3 Hazed Questions'!$A$2:$A$23,"Q3",'3 Hazed Questions'!$C$2:$C$23,K23)+SUMIFS('3 Hazed Questions'!$H$2:$H$23,'3 Hazed Questions'!$A$2:$A$23,"Q4",'3 Hazed Questions'!$C$2:$C$23,L23))</f>
        <v/>
      </c>
      <c r="R23" s="14" t="str">
        <f aca="false">IF(COUNTA(I23:L23)=0,"",SUMIFS('3 Hazed Questions'!$I$2:$I$23,'3 Hazed Questions'!$A$2:$A$23,"Q1",'3 Hazed Questions'!$C$2:$C$23,I23)+SUMIFS('3 Hazed Questions'!$I$2:$I$23,'3 Hazed Questions'!$A$2:$A$23,"Q2",'3 Hazed Questions'!$C$2:$C$23,J23)+SUMIFS('3 Hazed Questions'!$I$2:$I$23,'3 Hazed Questions'!$A$2:$A$23,"Q3",'3 Hazed Questions'!$C$2:$C$23,K23)+SUMIFS('3 Hazed Questions'!$I$2:$I$23,'3 Hazed Questions'!$A$2:$A$23,"Q4",'3 Hazed Questions'!$C$2:$C$23,L23))</f>
        <v/>
      </c>
      <c r="S23" s="14" t="str">
        <f aca="false">IF(COUNTA(I23:L23)=0,"",SUMIFS('3 Hazed Questions'!$J$2:$J$23,'3 Hazed Questions'!$A$2:$A$23,"Q1",'3 Hazed Questions'!$C$2:$C$23,I23)+SUMIFS('3 Hazed Questions'!$J$2:$J$23,'3 Hazed Questions'!$A$2:$A$23,"Q2",'3 Hazed Questions'!$C$2:$C$23,J23)+SUMIFS('3 Hazed Questions'!$J$2:$J$23,'3 Hazed Questions'!$A$2:$A$23,"Q3",'3 Hazed Questions'!$C$2:$C$23,K23)+SUMIFS('3 Hazed Questions'!$J$2:$J$23,'3 Hazed Questions'!$A$2:$A$23,"Q4",'3 Hazed Questions'!$C$2:$C$23,L23))</f>
        <v/>
      </c>
      <c r="T23" s="14" t="str">
        <f aca="false">IF(COUNTA(I23:L23)=0,"",SUMIFS('3 Hazed Questions'!$K$2:$K$23,'3 Hazed Questions'!$A$2:$A$23,"Q1",'3 Hazed Questions'!$C$2:$C$23,I23)+SUMIFS('3 Hazed Questions'!$K$2:$K$23,'3 Hazed Questions'!$A$2:$A$23,"Q2",'3 Hazed Questions'!$C$2:$C$23,J23)+SUMIFS('3 Hazed Questions'!$K$2:$K$23,'3 Hazed Questions'!$A$2:$A$23,"Q3",'3 Hazed Questions'!$C$2:$C$23,K23)+SUMIFS('3 Hazed Questions'!$K$2:$K$23,'3 Hazed Questions'!$A$2:$A$23,"Q4",'3 Hazed Questions'!$C$2:$C$23,L23))</f>
        <v/>
      </c>
      <c r="U23" s="14" t="str">
        <f aca="false">IF(COUNTA(I23:L23)=0,"",SUMIFS('3 Hazed Questions'!$L$2:$L$23,'3 Hazed Questions'!$A$2:$A$23,"Q1",'3 Hazed Questions'!$C$2:$C$23,I23)+SUMIFS('3 Hazed Questions'!$L$2:$L$23,'3 Hazed Questions'!$A$2:$A$23,"Q2",'3 Hazed Questions'!$C$2:$C$23,J23)+SUMIFS('3 Hazed Questions'!$L$2:$L$23,'3 Hazed Questions'!$A$2:$A$23,"Q3",'3 Hazed Questions'!$C$2:$C$23,K23)+SUMIFS('3 Hazed Questions'!$L$2:$L$23,'3 Hazed Questions'!$A$2:$A$23,"Q4",'3 Hazed Questions'!$C$2:$C$23,L23))</f>
        <v/>
      </c>
      <c r="V23" s="14" t="str">
        <f aca="false">IF(COUNTA(I23:L23)=0,"",SUMIFS('3 Hazed Questions'!$M$2:$M$23,'3 Hazed Questions'!$A$2:$A$23,"Q1",'3 Hazed Questions'!$C$2:$C$23,I23)+SUMIFS('3 Hazed Questions'!$M$2:$M$23,'3 Hazed Questions'!$A$2:$A$23,"Q2",'3 Hazed Questions'!$C$2:$C$23,J23)+SUMIFS('3 Hazed Questions'!$M$2:$M$23,'3 Hazed Questions'!$A$2:$A$23,"Q3",'3 Hazed Questions'!$C$2:$C$23,K23)+SUMIFS('3 Hazed Questions'!$M$2:$M$23,'3 Hazed Questions'!$A$2:$A$23,"Q4",'3 Hazed Questions'!$C$2:$C$23,L23))</f>
        <v/>
      </c>
      <c r="W23" s="14" t="str">
        <f aca="false">IF(COUNTA(I23:L23)=0,"",SUMIFS('3 Hazed Questions'!$N$2:$N$23,'3 Hazed Questions'!$A$2:$A$23,"Q1",'3 Hazed Questions'!$C$2:$C$23,I23)+SUMIFS('3 Hazed Questions'!$N$2:$N$23,'3 Hazed Questions'!$A$2:$A$23,"Q2",'3 Hazed Questions'!$C$2:$C$23,J23)+SUMIFS('3 Hazed Questions'!$N$2:$N$23,'3 Hazed Questions'!$A$2:$A$23,"Q3",'3 Hazed Questions'!$C$2:$C$23,K23)+SUMIFS('3 Hazed Questions'!$N$2:$N$23,'3 Hazed Questions'!$A$2:$A$23,"Q4",'3 Hazed Questions'!$C$2:$C$23,L23))</f>
        <v/>
      </c>
      <c r="X23" s="14" t="str">
        <f aca="false">IF(COUNTA(I23:L23)=0,"",INDEX(Fields!$B$2:$B$50,MATCH(SUBSTITUTE(INDEX($N$1:$W$1,MATCH(MAX($N23:$W23),$N23:$W23,0)),"Score: ",""),Fields!$A$2:$A$50,0)))</f>
        <v/>
      </c>
      <c r="Y23" s="14" t="str">
        <f aca="true">IF(COUNTA(I23:L23)=0,"",IF(LARGE($N23:$W23,2)=0,"-",INDEX(Fields!$B$2:$B$50,MATCH(SUBSTITUTE(INDEX($N$1:$W$1,IF(LARGE($N23:$W23,2)=MAX($N23:$W23),MATCH(MAX($N23:$W23),OFFSET($N23:$W23,0,MATCH(MAX($N23:$W23),$N23:$W23,0),1,10-MATCH(MAX($N23:$W23),$N23:$W23,0)),0)+MATCH(MAX($N23:$W23),$N23:$W23,0),MATCH(LARGE($N23:$W23,2),$N23:$W23,0))),"Score: ",""),Fields!$A$2:$A$50,0))))</f>
        <v/>
      </c>
      <c r="Z23" s="14" t="str">
        <f aca="false">IF(M23="","",IFERROR(INDEX('3 Hazed Questions'!$O$2:$O$23,MATCH(1,INDEX(('3 Hazed Questions'!$A$2:$A$23="Q5")*('3 Hazed Questions'!$C$2:$C$23=M23),0),0))&amp;"",""))</f>
        <v/>
      </c>
      <c r="AA23" s="18"/>
      <c r="AB23" s="18"/>
      <c r="AC23" s="19"/>
      <c r="AD23" s="19"/>
      <c r="AE23" s="18"/>
      <c r="AF23" s="18"/>
      <c r="AG23" s="18"/>
    </row>
    <row r="24" customFormat="false" ht="15" hidden="false" customHeight="false" outlineLevel="0" collapsed="false">
      <c r="A24" s="18"/>
      <c r="B24" s="19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4" t="str">
        <f aca="false">IF(COUNTA(I24:L24)=0,"",SUMIFS('3 Hazed Questions'!$E$2:$E$23,'3 Hazed Questions'!$A$2:$A$23,"Q1",'3 Hazed Questions'!$C$2:$C$23,I24)+SUMIFS('3 Hazed Questions'!$E$2:$E$23,'3 Hazed Questions'!$A$2:$A$23,"Q2",'3 Hazed Questions'!$C$2:$C$23,J24)+SUMIFS('3 Hazed Questions'!$E$2:$E$23,'3 Hazed Questions'!$A$2:$A$23,"Q3",'3 Hazed Questions'!$C$2:$C$23,K24)+SUMIFS('3 Hazed Questions'!$E$2:$E$23,'3 Hazed Questions'!$A$2:$A$23,"Q4",'3 Hazed Questions'!$C$2:$C$23,L24))</f>
        <v/>
      </c>
      <c r="O24" s="14" t="str">
        <f aca="false">IF(COUNTA(I24:L24)=0,"",SUMIFS('3 Hazed Questions'!$F$2:$F$23,'3 Hazed Questions'!$A$2:$A$23,"Q1",'3 Hazed Questions'!$C$2:$C$23,I24)+SUMIFS('3 Hazed Questions'!$F$2:$F$23,'3 Hazed Questions'!$A$2:$A$23,"Q2",'3 Hazed Questions'!$C$2:$C$23,J24)+SUMIFS('3 Hazed Questions'!$F$2:$F$23,'3 Hazed Questions'!$A$2:$A$23,"Q3",'3 Hazed Questions'!$C$2:$C$23,K24)+SUMIFS('3 Hazed Questions'!$F$2:$F$23,'3 Hazed Questions'!$A$2:$A$23,"Q4",'3 Hazed Questions'!$C$2:$C$23,L24))</f>
        <v/>
      </c>
      <c r="P24" s="14" t="str">
        <f aca="false">IF(COUNTA(I24:L24)=0,"",SUMIFS('3 Hazed Questions'!$G$2:$G$23,'3 Hazed Questions'!$A$2:$A$23,"Q1",'3 Hazed Questions'!$C$2:$C$23,I24)+SUMIFS('3 Hazed Questions'!$G$2:$G$23,'3 Hazed Questions'!$A$2:$A$23,"Q2",'3 Hazed Questions'!$C$2:$C$23,J24)+SUMIFS('3 Hazed Questions'!$G$2:$G$23,'3 Hazed Questions'!$A$2:$A$23,"Q3",'3 Hazed Questions'!$C$2:$C$23,K24)+SUMIFS('3 Hazed Questions'!$G$2:$G$23,'3 Hazed Questions'!$A$2:$A$23,"Q4",'3 Hazed Questions'!$C$2:$C$23,L24))</f>
        <v/>
      </c>
      <c r="Q24" s="14" t="str">
        <f aca="false">IF(COUNTA(I24:L24)=0,"",SUMIFS('3 Hazed Questions'!$H$2:$H$23,'3 Hazed Questions'!$A$2:$A$23,"Q1",'3 Hazed Questions'!$C$2:$C$23,I24)+SUMIFS('3 Hazed Questions'!$H$2:$H$23,'3 Hazed Questions'!$A$2:$A$23,"Q2",'3 Hazed Questions'!$C$2:$C$23,J24)+SUMIFS('3 Hazed Questions'!$H$2:$H$23,'3 Hazed Questions'!$A$2:$A$23,"Q3",'3 Hazed Questions'!$C$2:$C$23,K24)+SUMIFS('3 Hazed Questions'!$H$2:$H$23,'3 Hazed Questions'!$A$2:$A$23,"Q4",'3 Hazed Questions'!$C$2:$C$23,L24))</f>
        <v/>
      </c>
      <c r="R24" s="14" t="str">
        <f aca="false">IF(COUNTA(I24:L24)=0,"",SUMIFS('3 Hazed Questions'!$I$2:$I$23,'3 Hazed Questions'!$A$2:$A$23,"Q1",'3 Hazed Questions'!$C$2:$C$23,I24)+SUMIFS('3 Hazed Questions'!$I$2:$I$23,'3 Hazed Questions'!$A$2:$A$23,"Q2",'3 Hazed Questions'!$C$2:$C$23,J24)+SUMIFS('3 Hazed Questions'!$I$2:$I$23,'3 Hazed Questions'!$A$2:$A$23,"Q3",'3 Hazed Questions'!$C$2:$C$23,K24)+SUMIFS('3 Hazed Questions'!$I$2:$I$23,'3 Hazed Questions'!$A$2:$A$23,"Q4",'3 Hazed Questions'!$C$2:$C$23,L24))</f>
        <v/>
      </c>
      <c r="S24" s="14" t="str">
        <f aca="false">IF(COUNTA(I24:L24)=0,"",SUMIFS('3 Hazed Questions'!$J$2:$J$23,'3 Hazed Questions'!$A$2:$A$23,"Q1",'3 Hazed Questions'!$C$2:$C$23,I24)+SUMIFS('3 Hazed Questions'!$J$2:$J$23,'3 Hazed Questions'!$A$2:$A$23,"Q2",'3 Hazed Questions'!$C$2:$C$23,J24)+SUMIFS('3 Hazed Questions'!$J$2:$J$23,'3 Hazed Questions'!$A$2:$A$23,"Q3",'3 Hazed Questions'!$C$2:$C$23,K24)+SUMIFS('3 Hazed Questions'!$J$2:$J$23,'3 Hazed Questions'!$A$2:$A$23,"Q4",'3 Hazed Questions'!$C$2:$C$23,L24))</f>
        <v/>
      </c>
      <c r="T24" s="14" t="str">
        <f aca="false">IF(COUNTA(I24:L24)=0,"",SUMIFS('3 Hazed Questions'!$K$2:$K$23,'3 Hazed Questions'!$A$2:$A$23,"Q1",'3 Hazed Questions'!$C$2:$C$23,I24)+SUMIFS('3 Hazed Questions'!$K$2:$K$23,'3 Hazed Questions'!$A$2:$A$23,"Q2",'3 Hazed Questions'!$C$2:$C$23,J24)+SUMIFS('3 Hazed Questions'!$K$2:$K$23,'3 Hazed Questions'!$A$2:$A$23,"Q3",'3 Hazed Questions'!$C$2:$C$23,K24)+SUMIFS('3 Hazed Questions'!$K$2:$K$23,'3 Hazed Questions'!$A$2:$A$23,"Q4",'3 Hazed Questions'!$C$2:$C$23,L24))</f>
        <v/>
      </c>
      <c r="U24" s="14" t="str">
        <f aca="false">IF(COUNTA(I24:L24)=0,"",SUMIFS('3 Hazed Questions'!$L$2:$L$23,'3 Hazed Questions'!$A$2:$A$23,"Q1",'3 Hazed Questions'!$C$2:$C$23,I24)+SUMIFS('3 Hazed Questions'!$L$2:$L$23,'3 Hazed Questions'!$A$2:$A$23,"Q2",'3 Hazed Questions'!$C$2:$C$23,J24)+SUMIFS('3 Hazed Questions'!$L$2:$L$23,'3 Hazed Questions'!$A$2:$A$23,"Q3",'3 Hazed Questions'!$C$2:$C$23,K24)+SUMIFS('3 Hazed Questions'!$L$2:$L$23,'3 Hazed Questions'!$A$2:$A$23,"Q4",'3 Hazed Questions'!$C$2:$C$23,L24))</f>
        <v/>
      </c>
      <c r="V24" s="14" t="str">
        <f aca="false">IF(COUNTA(I24:L24)=0,"",SUMIFS('3 Hazed Questions'!$M$2:$M$23,'3 Hazed Questions'!$A$2:$A$23,"Q1",'3 Hazed Questions'!$C$2:$C$23,I24)+SUMIFS('3 Hazed Questions'!$M$2:$M$23,'3 Hazed Questions'!$A$2:$A$23,"Q2",'3 Hazed Questions'!$C$2:$C$23,J24)+SUMIFS('3 Hazed Questions'!$M$2:$M$23,'3 Hazed Questions'!$A$2:$A$23,"Q3",'3 Hazed Questions'!$C$2:$C$23,K24)+SUMIFS('3 Hazed Questions'!$M$2:$M$23,'3 Hazed Questions'!$A$2:$A$23,"Q4",'3 Hazed Questions'!$C$2:$C$23,L24))</f>
        <v/>
      </c>
      <c r="W24" s="14" t="str">
        <f aca="false">IF(COUNTA(I24:L24)=0,"",SUMIFS('3 Hazed Questions'!$N$2:$N$23,'3 Hazed Questions'!$A$2:$A$23,"Q1",'3 Hazed Questions'!$C$2:$C$23,I24)+SUMIFS('3 Hazed Questions'!$N$2:$N$23,'3 Hazed Questions'!$A$2:$A$23,"Q2",'3 Hazed Questions'!$C$2:$C$23,J24)+SUMIFS('3 Hazed Questions'!$N$2:$N$23,'3 Hazed Questions'!$A$2:$A$23,"Q3",'3 Hazed Questions'!$C$2:$C$23,K24)+SUMIFS('3 Hazed Questions'!$N$2:$N$23,'3 Hazed Questions'!$A$2:$A$23,"Q4",'3 Hazed Questions'!$C$2:$C$23,L24))</f>
        <v/>
      </c>
      <c r="X24" s="14" t="str">
        <f aca="false">IF(COUNTA(I24:L24)=0,"",INDEX(Fields!$B$2:$B$50,MATCH(SUBSTITUTE(INDEX($N$1:$W$1,MATCH(MAX($N24:$W24),$N24:$W24,0)),"Score: ",""),Fields!$A$2:$A$50,0)))</f>
        <v/>
      </c>
      <c r="Y24" s="14" t="str">
        <f aca="true">IF(COUNTA(I24:L24)=0,"",IF(LARGE($N24:$W24,2)=0,"-",INDEX(Fields!$B$2:$B$50,MATCH(SUBSTITUTE(INDEX($N$1:$W$1,IF(LARGE($N24:$W24,2)=MAX($N24:$W24),MATCH(MAX($N24:$W24),OFFSET($N24:$W24,0,MATCH(MAX($N24:$W24),$N24:$W24,0),1,10-MATCH(MAX($N24:$W24),$N24:$W24,0)),0)+MATCH(MAX($N24:$W24),$N24:$W24,0),MATCH(LARGE($N24:$W24,2),$N24:$W24,0))),"Score: ",""),Fields!$A$2:$A$50,0))))</f>
        <v/>
      </c>
      <c r="Z24" s="14" t="str">
        <f aca="false">IF(M24="","",IFERROR(INDEX('3 Hazed Questions'!$O$2:$O$23,MATCH(1,INDEX(('3 Hazed Questions'!$A$2:$A$23="Q5")*('3 Hazed Questions'!$C$2:$C$23=M24),0),0))&amp;"",""))</f>
        <v/>
      </c>
      <c r="AA24" s="18"/>
      <c r="AB24" s="18"/>
      <c r="AC24" s="19"/>
      <c r="AD24" s="19"/>
      <c r="AE24" s="18"/>
      <c r="AF24" s="18"/>
      <c r="AG24" s="18"/>
    </row>
    <row r="25" customFormat="false" ht="15" hidden="false" customHeight="false" outlineLevel="0" collapsed="false">
      <c r="A25" s="18"/>
      <c r="B25" s="19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4" t="str">
        <f aca="false">IF(COUNTA(I25:L25)=0,"",SUMIFS('3 Hazed Questions'!$E$2:$E$23,'3 Hazed Questions'!$A$2:$A$23,"Q1",'3 Hazed Questions'!$C$2:$C$23,I25)+SUMIFS('3 Hazed Questions'!$E$2:$E$23,'3 Hazed Questions'!$A$2:$A$23,"Q2",'3 Hazed Questions'!$C$2:$C$23,J25)+SUMIFS('3 Hazed Questions'!$E$2:$E$23,'3 Hazed Questions'!$A$2:$A$23,"Q3",'3 Hazed Questions'!$C$2:$C$23,K25)+SUMIFS('3 Hazed Questions'!$E$2:$E$23,'3 Hazed Questions'!$A$2:$A$23,"Q4",'3 Hazed Questions'!$C$2:$C$23,L25))</f>
        <v/>
      </c>
      <c r="O25" s="14" t="str">
        <f aca="false">IF(COUNTA(I25:L25)=0,"",SUMIFS('3 Hazed Questions'!$F$2:$F$23,'3 Hazed Questions'!$A$2:$A$23,"Q1",'3 Hazed Questions'!$C$2:$C$23,I25)+SUMIFS('3 Hazed Questions'!$F$2:$F$23,'3 Hazed Questions'!$A$2:$A$23,"Q2",'3 Hazed Questions'!$C$2:$C$23,J25)+SUMIFS('3 Hazed Questions'!$F$2:$F$23,'3 Hazed Questions'!$A$2:$A$23,"Q3",'3 Hazed Questions'!$C$2:$C$23,K25)+SUMIFS('3 Hazed Questions'!$F$2:$F$23,'3 Hazed Questions'!$A$2:$A$23,"Q4",'3 Hazed Questions'!$C$2:$C$23,L25))</f>
        <v/>
      </c>
      <c r="P25" s="14" t="str">
        <f aca="false">IF(COUNTA(I25:L25)=0,"",SUMIFS('3 Hazed Questions'!$G$2:$G$23,'3 Hazed Questions'!$A$2:$A$23,"Q1",'3 Hazed Questions'!$C$2:$C$23,I25)+SUMIFS('3 Hazed Questions'!$G$2:$G$23,'3 Hazed Questions'!$A$2:$A$23,"Q2",'3 Hazed Questions'!$C$2:$C$23,J25)+SUMIFS('3 Hazed Questions'!$G$2:$G$23,'3 Hazed Questions'!$A$2:$A$23,"Q3",'3 Hazed Questions'!$C$2:$C$23,K25)+SUMIFS('3 Hazed Questions'!$G$2:$G$23,'3 Hazed Questions'!$A$2:$A$23,"Q4",'3 Hazed Questions'!$C$2:$C$23,L25))</f>
        <v/>
      </c>
      <c r="Q25" s="14" t="str">
        <f aca="false">IF(COUNTA(I25:L25)=0,"",SUMIFS('3 Hazed Questions'!$H$2:$H$23,'3 Hazed Questions'!$A$2:$A$23,"Q1",'3 Hazed Questions'!$C$2:$C$23,I25)+SUMIFS('3 Hazed Questions'!$H$2:$H$23,'3 Hazed Questions'!$A$2:$A$23,"Q2",'3 Hazed Questions'!$C$2:$C$23,J25)+SUMIFS('3 Hazed Questions'!$H$2:$H$23,'3 Hazed Questions'!$A$2:$A$23,"Q3",'3 Hazed Questions'!$C$2:$C$23,K25)+SUMIFS('3 Hazed Questions'!$H$2:$H$23,'3 Hazed Questions'!$A$2:$A$23,"Q4",'3 Hazed Questions'!$C$2:$C$23,L25))</f>
        <v/>
      </c>
      <c r="R25" s="14" t="str">
        <f aca="false">IF(COUNTA(I25:L25)=0,"",SUMIFS('3 Hazed Questions'!$I$2:$I$23,'3 Hazed Questions'!$A$2:$A$23,"Q1",'3 Hazed Questions'!$C$2:$C$23,I25)+SUMIFS('3 Hazed Questions'!$I$2:$I$23,'3 Hazed Questions'!$A$2:$A$23,"Q2",'3 Hazed Questions'!$C$2:$C$23,J25)+SUMIFS('3 Hazed Questions'!$I$2:$I$23,'3 Hazed Questions'!$A$2:$A$23,"Q3",'3 Hazed Questions'!$C$2:$C$23,K25)+SUMIFS('3 Hazed Questions'!$I$2:$I$23,'3 Hazed Questions'!$A$2:$A$23,"Q4",'3 Hazed Questions'!$C$2:$C$23,L25))</f>
        <v/>
      </c>
      <c r="S25" s="14" t="str">
        <f aca="false">IF(COUNTA(I25:L25)=0,"",SUMIFS('3 Hazed Questions'!$J$2:$J$23,'3 Hazed Questions'!$A$2:$A$23,"Q1",'3 Hazed Questions'!$C$2:$C$23,I25)+SUMIFS('3 Hazed Questions'!$J$2:$J$23,'3 Hazed Questions'!$A$2:$A$23,"Q2",'3 Hazed Questions'!$C$2:$C$23,J25)+SUMIFS('3 Hazed Questions'!$J$2:$J$23,'3 Hazed Questions'!$A$2:$A$23,"Q3",'3 Hazed Questions'!$C$2:$C$23,K25)+SUMIFS('3 Hazed Questions'!$J$2:$J$23,'3 Hazed Questions'!$A$2:$A$23,"Q4",'3 Hazed Questions'!$C$2:$C$23,L25))</f>
        <v/>
      </c>
      <c r="T25" s="14" t="str">
        <f aca="false">IF(COUNTA(I25:L25)=0,"",SUMIFS('3 Hazed Questions'!$K$2:$K$23,'3 Hazed Questions'!$A$2:$A$23,"Q1",'3 Hazed Questions'!$C$2:$C$23,I25)+SUMIFS('3 Hazed Questions'!$K$2:$K$23,'3 Hazed Questions'!$A$2:$A$23,"Q2",'3 Hazed Questions'!$C$2:$C$23,J25)+SUMIFS('3 Hazed Questions'!$K$2:$K$23,'3 Hazed Questions'!$A$2:$A$23,"Q3",'3 Hazed Questions'!$C$2:$C$23,K25)+SUMIFS('3 Hazed Questions'!$K$2:$K$23,'3 Hazed Questions'!$A$2:$A$23,"Q4",'3 Hazed Questions'!$C$2:$C$23,L25))</f>
        <v/>
      </c>
      <c r="U25" s="14" t="str">
        <f aca="false">IF(COUNTA(I25:L25)=0,"",SUMIFS('3 Hazed Questions'!$L$2:$L$23,'3 Hazed Questions'!$A$2:$A$23,"Q1",'3 Hazed Questions'!$C$2:$C$23,I25)+SUMIFS('3 Hazed Questions'!$L$2:$L$23,'3 Hazed Questions'!$A$2:$A$23,"Q2",'3 Hazed Questions'!$C$2:$C$23,J25)+SUMIFS('3 Hazed Questions'!$L$2:$L$23,'3 Hazed Questions'!$A$2:$A$23,"Q3",'3 Hazed Questions'!$C$2:$C$23,K25)+SUMIFS('3 Hazed Questions'!$L$2:$L$23,'3 Hazed Questions'!$A$2:$A$23,"Q4",'3 Hazed Questions'!$C$2:$C$23,L25))</f>
        <v/>
      </c>
      <c r="V25" s="14" t="str">
        <f aca="false">IF(COUNTA(I25:L25)=0,"",SUMIFS('3 Hazed Questions'!$M$2:$M$23,'3 Hazed Questions'!$A$2:$A$23,"Q1",'3 Hazed Questions'!$C$2:$C$23,I25)+SUMIFS('3 Hazed Questions'!$M$2:$M$23,'3 Hazed Questions'!$A$2:$A$23,"Q2",'3 Hazed Questions'!$C$2:$C$23,J25)+SUMIFS('3 Hazed Questions'!$M$2:$M$23,'3 Hazed Questions'!$A$2:$A$23,"Q3",'3 Hazed Questions'!$C$2:$C$23,K25)+SUMIFS('3 Hazed Questions'!$M$2:$M$23,'3 Hazed Questions'!$A$2:$A$23,"Q4",'3 Hazed Questions'!$C$2:$C$23,L25))</f>
        <v/>
      </c>
      <c r="W25" s="14" t="str">
        <f aca="false">IF(COUNTA(I25:L25)=0,"",SUMIFS('3 Hazed Questions'!$N$2:$N$23,'3 Hazed Questions'!$A$2:$A$23,"Q1",'3 Hazed Questions'!$C$2:$C$23,I25)+SUMIFS('3 Hazed Questions'!$N$2:$N$23,'3 Hazed Questions'!$A$2:$A$23,"Q2",'3 Hazed Questions'!$C$2:$C$23,J25)+SUMIFS('3 Hazed Questions'!$N$2:$N$23,'3 Hazed Questions'!$A$2:$A$23,"Q3",'3 Hazed Questions'!$C$2:$C$23,K25)+SUMIFS('3 Hazed Questions'!$N$2:$N$23,'3 Hazed Questions'!$A$2:$A$23,"Q4",'3 Hazed Questions'!$C$2:$C$23,L25))</f>
        <v/>
      </c>
      <c r="X25" s="14" t="str">
        <f aca="false">IF(COUNTA(I25:L25)=0,"",INDEX(Fields!$B$2:$B$50,MATCH(SUBSTITUTE(INDEX($N$1:$W$1,MATCH(MAX($N25:$W25),$N25:$W25,0)),"Score: ",""),Fields!$A$2:$A$50,0)))</f>
        <v/>
      </c>
      <c r="Y25" s="14" t="str">
        <f aca="true">IF(COUNTA(I25:L25)=0,"",IF(LARGE($N25:$W25,2)=0,"-",INDEX(Fields!$B$2:$B$50,MATCH(SUBSTITUTE(INDEX($N$1:$W$1,IF(LARGE($N25:$W25,2)=MAX($N25:$W25),MATCH(MAX($N25:$W25),OFFSET($N25:$W25,0,MATCH(MAX($N25:$W25),$N25:$W25,0),1,10-MATCH(MAX($N25:$W25),$N25:$W25,0)),0)+MATCH(MAX($N25:$W25),$N25:$W25,0),MATCH(LARGE($N25:$W25,2),$N25:$W25,0))),"Score: ",""),Fields!$A$2:$A$50,0))))</f>
        <v/>
      </c>
      <c r="Z25" s="14" t="str">
        <f aca="false">IF(M25="","",IFERROR(INDEX('3 Hazed Questions'!$O$2:$O$23,MATCH(1,INDEX(('3 Hazed Questions'!$A$2:$A$23="Q5")*('3 Hazed Questions'!$C$2:$C$23=M25),0),0))&amp;"",""))</f>
        <v/>
      </c>
      <c r="AA25" s="18"/>
      <c r="AB25" s="18"/>
      <c r="AC25" s="19"/>
      <c r="AD25" s="19"/>
      <c r="AE25" s="18"/>
      <c r="AF25" s="18"/>
      <c r="AG25" s="18"/>
    </row>
    <row r="26" customFormat="false" ht="15" hidden="false" customHeight="false" outlineLevel="0" collapsed="false">
      <c r="A26" s="18"/>
      <c r="B26" s="19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4" t="str">
        <f aca="false">IF(COUNTA(I26:L26)=0,"",SUMIFS('3 Hazed Questions'!$E$2:$E$23,'3 Hazed Questions'!$A$2:$A$23,"Q1",'3 Hazed Questions'!$C$2:$C$23,I26)+SUMIFS('3 Hazed Questions'!$E$2:$E$23,'3 Hazed Questions'!$A$2:$A$23,"Q2",'3 Hazed Questions'!$C$2:$C$23,J26)+SUMIFS('3 Hazed Questions'!$E$2:$E$23,'3 Hazed Questions'!$A$2:$A$23,"Q3",'3 Hazed Questions'!$C$2:$C$23,K26)+SUMIFS('3 Hazed Questions'!$E$2:$E$23,'3 Hazed Questions'!$A$2:$A$23,"Q4",'3 Hazed Questions'!$C$2:$C$23,L26))</f>
        <v/>
      </c>
      <c r="O26" s="14" t="str">
        <f aca="false">IF(COUNTA(I26:L26)=0,"",SUMIFS('3 Hazed Questions'!$F$2:$F$23,'3 Hazed Questions'!$A$2:$A$23,"Q1",'3 Hazed Questions'!$C$2:$C$23,I26)+SUMIFS('3 Hazed Questions'!$F$2:$F$23,'3 Hazed Questions'!$A$2:$A$23,"Q2",'3 Hazed Questions'!$C$2:$C$23,J26)+SUMIFS('3 Hazed Questions'!$F$2:$F$23,'3 Hazed Questions'!$A$2:$A$23,"Q3",'3 Hazed Questions'!$C$2:$C$23,K26)+SUMIFS('3 Hazed Questions'!$F$2:$F$23,'3 Hazed Questions'!$A$2:$A$23,"Q4",'3 Hazed Questions'!$C$2:$C$23,L26))</f>
        <v/>
      </c>
      <c r="P26" s="14" t="str">
        <f aca="false">IF(COUNTA(I26:L26)=0,"",SUMIFS('3 Hazed Questions'!$G$2:$G$23,'3 Hazed Questions'!$A$2:$A$23,"Q1",'3 Hazed Questions'!$C$2:$C$23,I26)+SUMIFS('3 Hazed Questions'!$G$2:$G$23,'3 Hazed Questions'!$A$2:$A$23,"Q2",'3 Hazed Questions'!$C$2:$C$23,J26)+SUMIFS('3 Hazed Questions'!$G$2:$G$23,'3 Hazed Questions'!$A$2:$A$23,"Q3",'3 Hazed Questions'!$C$2:$C$23,K26)+SUMIFS('3 Hazed Questions'!$G$2:$G$23,'3 Hazed Questions'!$A$2:$A$23,"Q4",'3 Hazed Questions'!$C$2:$C$23,L26))</f>
        <v/>
      </c>
      <c r="Q26" s="14" t="str">
        <f aca="false">IF(COUNTA(I26:L26)=0,"",SUMIFS('3 Hazed Questions'!$H$2:$H$23,'3 Hazed Questions'!$A$2:$A$23,"Q1",'3 Hazed Questions'!$C$2:$C$23,I26)+SUMIFS('3 Hazed Questions'!$H$2:$H$23,'3 Hazed Questions'!$A$2:$A$23,"Q2",'3 Hazed Questions'!$C$2:$C$23,J26)+SUMIFS('3 Hazed Questions'!$H$2:$H$23,'3 Hazed Questions'!$A$2:$A$23,"Q3",'3 Hazed Questions'!$C$2:$C$23,K26)+SUMIFS('3 Hazed Questions'!$H$2:$H$23,'3 Hazed Questions'!$A$2:$A$23,"Q4",'3 Hazed Questions'!$C$2:$C$23,L26))</f>
        <v/>
      </c>
      <c r="R26" s="14" t="str">
        <f aca="false">IF(COUNTA(I26:L26)=0,"",SUMIFS('3 Hazed Questions'!$I$2:$I$23,'3 Hazed Questions'!$A$2:$A$23,"Q1",'3 Hazed Questions'!$C$2:$C$23,I26)+SUMIFS('3 Hazed Questions'!$I$2:$I$23,'3 Hazed Questions'!$A$2:$A$23,"Q2",'3 Hazed Questions'!$C$2:$C$23,J26)+SUMIFS('3 Hazed Questions'!$I$2:$I$23,'3 Hazed Questions'!$A$2:$A$23,"Q3",'3 Hazed Questions'!$C$2:$C$23,K26)+SUMIFS('3 Hazed Questions'!$I$2:$I$23,'3 Hazed Questions'!$A$2:$A$23,"Q4",'3 Hazed Questions'!$C$2:$C$23,L26))</f>
        <v/>
      </c>
      <c r="S26" s="14" t="str">
        <f aca="false">IF(COUNTA(I26:L26)=0,"",SUMIFS('3 Hazed Questions'!$J$2:$J$23,'3 Hazed Questions'!$A$2:$A$23,"Q1",'3 Hazed Questions'!$C$2:$C$23,I26)+SUMIFS('3 Hazed Questions'!$J$2:$J$23,'3 Hazed Questions'!$A$2:$A$23,"Q2",'3 Hazed Questions'!$C$2:$C$23,J26)+SUMIFS('3 Hazed Questions'!$J$2:$J$23,'3 Hazed Questions'!$A$2:$A$23,"Q3",'3 Hazed Questions'!$C$2:$C$23,K26)+SUMIFS('3 Hazed Questions'!$J$2:$J$23,'3 Hazed Questions'!$A$2:$A$23,"Q4",'3 Hazed Questions'!$C$2:$C$23,L26))</f>
        <v/>
      </c>
      <c r="T26" s="14" t="str">
        <f aca="false">IF(COUNTA(I26:L26)=0,"",SUMIFS('3 Hazed Questions'!$K$2:$K$23,'3 Hazed Questions'!$A$2:$A$23,"Q1",'3 Hazed Questions'!$C$2:$C$23,I26)+SUMIFS('3 Hazed Questions'!$K$2:$K$23,'3 Hazed Questions'!$A$2:$A$23,"Q2",'3 Hazed Questions'!$C$2:$C$23,J26)+SUMIFS('3 Hazed Questions'!$K$2:$K$23,'3 Hazed Questions'!$A$2:$A$23,"Q3",'3 Hazed Questions'!$C$2:$C$23,K26)+SUMIFS('3 Hazed Questions'!$K$2:$K$23,'3 Hazed Questions'!$A$2:$A$23,"Q4",'3 Hazed Questions'!$C$2:$C$23,L26))</f>
        <v/>
      </c>
      <c r="U26" s="14" t="str">
        <f aca="false">IF(COUNTA(I26:L26)=0,"",SUMIFS('3 Hazed Questions'!$L$2:$L$23,'3 Hazed Questions'!$A$2:$A$23,"Q1",'3 Hazed Questions'!$C$2:$C$23,I26)+SUMIFS('3 Hazed Questions'!$L$2:$L$23,'3 Hazed Questions'!$A$2:$A$23,"Q2",'3 Hazed Questions'!$C$2:$C$23,J26)+SUMIFS('3 Hazed Questions'!$L$2:$L$23,'3 Hazed Questions'!$A$2:$A$23,"Q3",'3 Hazed Questions'!$C$2:$C$23,K26)+SUMIFS('3 Hazed Questions'!$L$2:$L$23,'3 Hazed Questions'!$A$2:$A$23,"Q4",'3 Hazed Questions'!$C$2:$C$23,L26))</f>
        <v/>
      </c>
      <c r="V26" s="14" t="str">
        <f aca="false">IF(COUNTA(I26:L26)=0,"",SUMIFS('3 Hazed Questions'!$M$2:$M$23,'3 Hazed Questions'!$A$2:$A$23,"Q1",'3 Hazed Questions'!$C$2:$C$23,I26)+SUMIFS('3 Hazed Questions'!$M$2:$M$23,'3 Hazed Questions'!$A$2:$A$23,"Q2",'3 Hazed Questions'!$C$2:$C$23,J26)+SUMIFS('3 Hazed Questions'!$M$2:$M$23,'3 Hazed Questions'!$A$2:$A$23,"Q3",'3 Hazed Questions'!$C$2:$C$23,K26)+SUMIFS('3 Hazed Questions'!$M$2:$M$23,'3 Hazed Questions'!$A$2:$A$23,"Q4",'3 Hazed Questions'!$C$2:$C$23,L26))</f>
        <v/>
      </c>
      <c r="W26" s="14" t="str">
        <f aca="false">IF(COUNTA(I26:L26)=0,"",SUMIFS('3 Hazed Questions'!$N$2:$N$23,'3 Hazed Questions'!$A$2:$A$23,"Q1",'3 Hazed Questions'!$C$2:$C$23,I26)+SUMIFS('3 Hazed Questions'!$N$2:$N$23,'3 Hazed Questions'!$A$2:$A$23,"Q2",'3 Hazed Questions'!$C$2:$C$23,J26)+SUMIFS('3 Hazed Questions'!$N$2:$N$23,'3 Hazed Questions'!$A$2:$A$23,"Q3",'3 Hazed Questions'!$C$2:$C$23,K26)+SUMIFS('3 Hazed Questions'!$N$2:$N$23,'3 Hazed Questions'!$A$2:$A$23,"Q4",'3 Hazed Questions'!$C$2:$C$23,L26))</f>
        <v/>
      </c>
      <c r="X26" s="14" t="str">
        <f aca="false">IF(COUNTA(I26:L26)=0,"",INDEX(Fields!$B$2:$B$50,MATCH(SUBSTITUTE(INDEX($N$1:$W$1,MATCH(MAX($N26:$W26),$N26:$W26,0)),"Score: ",""),Fields!$A$2:$A$50,0)))</f>
        <v/>
      </c>
      <c r="Y26" s="14" t="str">
        <f aca="true">IF(COUNTA(I26:L26)=0,"",IF(LARGE($N26:$W26,2)=0,"-",INDEX(Fields!$B$2:$B$50,MATCH(SUBSTITUTE(INDEX($N$1:$W$1,IF(LARGE($N26:$W26,2)=MAX($N26:$W26),MATCH(MAX($N26:$W26),OFFSET($N26:$W26,0,MATCH(MAX($N26:$W26),$N26:$W26,0),1,10-MATCH(MAX($N26:$W26),$N26:$W26,0)),0)+MATCH(MAX($N26:$W26),$N26:$W26,0),MATCH(LARGE($N26:$W26,2),$N26:$W26,0))),"Score: ",""),Fields!$A$2:$A$50,0))))</f>
        <v/>
      </c>
      <c r="Z26" s="14" t="str">
        <f aca="false">IF(M26="","",IFERROR(INDEX('3 Hazed Questions'!$O$2:$O$23,MATCH(1,INDEX(('3 Hazed Questions'!$A$2:$A$23="Q5")*('3 Hazed Questions'!$C$2:$C$23=M26),0),0))&amp;"",""))</f>
        <v/>
      </c>
      <c r="AA26" s="18"/>
      <c r="AB26" s="18"/>
      <c r="AC26" s="19"/>
      <c r="AD26" s="19"/>
      <c r="AE26" s="18"/>
      <c r="AF26" s="18"/>
      <c r="AG26" s="18"/>
    </row>
    <row r="27" customFormat="false" ht="15" hidden="false" customHeight="false" outlineLevel="0" collapsed="false">
      <c r="A27" s="18"/>
      <c r="B27" s="19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4" t="str">
        <f aca="false">IF(COUNTA(I27:L27)=0,"",SUMIFS('3 Hazed Questions'!$E$2:$E$23,'3 Hazed Questions'!$A$2:$A$23,"Q1",'3 Hazed Questions'!$C$2:$C$23,I27)+SUMIFS('3 Hazed Questions'!$E$2:$E$23,'3 Hazed Questions'!$A$2:$A$23,"Q2",'3 Hazed Questions'!$C$2:$C$23,J27)+SUMIFS('3 Hazed Questions'!$E$2:$E$23,'3 Hazed Questions'!$A$2:$A$23,"Q3",'3 Hazed Questions'!$C$2:$C$23,K27)+SUMIFS('3 Hazed Questions'!$E$2:$E$23,'3 Hazed Questions'!$A$2:$A$23,"Q4",'3 Hazed Questions'!$C$2:$C$23,L27))</f>
        <v/>
      </c>
      <c r="O27" s="14" t="str">
        <f aca="false">IF(COUNTA(I27:L27)=0,"",SUMIFS('3 Hazed Questions'!$F$2:$F$23,'3 Hazed Questions'!$A$2:$A$23,"Q1",'3 Hazed Questions'!$C$2:$C$23,I27)+SUMIFS('3 Hazed Questions'!$F$2:$F$23,'3 Hazed Questions'!$A$2:$A$23,"Q2",'3 Hazed Questions'!$C$2:$C$23,J27)+SUMIFS('3 Hazed Questions'!$F$2:$F$23,'3 Hazed Questions'!$A$2:$A$23,"Q3",'3 Hazed Questions'!$C$2:$C$23,K27)+SUMIFS('3 Hazed Questions'!$F$2:$F$23,'3 Hazed Questions'!$A$2:$A$23,"Q4",'3 Hazed Questions'!$C$2:$C$23,L27))</f>
        <v/>
      </c>
      <c r="P27" s="14" t="str">
        <f aca="false">IF(COUNTA(I27:L27)=0,"",SUMIFS('3 Hazed Questions'!$G$2:$G$23,'3 Hazed Questions'!$A$2:$A$23,"Q1",'3 Hazed Questions'!$C$2:$C$23,I27)+SUMIFS('3 Hazed Questions'!$G$2:$G$23,'3 Hazed Questions'!$A$2:$A$23,"Q2",'3 Hazed Questions'!$C$2:$C$23,J27)+SUMIFS('3 Hazed Questions'!$G$2:$G$23,'3 Hazed Questions'!$A$2:$A$23,"Q3",'3 Hazed Questions'!$C$2:$C$23,K27)+SUMIFS('3 Hazed Questions'!$G$2:$G$23,'3 Hazed Questions'!$A$2:$A$23,"Q4",'3 Hazed Questions'!$C$2:$C$23,L27))</f>
        <v/>
      </c>
      <c r="Q27" s="14" t="str">
        <f aca="false">IF(COUNTA(I27:L27)=0,"",SUMIFS('3 Hazed Questions'!$H$2:$H$23,'3 Hazed Questions'!$A$2:$A$23,"Q1",'3 Hazed Questions'!$C$2:$C$23,I27)+SUMIFS('3 Hazed Questions'!$H$2:$H$23,'3 Hazed Questions'!$A$2:$A$23,"Q2",'3 Hazed Questions'!$C$2:$C$23,J27)+SUMIFS('3 Hazed Questions'!$H$2:$H$23,'3 Hazed Questions'!$A$2:$A$23,"Q3",'3 Hazed Questions'!$C$2:$C$23,K27)+SUMIFS('3 Hazed Questions'!$H$2:$H$23,'3 Hazed Questions'!$A$2:$A$23,"Q4",'3 Hazed Questions'!$C$2:$C$23,L27))</f>
        <v/>
      </c>
      <c r="R27" s="14" t="str">
        <f aca="false">IF(COUNTA(I27:L27)=0,"",SUMIFS('3 Hazed Questions'!$I$2:$I$23,'3 Hazed Questions'!$A$2:$A$23,"Q1",'3 Hazed Questions'!$C$2:$C$23,I27)+SUMIFS('3 Hazed Questions'!$I$2:$I$23,'3 Hazed Questions'!$A$2:$A$23,"Q2",'3 Hazed Questions'!$C$2:$C$23,J27)+SUMIFS('3 Hazed Questions'!$I$2:$I$23,'3 Hazed Questions'!$A$2:$A$23,"Q3",'3 Hazed Questions'!$C$2:$C$23,K27)+SUMIFS('3 Hazed Questions'!$I$2:$I$23,'3 Hazed Questions'!$A$2:$A$23,"Q4",'3 Hazed Questions'!$C$2:$C$23,L27))</f>
        <v/>
      </c>
      <c r="S27" s="14" t="str">
        <f aca="false">IF(COUNTA(I27:L27)=0,"",SUMIFS('3 Hazed Questions'!$J$2:$J$23,'3 Hazed Questions'!$A$2:$A$23,"Q1",'3 Hazed Questions'!$C$2:$C$23,I27)+SUMIFS('3 Hazed Questions'!$J$2:$J$23,'3 Hazed Questions'!$A$2:$A$23,"Q2",'3 Hazed Questions'!$C$2:$C$23,J27)+SUMIFS('3 Hazed Questions'!$J$2:$J$23,'3 Hazed Questions'!$A$2:$A$23,"Q3",'3 Hazed Questions'!$C$2:$C$23,K27)+SUMIFS('3 Hazed Questions'!$J$2:$J$23,'3 Hazed Questions'!$A$2:$A$23,"Q4",'3 Hazed Questions'!$C$2:$C$23,L27))</f>
        <v/>
      </c>
      <c r="T27" s="14" t="str">
        <f aca="false">IF(COUNTA(I27:L27)=0,"",SUMIFS('3 Hazed Questions'!$K$2:$K$23,'3 Hazed Questions'!$A$2:$A$23,"Q1",'3 Hazed Questions'!$C$2:$C$23,I27)+SUMIFS('3 Hazed Questions'!$K$2:$K$23,'3 Hazed Questions'!$A$2:$A$23,"Q2",'3 Hazed Questions'!$C$2:$C$23,J27)+SUMIFS('3 Hazed Questions'!$K$2:$K$23,'3 Hazed Questions'!$A$2:$A$23,"Q3",'3 Hazed Questions'!$C$2:$C$23,K27)+SUMIFS('3 Hazed Questions'!$K$2:$K$23,'3 Hazed Questions'!$A$2:$A$23,"Q4",'3 Hazed Questions'!$C$2:$C$23,L27))</f>
        <v/>
      </c>
      <c r="U27" s="14" t="str">
        <f aca="false">IF(COUNTA(I27:L27)=0,"",SUMIFS('3 Hazed Questions'!$L$2:$L$23,'3 Hazed Questions'!$A$2:$A$23,"Q1",'3 Hazed Questions'!$C$2:$C$23,I27)+SUMIFS('3 Hazed Questions'!$L$2:$L$23,'3 Hazed Questions'!$A$2:$A$23,"Q2",'3 Hazed Questions'!$C$2:$C$23,J27)+SUMIFS('3 Hazed Questions'!$L$2:$L$23,'3 Hazed Questions'!$A$2:$A$23,"Q3",'3 Hazed Questions'!$C$2:$C$23,K27)+SUMIFS('3 Hazed Questions'!$L$2:$L$23,'3 Hazed Questions'!$A$2:$A$23,"Q4",'3 Hazed Questions'!$C$2:$C$23,L27))</f>
        <v/>
      </c>
      <c r="V27" s="14" t="str">
        <f aca="false">IF(COUNTA(I27:L27)=0,"",SUMIFS('3 Hazed Questions'!$M$2:$M$23,'3 Hazed Questions'!$A$2:$A$23,"Q1",'3 Hazed Questions'!$C$2:$C$23,I27)+SUMIFS('3 Hazed Questions'!$M$2:$M$23,'3 Hazed Questions'!$A$2:$A$23,"Q2",'3 Hazed Questions'!$C$2:$C$23,J27)+SUMIFS('3 Hazed Questions'!$M$2:$M$23,'3 Hazed Questions'!$A$2:$A$23,"Q3",'3 Hazed Questions'!$C$2:$C$23,K27)+SUMIFS('3 Hazed Questions'!$M$2:$M$23,'3 Hazed Questions'!$A$2:$A$23,"Q4",'3 Hazed Questions'!$C$2:$C$23,L27))</f>
        <v/>
      </c>
      <c r="W27" s="14" t="str">
        <f aca="false">IF(COUNTA(I27:L27)=0,"",SUMIFS('3 Hazed Questions'!$N$2:$N$23,'3 Hazed Questions'!$A$2:$A$23,"Q1",'3 Hazed Questions'!$C$2:$C$23,I27)+SUMIFS('3 Hazed Questions'!$N$2:$N$23,'3 Hazed Questions'!$A$2:$A$23,"Q2",'3 Hazed Questions'!$C$2:$C$23,J27)+SUMIFS('3 Hazed Questions'!$N$2:$N$23,'3 Hazed Questions'!$A$2:$A$23,"Q3",'3 Hazed Questions'!$C$2:$C$23,K27)+SUMIFS('3 Hazed Questions'!$N$2:$N$23,'3 Hazed Questions'!$A$2:$A$23,"Q4",'3 Hazed Questions'!$C$2:$C$23,L27))</f>
        <v/>
      </c>
      <c r="X27" s="14" t="str">
        <f aca="false">IF(COUNTA(I27:L27)=0,"",INDEX(Fields!$B$2:$B$50,MATCH(SUBSTITUTE(INDEX($N$1:$W$1,MATCH(MAX($N27:$W27),$N27:$W27,0)),"Score: ",""),Fields!$A$2:$A$50,0)))</f>
        <v/>
      </c>
      <c r="Y27" s="14" t="str">
        <f aca="true">IF(COUNTA(I27:L27)=0,"",IF(LARGE($N27:$W27,2)=0,"-",INDEX(Fields!$B$2:$B$50,MATCH(SUBSTITUTE(INDEX($N$1:$W$1,IF(LARGE($N27:$W27,2)=MAX($N27:$W27),MATCH(MAX($N27:$W27),OFFSET($N27:$W27,0,MATCH(MAX($N27:$W27),$N27:$W27,0),1,10-MATCH(MAX($N27:$W27),$N27:$W27,0)),0)+MATCH(MAX($N27:$W27),$N27:$W27,0),MATCH(LARGE($N27:$W27,2),$N27:$W27,0))),"Score: ",""),Fields!$A$2:$A$50,0))))</f>
        <v/>
      </c>
      <c r="Z27" s="14" t="str">
        <f aca="false">IF(M27="","",IFERROR(INDEX('3 Hazed Questions'!$O$2:$O$23,MATCH(1,INDEX(('3 Hazed Questions'!$A$2:$A$23="Q5")*('3 Hazed Questions'!$C$2:$C$23=M27),0),0))&amp;"",""))</f>
        <v/>
      </c>
      <c r="AA27" s="18"/>
      <c r="AB27" s="18"/>
      <c r="AC27" s="19"/>
      <c r="AD27" s="19"/>
      <c r="AE27" s="18"/>
      <c r="AF27" s="18"/>
      <c r="AG27" s="18"/>
    </row>
    <row r="28" customFormat="false" ht="15" hidden="false" customHeight="false" outlineLevel="0" collapsed="false">
      <c r="A28" s="18"/>
      <c r="B28" s="19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4" t="str">
        <f aca="false">IF(COUNTA(I28:L28)=0,"",SUMIFS('3 Hazed Questions'!$E$2:$E$23,'3 Hazed Questions'!$A$2:$A$23,"Q1",'3 Hazed Questions'!$C$2:$C$23,I28)+SUMIFS('3 Hazed Questions'!$E$2:$E$23,'3 Hazed Questions'!$A$2:$A$23,"Q2",'3 Hazed Questions'!$C$2:$C$23,J28)+SUMIFS('3 Hazed Questions'!$E$2:$E$23,'3 Hazed Questions'!$A$2:$A$23,"Q3",'3 Hazed Questions'!$C$2:$C$23,K28)+SUMIFS('3 Hazed Questions'!$E$2:$E$23,'3 Hazed Questions'!$A$2:$A$23,"Q4",'3 Hazed Questions'!$C$2:$C$23,L28))</f>
        <v/>
      </c>
      <c r="O28" s="14" t="str">
        <f aca="false">IF(COUNTA(I28:L28)=0,"",SUMIFS('3 Hazed Questions'!$F$2:$F$23,'3 Hazed Questions'!$A$2:$A$23,"Q1",'3 Hazed Questions'!$C$2:$C$23,I28)+SUMIFS('3 Hazed Questions'!$F$2:$F$23,'3 Hazed Questions'!$A$2:$A$23,"Q2",'3 Hazed Questions'!$C$2:$C$23,J28)+SUMIFS('3 Hazed Questions'!$F$2:$F$23,'3 Hazed Questions'!$A$2:$A$23,"Q3",'3 Hazed Questions'!$C$2:$C$23,K28)+SUMIFS('3 Hazed Questions'!$F$2:$F$23,'3 Hazed Questions'!$A$2:$A$23,"Q4",'3 Hazed Questions'!$C$2:$C$23,L28))</f>
        <v/>
      </c>
      <c r="P28" s="14" t="str">
        <f aca="false">IF(COUNTA(I28:L28)=0,"",SUMIFS('3 Hazed Questions'!$G$2:$G$23,'3 Hazed Questions'!$A$2:$A$23,"Q1",'3 Hazed Questions'!$C$2:$C$23,I28)+SUMIFS('3 Hazed Questions'!$G$2:$G$23,'3 Hazed Questions'!$A$2:$A$23,"Q2",'3 Hazed Questions'!$C$2:$C$23,J28)+SUMIFS('3 Hazed Questions'!$G$2:$G$23,'3 Hazed Questions'!$A$2:$A$23,"Q3",'3 Hazed Questions'!$C$2:$C$23,K28)+SUMIFS('3 Hazed Questions'!$G$2:$G$23,'3 Hazed Questions'!$A$2:$A$23,"Q4",'3 Hazed Questions'!$C$2:$C$23,L28))</f>
        <v/>
      </c>
      <c r="Q28" s="14" t="str">
        <f aca="false">IF(COUNTA(I28:L28)=0,"",SUMIFS('3 Hazed Questions'!$H$2:$H$23,'3 Hazed Questions'!$A$2:$A$23,"Q1",'3 Hazed Questions'!$C$2:$C$23,I28)+SUMIFS('3 Hazed Questions'!$H$2:$H$23,'3 Hazed Questions'!$A$2:$A$23,"Q2",'3 Hazed Questions'!$C$2:$C$23,J28)+SUMIFS('3 Hazed Questions'!$H$2:$H$23,'3 Hazed Questions'!$A$2:$A$23,"Q3",'3 Hazed Questions'!$C$2:$C$23,K28)+SUMIFS('3 Hazed Questions'!$H$2:$H$23,'3 Hazed Questions'!$A$2:$A$23,"Q4",'3 Hazed Questions'!$C$2:$C$23,L28))</f>
        <v/>
      </c>
      <c r="R28" s="14" t="str">
        <f aca="false">IF(COUNTA(I28:L28)=0,"",SUMIFS('3 Hazed Questions'!$I$2:$I$23,'3 Hazed Questions'!$A$2:$A$23,"Q1",'3 Hazed Questions'!$C$2:$C$23,I28)+SUMIFS('3 Hazed Questions'!$I$2:$I$23,'3 Hazed Questions'!$A$2:$A$23,"Q2",'3 Hazed Questions'!$C$2:$C$23,J28)+SUMIFS('3 Hazed Questions'!$I$2:$I$23,'3 Hazed Questions'!$A$2:$A$23,"Q3",'3 Hazed Questions'!$C$2:$C$23,K28)+SUMIFS('3 Hazed Questions'!$I$2:$I$23,'3 Hazed Questions'!$A$2:$A$23,"Q4",'3 Hazed Questions'!$C$2:$C$23,L28))</f>
        <v/>
      </c>
      <c r="S28" s="14" t="str">
        <f aca="false">IF(COUNTA(I28:L28)=0,"",SUMIFS('3 Hazed Questions'!$J$2:$J$23,'3 Hazed Questions'!$A$2:$A$23,"Q1",'3 Hazed Questions'!$C$2:$C$23,I28)+SUMIFS('3 Hazed Questions'!$J$2:$J$23,'3 Hazed Questions'!$A$2:$A$23,"Q2",'3 Hazed Questions'!$C$2:$C$23,J28)+SUMIFS('3 Hazed Questions'!$J$2:$J$23,'3 Hazed Questions'!$A$2:$A$23,"Q3",'3 Hazed Questions'!$C$2:$C$23,K28)+SUMIFS('3 Hazed Questions'!$J$2:$J$23,'3 Hazed Questions'!$A$2:$A$23,"Q4",'3 Hazed Questions'!$C$2:$C$23,L28))</f>
        <v/>
      </c>
      <c r="T28" s="14" t="str">
        <f aca="false">IF(COUNTA(I28:L28)=0,"",SUMIFS('3 Hazed Questions'!$K$2:$K$23,'3 Hazed Questions'!$A$2:$A$23,"Q1",'3 Hazed Questions'!$C$2:$C$23,I28)+SUMIFS('3 Hazed Questions'!$K$2:$K$23,'3 Hazed Questions'!$A$2:$A$23,"Q2",'3 Hazed Questions'!$C$2:$C$23,J28)+SUMIFS('3 Hazed Questions'!$K$2:$K$23,'3 Hazed Questions'!$A$2:$A$23,"Q3",'3 Hazed Questions'!$C$2:$C$23,K28)+SUMIFS('3 Hazed Questions'!$K$2:$K$23,'3 Hazed Questions'!$A$2:$A$23,"Q4",'3 Hazed Questions'!$C$2:$C$23,L28))</f>
        <v/>
      </c>
      <c r="U28" s="14" t="str">
        <f aca="false">IF(COUNTA(I28:L28)=0,"",SUMIFS('3 Hazed Questions'!$L$2:$L$23,'3 Hazed Questions'!$A$2:$A$23,"Q1",'3 Hazed Questions'!$C$2:$C$23,I28)+SUMIFS('3 Hazed Questions'!$L$2:$L$23,'3 Hazed Questions'!$A$2:$A$23,"Q2",'3 Hazed Questions'!$C$2:$C$23,J28)+SUMIFS('3 Hazed Questions'!$L$2:$L$23,'3 Hazed Questions'!$A$2:$A$23,"Q3",'3 Hazed Questions'!$C$2:$C$23,K28)+SUMIFS('3 Hazed Questions'!$L$2:$L$23,'3 Hazed Questions'!$A$2:$A$23,"Q4",'3 Hazed Questions'!$C$2:$C$23,L28))</f>
        <v/>
      </c>
      <c r="V28" s="14" t="str">
        <f aca="false">IF(COUNTA(I28:L28)=0,"",SUMIFS('3 Hazed Questions'!$M$2:$M$23,'3 Hazed Questions'!$A$2:$A$23,"Q1",'3 Hazed Questions'!$C$2:$C$23,I28)+SUMIFS('3 Hazed Questions'!$M$2:$M$23,'3 Hazed Questions'!$A$2:$A$23,"Q2",'3 Hazed Questions'!$C$2:$C$23,J28)+SUMIFS('3 Hazed Questions'!$M$2:$M$23,'3 Hazed Questions'!$A$2:$A$23,"Q3",'3 Hazed Questions'!$C$2:$C$23,K28)+SUMIFS('3 Hazed Questions'!$M$2:$M$23,'3 Hazed Questions'!$A$2:$A$23,"Q4",'3 Hazed Questions'!$C$2:$C$23,L28))</f>
        <v/>
      </c>
      <c r="W28" s="14" t="str">
        <f aca="false">IF(COUNTA(I28:L28)=0,"",SUMIFS('3 Hazed Questions'!$N$2:$N$23,'3 Hazed Questions'!$A$2:$A$23,"Q1",'3 Hazed Questions'!$C$2:$C$23,I28)+SUMIFS('3 Hazed Questions'!$N$2:$N$23,'3 Hazed Questions'!$A$2:$A$23,"Q2",'3 Hazed Questions'!$C$2:$C$23,J28)+SUMIFS('3 Hazed Questions'!$N$2:$N$23,'3 Hazed Questions'!$A$2:$A$23,"Q3",'3 Hazed Questions'!$C$2:$C$23,K28)+SUMIFS('3 Hazed Questions'!$N$2:$N$23,'3 Hazed Questions'!$A$2:$A$23,"Q4",'3 Hazed Questions'!$C$2:$C$23,L28))</f>
        <v/>
      </c>
      <c r="X28" s="14" t="str">
        <f aca="false">IF(COUNTA(I28:L28)=0,"",INDEX(Fields!$B$2:$B$50,MATCH(SUBSTITUTE(INDEX($N$1:$W$1,MATCH(MAX($N28:$W28),$N28:$W28,0)),"Score: ",""),Fields!$A$2:$A$50,0)))</f>
        <v/>
      </c>
      <c r="Y28" s="14" t="str">
        <f aca="true">IF(COUNTA(I28:L28)=0,"",IF(LARGE($N28:$W28,2)=0,"-",INDEX(Fields!$B$2:$B$50,MATCH(SUBSTITUTE(INDEX($N$1:$W$1,IF(LARGE($N28:$W28,2)=MAX($N28:$W28),MATCH(MAX($N28:$W28),OFFSET($N28:$W28,0,MATCH(MAX($N28:$W28),$N28:$W28,0),1,10-MATCH(MAX($N28:$W28),$N28:$W28,0)),0)+MATCH(MAX($N28:$W28),$N28:$W28,0),MATCH(LARGE($N28:$W28,2),$N28:$W28,0))),"Score: ",""),Fields!$A$2:$A$50,0))))</f>
        <v/>
      </c>
      <c r="Z28" s="14" t="str">
        <f aca="false">IF(M28="","",IFERROR(INDEX('3 Hazed Questions'!$O$2:$O$23,MATCH(1,INDEX(('3 Hazed Questions'!$A$2:$A$23="Q5")*('3 Hazed Questions'!$C$2:$C$23=M28),0),0))&amp;"",""))</f>
        <v/>
      </c>
      <c r="AA28" s="18"/>
      <c r="AB28" s="18"/>
      <c r="AC28" s="19"/>
      <c r="AD28" s="19"/>
      <c r="AE28" s="18"/>
      <c r="AF28" s="18"/>
      <c r="AG28" s="18"/>
    </row>
    <row r="29" customFormat="false" ht="15" hidden="false" customHeight="false" outlineLevel="0" collapsed="false">
      <c r="A29" s="18"/>
      <c r="B29" s="19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4" t="str">
        <f aca="false">IF(COUNTA(I29:L29)=0,"",SUMIFS('3 Hazed Questions'!$E$2:$E$23,'3 Hazed Questions'!$A$2:$A$23,"Q1",'3 Hazed Questions'!$C$2:$C$23,I29)+SUMIFS('3 Hazed Questions'!$E$2:$E$23,'3 Hazed Questions'!$A$2:$A$23,"Q2",'3 Hazed Questions'!$C$2:$C$23,J29)+SUMIFS('3 Hazed Questions'!$E$2:$E$23,'3 Hazed Questions'!$A$2:$A$23,"Q3",'3 Hazed Questions'!$C$2:$C$23,K29)+SUMIFS('3 Hazed Questions'!$E$2:$E$23,'3 Hazed Questions'!$A$2:$A$23,"Q4",'3 Hazed Questions'!$C$2:$C$23,L29))</f>
        <v/>
      </c>
      <c r="O29" s="14" t="str">
        <f aca="false">IF(COUNTA(I29:L29)=0,"",SUMIFS('3 Hazed Questions'!$F$2:$F$23,'3 Hazed Questions'!$A$2:$A$23,"Q1",'3 Hazed Questions'!$C$2:$C$23,I29)+SUMIFS('3 Hazed Questions'!$F$2:$F$23,'3 Hazed Questions'!$A$2:$A$23,"Q2",'3 Hazed Questions'!$C$2:$C$23,J29)+SUMIFS('3 Hazed Questions'!$F$2:$F$23,'3 Hazed Questions'!$A$2:$A$23,"Q3",'3 Hazed Questions'!$C$2:$C$23,K29)+SUMIFS('3 Hazed Questions'!$F$2:$F$23,'3 Hazed Questions'!$A$2:$A$23,"Q4",'3 Hazed Questions'!$C$2:$C$23,L29))</f>
        <v/>
      </c>
      <c r="P29" s="14" t="str">
        <f aca="false">IF(COUNTA(I29:L29)=0,"",SUMIFS('3 Hazed Questions'!$G$2:$G$23,'3 Hazed Questions'!$A$2:$A$23,"Q1",'3 Hazed Questions'!$C$2:$C$23,I29)+SUMIFS('3 Hazed Questions'!$G$2:$G$23,'3 Hazed Questions'!$A$2:$A$23,"Q2",'3 Hazed Questions'!$C$2:$C$23,J29)+SUMIFS('3 Hazed Questions'!$G$2:$G$23,'3 Hazed Questions'!$A$2:$A$23,"Q3",'3 Hazed Questions'!$C$2:$C$23,K29)+SUMIFS('3 Hazed Questions'!$G$2:$G$23,'3 Hazed Questions'!$A$2:$A$23,"Q4",'3 Hazed Questions'!$C$2:$C$23,L29))</f>
        <v/>
      </c>
      <c r="Q29" s="14" t="str">
        <f aca="false">IF(COUNTA(I29:L29)=0,"",SUMIFS('3 Hazed Questions'!$H$2:$H$23,'3 Hazed Questions'!$A$2:$A$23,"Q1",'3 Hazed Questions'!$C$2:$C$23,I29)+SUMIFS('3 Hazed Questions'!$H$2:$H$23,'3 Hazed Questions'!$A$2:$A$23,"Q2",'3 Hazed Questions'!$C$2:$C$23,J29)+SUMIFS('3 Hazed Questions'!$H$2:$H$23,'3 Hazed Questions'!$A$2:$A$23,"Q3",'3 Hazed Questions'!$C$2:$C$23,K29)+SUMIFS('3 Hazed Questions'!$H$2:$H$23,'3 Hazed Questions'!$A$2:$A$23,"Q4",'3 Hazed Questions'!$C$2:$C$23,L29))</f>
        <v/>
      </c>
      <c r="R29" s="14" t="str">
        <f aca="false">IF(COUNTA(I29:L29)=0,"",SUMIFS('3 Hazed Questions'!$I$2:$I$23,'3 Hazed Questions'!$A$2:$A$23,"Q1",'3 Hazed Questions'!$C$2:$C$23,I29)+SUMIFS('3 Hazed Questions'!$I$2:$I$23,'3 Hazed Questions'!$A$2:$A$23,"Q2",'3 Hazed Questions'!$C$2:$C$23,J29)+SUMIFS('3 Hazed Questions'!$I$2:$I$23,'3 Hazed Questions'!$A$2:$A$23,"Q3",'3 Hazed Questions'!$C$2:$C$23,K29)+SUMIFS('3 Hazed Questions'!$I$2:$I$23,'3 Hazed Questions'!$A$2:$A$23,"Q4",'3 Hazed Questions'!$C$2:$C$23,L29))</f>
        <v/>
      </c>
      <c r="S29" s="14" t="str">
        <f aca="false">IF(COUNTA(I29:L29)=0,"",SUMIFS('3 Hazed Questions'!$J$2:$J$23,'3 Hazed Questions'!$A$2:$A$23,"Q1",'3 Hazed Questions'!$C$2:$C$23,I29)+SUMIFS('3 Hazed Questions'!$J$2:$J$23,'3 Hazed Questions'!$A$2:$A$23,"Q2",'3 Hazed Questions'!$C$2:$C$23,J29)+SUMIFS('3 Hazed Questions'!$J$2:$J$23,'3 Hazed Questions'!$A$2:$A$23,"Q3",'3 Hazed Questions'!$C$2:$C$23,K29)+SUMIFS('3 Hazed Questions'!$J$2:$J$23,'3 Hazed Questions'!$A$2:$A$23,"Q4",'3 Hazed Questions'!$C$2:$C$23,L29))</f>
        <v/>
      </c>
      <c r="T29" s="14" t="str">
        <f aca="false">IF(COUNTA(I29:L29)=0,"",SUMIFS('3 Hazed Questions'!$K$2:$K$23,'3 Hazed Questions'!$A$2:$A$23,"Q1",'3 Hazed Questions'!$C$2:$C$23,I29)+SUMIFS('3 Hazed Questions'!$K$2:$K$23,'3 Hazed Questions'!$A$2:$A$23,"Q2",'3 Hazed Questions'!$C$2:$C$23,J29)+SUMIFS('3 Hazed Questions'!$K$2:$K$23,'3 Hazed Questions'!$A$2:$A$23,"Q3",'3 Hazed Questions'!$C$2:$C$23,K29)+SUMIFS('3 Hazed Questions'!$K$2:$K$23,'3 Hazed Questions'!$A$2:$A$23,"Q4",'3 Hazed Questions'!$C$2:$C$23,L29))</f>
        <v/>
      </c>
      <c r="U29" s="14" t="str">
        <f aca="false">IF(COUNTA(I29:L29)=0,"",SUMIFS('3 Hazed Questions'!$L$2:$L$23,'3 Hazed Questions'!$A$2:$A$23,"Q1",'3 Hazed Questions'!$C$2:$C$23,I29)+SUMIFS('3 Hazed Questions'!$L$2:$L$23,'3 Hazed Questions'!$A$2:$A$23,"Q2",'3 Hazed Questions'!$C$2:$C$23,J29)+SUMIFS('3 Hazed Questions'!$L$2:$L$23,'3 Hazed Questions'!$A$2:$A$23,"Q3",'3 Hazed Questions'!$C$2:$C$23,K29)+SUMIFS('3 Hazed Questions'!$L$2:$L$23,'3 Hazed Questions'!$A$2:$A$23,"Q4",'3 Hazed Questions'!$C$2:$C$23,L29))</f>
        <v/>
      </c>
      <c r="V29" s="14" t="str">
        <f aca="false">IF(COUNTA(I29:L29)=0,"",SUMIFS('3 Hazed Questions'!$M$2:$M$23,'3 Hazed Questions'!$A$2:$A$23,"Q1",'3 Hazed Questions'!$C$2:$C$23,I29)+SUMIFS('3 Hazed Questions'!$M$2:$M$23,'3 Hazed Questions'!$A$2:$A$23,"Q2",'3 Hazed Questions'!$C$2:$C$23,J29)+SUMIFS('3 Hazed Questions'!$M$2:$M$23,'3 Hazed Questions'!$A$2:$A$23,"Q3",'3 Hazed Questions'!$C$2:$C$23,K29)+SUMIFS('3 Hazed Questions'!$M$2:$M$23,'3 Hazed Questions'!$A$2:$A$23,"Q4",'3 Hazed Questions'!$C$2:$C$23,L29))</f>
        <v/>
      </c>
      <c r="W29" s="14" t="str">
        <f aca="false">IF(COUNTA(I29:L29)=0,"",SUMIFS('3 Hazed Questions'!$N$2:$N$23,'3 Hazed Questions'!$A$2:$A$23,"Q1",'3 Hazed Questions'!$C$2:$C$23,I29)+SUMIFS('3 Hazed Questions'!$N$2:$N$23,'3 Hazed Questions'!$A$2:$A$23,"Q2",'3 Hazed Questions'!$C$2:$C$23,J29)+SUMIFS('3 Hazed Questions'!$N$2:$N$23,'3 Hazed Questions'!$A$2:$A$23,"Q3",'3 Hazed Questions'!$C$2:$C$23,K29)+SUMIFS('3 Hazed Questions'!$N$2:$N$23,'3 Hazed Questions'!$A$2:$A$23,"Q4",'3 Hazed Questions'!$C$2:$C$23,L29))</f>
        <v/>
      </c>
      <c r="X29" s="14" t="str">
        <f aca="false">IF(COUNTA(I29:L29)=0,"",INDEX(Fields!$B$2:$B$50,MATCH(SUBSTITUTE(INDEX($N$1:$W$1,MATCH(MAX($N29:$W29),$N29:$W29,0)),"Score: ",""),Fields!$A$2:$A$50,0)))</f>
        <v/>
      </c>
      <c r="Y29" s="14" t="str">
        <f aca="true">IF(COUNTA(I29:L29)=0,"",IF(LARGE($N29:$W29,2)=0,"-",INDEX(Fields!$B$2:$B$50,MATCH(SUBSTITUTE(INDEX($N$1:$W$1,IF(LARGE($N29:$W29,2)=MAX($N29:$W29),MATCH(MAX($N29:$W29),OFFSET($N29:$W29,0,MATCH(MAX($N29:$W29),$N29:$W29,0),1,10-MATCH(MAX($N29:$W29),$N29:$W29,0)),0)+MATCH(MAX($N29:$W29),$N29:$W29,0),MATCH(LARGE($N29:$W29,2),$N29:$W29,0))),"Score: ",""),Fields!$A$2:$A$50,0))))</f>
        <v/>
      </c>
      <c r="Z29" s="14" t="str">
        <f aca="false">IF(M29="","",IFERROR(INDEX('3 Hazed Questions'!$O$2:$O$23,MATCH(1,INDEX(('3 Hazed Questions'!$A$2:$A$23="Q5")*('3 Hazed Questions'!$C$2:$C$23=M29),0),0))&amp;"",""))</f>
        <v/>
      </c>
      <c r="AA29" s="18"/>
      <c r="AB29" s="18"/>
      <c r="AC29" s="19"/>
      <c r="AD29" s="19"/>
      <c r="AE29" s="18"/>
      <c r="AF29" s="18"/>
      <c r="AG29" s="18"/>
    </row>
    <row r="30" customFormat="false" ht="15" hidden="false" customHeight="false" outlineLevel="0" collapsed="false">
      <c r="A30" s="18"/>
      <c r="B30" s="19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4" t="str">
        <f aca="false">IF(COUNTA(I30:L30)=0,"",SUMIFS('3 Hazed Questions'!$E$2:$E$23,'3 Hazed Questions'!$A$2:$A$23,"Q1",'3 Hazed Questions'!$C$2:$C$23,I30)+SUMIFS('3 Hazed Questions'!$E$2:$E$23,'3 Hazed Questions'!$A$2:$A$23,"Q2",'3 Hazed Questions'!$C$2:$C$23,J30)+SUMIFS('3 Hazed Questions'!$E$2:$E$23,'3 Hazed Questions'!$A$2:$A$23,"Q3",'3 Hazed Questions'!$C$2:$C$23,K30)+SUMIFS('3 Hazed Questions'!$E$2:$E$23,'3 Hazed Questions'!$A$2:$A$23,"Q4",'3 Hazed Questions'!$C$2:$C$23,L30))</f>
        <v/>
      </c>
      <c r="O30" s="14" t="str">
        <f aca="false">IF(COUNTA(I30:L30)=0,"",SUMIFS('3 Hazed Questions'!$F$2:$F$23,'3 Hazed Questions'!$A$2:$A$23,"Q1",'3 Hazed Questions'!$C$2:$C$23,I30)+SUMIFS('3 Hazed Questions'!$F$2:$F$23,'3 Hazed Questions'!$A$2:$A$23,"Q2",'3 Hazed Questions'!$C$2:$C$23,J30)+SUMIFS('3 Hazed Questions'!$F$2:$F$23,'3 Hazed Questions'!$A$2:$A$23,"Q3",'3 Hazed Questions'!$C$2:$C$23,K30)+SUMIFS('3 Hazed Questions'!$F$2:$F$23,'3 Hazed Questions'!$A$2:$A$23,"Q4",'3 Hazed Questions'!$C$2:$C$23,L30))</f>
        <v/>
      </c>
      <c r="P30" s="14" t="str">
        <f aca="false">IF(COUNTA(I30:L30)=0,"",SUMIFS('3 Hazed Questions'!$G$2:$G$23,'3 Hazed Questions'!$A$2:$A$23,"Q1",'3 Hazed Questions'!$C$2:$C$23,I30)+SUMIFS('3 Hazed Questions'!$G$2:$G$23,'3 Hazed Questions'!$A$2:$A$23,"Q2",'3 Hazed Questions'!$C$2:$C$23,J30)+SUMIFS('3 Hazed Questions'!$G$2:$G$23,'3 Hazed Questions'!$A$2:$A$23,"Q3",'3 Hazed Questions'!$C$2:$C$23,K30)+SUMIFS('3 Hazed Questions'!$G$2:$G$23,'3 Hazed Questions'!$A$2:$A$23,"Q4",'3 Hazed Questions'!$C$2:$C$23,L30))</f>
        <v/>
      </c>
      <c r="Q30" s="14" t="str">
        <f aca="false">IF(COUNTA(I30:L30)=0,"",SUMIFS('3 Hazed Questions'!$H$2:$H$23,'3 Hazed Questions'!$A$2:$A$23,"Q1",'3 Hazed Questions'!$C$2:$C$23,I30)+SUMIFS('3 Hazed Questions'!$H$2:$H$23,'3 Hazed Questions'!$A$2:$A$23,"Q2",'3 Hazed Questions'!$C$2:$C$23,J30)+SUMIFS('3 Hazed Questions'!$H$2:$H$23,'3 Hazed Questions'!$A$2:$A$23,"Q3",'3 Hazed Questions'!$C$2:$C$23,K30)+SUMIFS('3 Hazed Questions'!$H$2:$H$23,'3 Hazed Questions'!$A$2:$A$23,"Q4",'3 Hazed Questions'!$C$2:$C$23,L30))</f>
        <v/>
      </c>
      <c r="R30" s="14" t="str">
        <f aca="false">IF(COUNTA(I30:L30)=0,"",SUMIFS('3 Hazed Questions'!$I$2:$I$23,'3 Hazed Questions'!$A$2:$A$23,"Q1",'3 Hazed Questions'!$C$2:$C$23,I30)+SUMIFS('3 Hazed Questions'!$I$2:$I$23,'3 Hazed Questions'!$A$2:$A$23,"Q2",'3 Hazed Questions'!$C$2:$C$23,J30)+SUMIFS('3 Hazed Questions'!$I$2:$I$23,'3 Hazed Questions'!$A$2:$A$23,"Q3",'3 Hazed Questions'!$C$2:$C$23,K30)+SUMIFS('3 Hazed Questions'!$I$2:$I$23,'3 Hazed Questions'!$A$2:$A$23,"Q4",'3 Hazed Questions'!$C$2:$C$23,L30))</f>
        <v/>
      </c>
      <c r="S30" s="14" t="str">
        <f aca="false">IF(COUNTA(I30:L30)=0,"",SUMIFS('3 Hazed Questions'!$J$2:$J$23,'3 Hazed Questions'!$A$2:$A$23,"Q1",'3 Hazed Questions'!$C$2:$C$23,I30)+SUMIFS('3 Hazed Questions'!$J$2:$J$23,'3 Hazed Questions'!$A$2:$A$23,"Q2",'3 Hazed Questions'!$C$2:$C$23,J30)+SUMIFS('3 Hazed Questions'!$J$2:$J$23,'3 Hazed Questions'!$A$2:$A$23,"Q3",'3 Hazed Questions'!$C$2:$C$23,K30)+SUMIFS('3 Hazed Questions'!$J$2:$J$23,'3 Hazed Questions'!$A$2:$A$23,"Q4",'3 Hazed Questions'!$C$2:$C$23,L30))</f>
        <v/>
      </c>
      <c r="T30" s="14" t="str">
        <f aca="false">IF(COUNTA(I30:L30)=0,"",SUMIFS('3 Hazed Questions'!$K$2:$K$23,'3 Hazed Questions'!$A$2:$A$23,"Q1",'3 Hazed Questions'!$C$2:$C$23,I30)+SUMIFS('3 Hazed Questions'!$K$2:$K$23,'3 Hazed Questions'!$A$2:$A$23,"Q2",'3 Hazed Questions'!$C$2:$C$23,J30)+SUMIFS('3 Hazed Questions'!$K$2:$K$23,'3 Hazed Questions'!$A$2:$A$23,"Q3",'3 Hazed Questions'!$C$2:$C$23,K30)+SUMIFS('3 Hazed Questions'!$K$2:$K$23,'3 Hazed Questions'!$A$2:$A$23,"Q4",'3 Hazed Questions'!$C$2:$C$23,L30))</f>
        <v/>
      </c>
      <c r="U30" s="14" t="str">
        <f aca="false">IF(COUNTA(I30:L30)=0,"",SUMIFS('3 Hazed Questions'!$L$2:$L$23,'3 Hazed Questions'!$A$2:$A$23,"Q1",'3 Hazed Questions'!$C$2:$C$23,I30)+SUMIFS('3 Hazed Questions'!$L$2:$L$23,'3 Hazed Questions'!$A$2:$A$23,"Q2",'3 Hazed Questions'!$C$2:$C$23,J30)+SUMIFS('3 Hazed Questions'!$L$2:$L$23,'3 Hazed Questions'!$A$2:$A$23,"Q3",'3 Hazed Questions'!$C$2:$C$23,K30)+SUMIFS('3 Hazed Questions'!$L$2:$L$23,'3 Hazed Questions'!$A$2:$A$23,"Q4",'3 Hazed Questions'!$C$2:$C$23,L30))</f>
        <v/>
      </c>
      <c r="V30" s="14" t="str">
        <f aca="false">IF(COUNTA(I30:L30)=0,"",SUMIFS('3 Hazed Questions'!$M$2:$M$23,'3 Hazed Questions'!$A$2:$A$23,"Q1",'3 Hazed Questions'!$C$2:$C$23,I30)+SUMIFS('3 Hazed Questions'!$M$2:$M$23,'3 Hazed Questions'!$A$2:$A$23,"Q2",'3 Hazed Questions'!$C$2:$C$23,J30)+SUMIFS('3 Hazed Questions'!$M$2:$M$23,'3 Hazed Questions'!$A$2:$A$23,"Q3",'3 Hazed Questions'!$C$2:$C$23,K30)+SUMIFS('3 Hazed Questions'!$M$2:$M$23,'3 Hazed Questions'!$A$2:$A$23,"Q4",'3 Hazed Questions'!$C$2:$C$23,L30))</f>
        <v/>
      </c>
      <c r="W30" s="14" t="str">
        <f aca="false">IF(COUNTA(I30:L30)=0,"",SUMIFS('3 Hazed Questions'!$N$2:$N$23,'3 Hazed Questions'!$A$2:$A$23,"Q1",'3 Hazed Questions'!$C$2:$C$23,I30)+SUMIFS('3 Hazed Questions'!$N$2:$N$23,'3 Hazed Questions'!$A$2:$A$23,"Q2",'3 Hazed Questions'!$C$2:$C$23,J30)+SUMIFS('3 Hazed Questions'!$N$2:$N$23,'3 Hazed Questions'!$A$2:$A$23,"Q3",'3 Hazed Questions'!$C$2:$C$23,K30)+SUMIFS('3 Hazed Questions'!$N$2:$N$23,'3 Hazed Questions'!$A$2:$A$23,"Q4",'3 Hazed Questions'!$C$2:$C$23,L30))</f>
        <v/>
      </c>
      <c r="X30" s="14" t="str">
        <f aca="false">IF(COUNTA(I30:L30)=0,"",INDEX(Fields!$B$2:$B$50,MATCH(SUBSTITUTE(INDEX($N$1:$W$1,MATCH(MAX($N30:$W30),$N30:$W30,0)),"Score: ",""),Fields!$A$2:$A$50,0)))</f>
        <v/>
      </c>
      <c r="Y30" s="14" t="str">
        <f aca="true">IF(COUNTA(I30:L30)=0,"",IF(LARGE($N30:$W30,2)=0,"-",INDEX(Fields!$B$2:$B$50,MATCH(SUBSTITUTE(INDEX($N$1:$W$1,IF(LARGE($N30:$W30,2)=MAX($N30:$W30),MATCH(MAX($N30:$W30),OFFSET($N30:$W30,0,MATCH(MAX($N30:$W30),$N30:$W30,0),1,10-MATCH(MAX($N30:$W30),$N30:$W30,0)),0)+MATCH(MAX($N30:$W30),$N30:$W30,0),MATCH(LARGE($N30:$W30,2),$N30:$W30,0))),"Score: ",""),Fields!$A$2:$A$50,0))))</f>
        <v/>
      </c>
      <c r="Z30" s="14" t="str">
        <f aca="false">IF(M30="","",IFERROR(INDEX('3 Hazed Questions'!$O$2:$O$23,MATCH(1,INDEX(('3 Hazed Questions'!$A$2:$A$23="Q5")*('3 Hazed Questions'!$C$2:$C$23=M30),0),0))&amp;"",""))</f>
        <v/>
      </c>
      <c r="AA30" s="18"/>
      <c r="AB30" s="18"/>
      <c r="AC30" s="19"/>
      <c r="AD30" s="19"/>
      <c r="AE30" s="18"/>
      <c r="AF30" s="18"/>
      <c r="AG30" s="18"/>
    </row>
    <row r="31" customFormat="false" ht="15" hidden="false" customHeight="false" outlineLevel="0" collapsed="false">
      <c r="A31" s="18"/>
      <c r="B31" s="19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4" t="str">
        <f aca="false">IF(COUNTA(I31:L31)=0,"",SUMIFS('3 Hazed Questions'!$E$2:$E$23,'3 Hazed Questions'!$A$2:$A$23,"Q1",'3 Hazed Questions'!$C$2:$C$23,I31)+SUMIFS('3 Hazed Questions'!$E$2:$E$23,'3 Hazed Questions'!$A$2:$A$23,"Q2",'3 Hazed Questions'!$C$2:$C$23,J31)+SUMIFS('3 Hazed Questions'!$E$2:$E$23,'3 Hazed Questions'!$A$2:$A$23,"Q3",'3 Hazed Questions'!$C$2:$C$23,K31)+SUMIFS('3 Hazed Questions'!$E$2:$E$23,'3 Hazed Questions'!$A$2:$A$23,"Q4",'3 Hazed Questions'!$C$2:$C$23,L31))</f>
        <v/>
      </c>
      <c r="O31" s="14" t="str">
        <f aca="false">IF(COUNTA(I31:L31)=0,"",SUMIFS('3 Hazed Questions'!$F$2:$F$23,'3 Hazed Questions'!$A$2:$A$23,"Q1",'3 Hazed Questions'!$C$2:$C$23,I31)+SUMIFS('3 Hazed Questions'!$F$2:$F$23,'3 Hazed Questions'!$A$2:$A$23,"Q2",'3 Hazed Questions'!$C$2:$C$23,J31)+SUMIFS('3 Hazed Questions'!$F$2:$F$23,'3 Hazed Questions'!$A$2:$A$23,"Q3",'3 Hazed Questions'!$C$2:$C$23,K31)+SUMIFS('3 Hazed Questions'!$F$2:$F$23,'3 Hazed Questions'!$A$2:$A$23,"Q4",'3 Hazed Questions'!$C$2:$C$23,L31))</f>
        <v/>
      </c>
      <c r="P31" s="14" t="str">
        <f aca="false">IF(COUNTA(I31:L31)=0,"",SUMIFS('3 Hazed Questions'!$G$2:$G$23,'3 Hazed Questions'!$A$2:$A$23,"Q1",'3 Hazed Questions'!$C$2:$C$23,I31)+SUMIFS('3 Hazed Questions'!$G$2:$G$23,'3 Hazed Questions'!$A$2:$A$23,"Q2",'3 Hazed Questions'!$C$2:$C$23,J31)+SUMIFS('3 Hazed Questions'!$G$2:$G$23,'3 Hazed Questions'!$A$2:$A$23,"Q3",'3 Hazed Questions'!$C$2:$C$23,K31)+SUMIFS('3 Hazed Questions'!$G$2:$G$23,'3 Hazed Questions'!$A$2:$A$23,"Q4",'3 Hazed Questions'!$C$2:$C$23,L31))</f>
        <v/>
      </c>
      <c r="Q31" s="14" t="str">
        <f aca="false">IF(COUNTA(I31:L31)=0,"",SUMIFS('3 Hazed Questions'!$H$2:$H$23,'3 Hazed Questions'!$A$2:$A$23,"Q1",'3 Hazed Questions'!$C$2:$C$23,I31)+SUMIFS('3 Hazed Questions'!$H$2:$H$23,'3 Hazed Questions'!$A$2:$A$23,"Q2",'3 Hazed Questions'!$C$2:$C$23,J31)+SUMIFS('3 Hazed Questions'!$H$2:$H$23,'3 Hazed Questions'!$A$2:$A$23,"Q3",'3 Hazed Questions'!$C$2:$C$23,K31)+SUMIFS('3 Hazed Questions'!$H$2:$H$23,'3 Hazed Questions'!$A$2:$A$23,"Q4",'3 Hazed Questions'!$C$2:$C$23,L31))</f>
        <v/>
      </c>
      <c r="R31" s="14" t="str">
        <f aca="false">IF(COUNTA(I31:L31)=0,"",SUMIFS('3 Hazed Questions'!$I$2:$I$23,'3 Hazed Questions'!$A$2:$A$23,"Q1",'3 Hazed Questions'!$C$2:$C$23,I31)+SUMIFS('3 Hazed Questions'!$I$2:$I$23,'3 Hazed Questions'!$A$2:$A$23,"Q2",'3 Hazed Questions'!$C$2:$C$23,J31)+SUMIFS('3 Hazed Questions'!$I$2:$I$23,'3 Hazed Questions'!$A$2:$A$23,"Q3",'3 Hazed Questions'!$C$2:$C$23,K31)+SUMIFS('3 Hazed Questions'!$I$2:$I$23,'3 Hazed Questions'!$A$2:$A$23,"Q4",'3 Hazed Questions'!$C$2:$C$23,L31))</f>
        <v/>
      </c>
      <c r="S31" s="14" t="str">
        <f aca="false">IF(COUNTA(I31:L31)=0,"",SUMIFS('3 Hazed Questions'!$J$2:$J$23,'3 Hazed Questions'!$A$2:$A$23,"Q1",'3 Hazed Questions'!$C$2:$C$23,I31)+SUMIFS('3 Hazed Questions'!$J$2:$J$23,'3 Hazed Questions'!$A$2:$A$23,"Q2",'3 Hazed Questions'!$C$2:$C$23,J31)+SUMIFS('3 Hazed Questions'!$J$2:$J$23,'3 Hazed Questions'!$A$2:$A$23,"Q3",'3 Hazed Questions'!$C$2:$C$23,K31)+SUMIFS('3 Hazed Questions'!$J$2:$J$23,'3 Hazed Questions'!$A$2:$A$23,"Q4",'3 Hazed Questions'!$C$2:$C$23,L31))</f>
        <v/>
      </c>
      <c r="T31" s="14" t="str">
        <f aca="false">IF(COUNTA(I31:L31)=0,"",SUMIFS('3 Hazed Questions'!$K$2:$K$23,'3 Hazed Questions'!$A$2:$A$23,"Q1",'3 Hazed Questions'!$C$2:$C$23,I31)+SUMIFS('3 Hazed Questions'!$K$2:$K$23,'3 Hazed Questions'!$A$2:$A$23,"Q2",'3 Hazed Questions'!$C$2:$C$23,J31)+SUMIFS('3 Hazed Questions'!$K$2:$K$23,'3 Hazed Questions'!$A$2:$A$23,"Q3",'3 Hazed Questions'!$C$2:$C$23,K31)+SUMIFS('3 Hazed Questions'!$K$2:$K$23,'3 Hazed Questions'!$A$2:$A$23,"Q4",'3 Hazed Questions'!$C$2:$C$23,L31))</f>
        <v/>
      </c>
      <c r="U31" s="14" t="str">
        <f aca="false">IF(COUNTA(I31:L31)=0,"",SUMIFS('3 Hazed Questions'!$L$2:$L$23,'3 Hazed Questions'!$A$2:$A$23,"Q1",'3 Hazed Questions'!$C$2:$C$23,I31)+SUMIFS('3 Hazed Questions'!$L$2:$L$23,'3 Hazed Questions'!$A$2:$A$23,"Q2",'3 Hazed Questions'!$C$2:$C$23,J31)+SUMIFS('3 Hazed Questions'!$L$2:$L$23,'3 Hazed Questions'!$A$2:$A$23,"Q3",'3 Hazed Questions'!$C$2:$C$23,K31)+SUMIFS('3 Hazed Questions'!$L$2:$L$23,'3 Hazed Questions'!$A$2:$A$23,"Q4",'3 Hazed Questions'!$C$2:$C$23,L31))</f>
        <v/>
      </c>
      <c r="V31" s="14" t="str">
        <f aca="false">IF(COUNTA(I31:L31)=0,"",SUMIFS('3 Hazed Questions'!$M$2:$M$23,'3 Hazed Questions'!$A$2:$A$23,"Q1",'3 Hazed Questions'!$C$2:$C$23,I31)+SUMIFS('3 Hazed Questions'!$M$2:$M$23,'3 Hazed Questions'!$A$2:$A$23,"Q2",'3 Hazed Questions'!$C$2:$C$23,J31)+SUMIFS('3 Hazed Questions'!$M$2:$M$23,'3 Hazed Questions'!$A$2:$A$23,"Q3",'3 Hazed Questions'!$C$2:$C$23,K31)+SUMIFS('3 Hazed Questions'!$M$2:$M$23,'3 Hazed Questions'!$A$2:$A$23,"Q4",'3 Hazed Questions'!$C$2:$C$23,L31))</f>
        <v/>
      </c>
      <c r="W31" s="14" t="str">
        <f aca="false">IF(COUNTA(I31:L31)=0,"",SUMIFS('3 Hazed Questions'!$N$2:$N$23,'3 Hazed Questions'!$A$2:$A$23,"Q1",'3 Hazed Questions'!$C$2:$C$23,I31)+SUMIFS('3 Hazed Questions'!$N$2:$N$23,'3 Hazed Questions'!$A$2:$A$23,"Q2",'3 Hazed Questions'!$C$2:$C$23,J31)+SUMIFS('3 Hazed Questions'!$N$2:$N$23,'3 Hazed Questions'!$A$2:$A$23,"Q3",'3 Hazed Questions'!$C$2:$C$23,K31)+SUMIFS('3 Hazed Questions'!$N$2:$N$23,'3 Hazed Questions'!$A$2:$A$23,"Q4",'3 Hazed Questions'!$C$2:$C$23,L31))</f>
        <v/>
      </c>
      <c r="X31" s="14" t="str">
        <f aca="false">IF(COUNTA(I31:L31)=0,"",INDEX(Fields!$B$2:$B$50,MATCH(SUBSTITUTE(INDEX($N$1:$W$1,MATCH(MAX($N31:$W31),$N31:$W31,0)),"Score: ",""),Fields!$A$2:$A$50,0)))</f>
        <v/>
      </c>
      <c r="Y31" s="14" t="str">
        <f aca="true">IF(COUNTA(I31:L31)=0,"",IF(LARGE($N31:$W31,2)=0,"-",INDEX(Fields!$B$2:$B$50,MATCH(SUBSTITUTE(INDEX($N$1:$W$1,IF(LARGE($N31:$W31,2)=MAX($N31:$W31),MATCH(MAX($N31:$W31),OFFSET($N31:$W31,0,MATCH(MAX($N31:$W31),$N31:$W31,0),1,10-MATCH(MAX($N31:$W31),$N31:$W31,0)),0)+MATCH(MAX($N31:$W31),$N31:$W31,0),MATCH(LARGE($N31:$W31,2),$N31:$W31,0))),"Score: ",""),Fields!$A$2:$A$50,0))))</f>
        <v/>
      </c>
      <c r="Z31" s="14" t="str">
        <f aca="false">IF(M31="","",IFERROR(INDEX('3 Hazed Questions'!$O$2:$O$23,MATCH(1,INDEX(('3 Hazed Questions'!$A$2:$A$23="Q5")*('3 Hazed Questions'!$C$2:$C$23=M31),0),0))&amp;"",""))</f>
        <v/>
      </c>
      <c r="AA31" s="18"/>
      <c r="AB31" s="18"/>
      <c r="AC31" s="19"/>
      <c r="AD31" s="19"/>
      <c r="AE31" s="18"/>
      <c r="AF31" s="18"/>
      <c r="AG31" s="18"/>
    </row>
    <row r="32" customFormat="false" ht="15" hidden="false" customHeight="false" outlineLevel="0" collapsed="false">
      <c r="A32" s="18"/>
      <c r="B32" s="19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4" t="str">
        <f aca="false">IF(COUNTA(I32:L32)=0,"",SUMIFS('3 Hazed Questions'!$E$2:$E$23,'3 Hazed Questions'!$A$2:$A$23,"Q1",'3 Hazed Questions'!$C$2:$C$23,I32)+SUMIFS('3 Hazed Questions'!$E$2:$E$23,'3 Hazed Questions'!$A$2:$A$23,"Q2",'3 Hazed Questions'!$C$2:$C$23,J32)+SUMIFS('3 Hazed Questions'!$E$2:$E$23,'3 Hazed Questions'!$A$2:$A$23,"Q3",'3 Hazed Questions'!$C$2:$C$23,K32)+SUMIFS('3 Hazed Questions'!$E$2:$E$23,'3 Hazed Questions'!$A$2:$A$23,"Q4",'3 Hazed Questions'!$C$2:$C$23,L32))</f>
        <v/>
      </c>
      <c r="O32" s="14" t="str">
        <f aca="false">IF(COUNTA(I32:L32)=0,"",SUMIFS('3 Hazed Questions'!$F$2:$F$23,'3 Hazed Questions'!$A$2:$A$23,"Q1",'3 Hazed Questions'!$C$2:$C$23,I32)+SUMIFS('3 Hazed Questions'!$F$2:$F$23,'3 Hazed Questions'!$A$2:$A$23,"Q2",'3 Hazed Questions'!$C$2:$C$23,J32)+SUMIFS('3 Hazed Questions'!$F$2:$F$23,'3 Hazed Questions'!$A$2:$A$23,"Q3",'3 Hazed Questions'!$C$2:$C$23,K32)+SUMIFS('3 Hazed Questions'!$F$2:$F$23,'3 Hazed Questions'!$A$2:$A$23,"Q4",'3 Hazed Questions'!$C$2:$C$23,L32))</f>
        <v/>
      </c>
      <c r="P32" s="14" t="str">
        <f aca="false">IF(COUNTA(I32:L32)=0,"",SUMIFS('3 Hazed Questions'!$G$2:$G$23,'3 Hazed Questions'!$A$2:$A$23,"Q1",'3 Hazed Questions'!$C$2:$C$23,I32)+SUMIFS('3 Hazed Questions'!$G$2:$G$23,'3 Hazed Questions'!$A$2:$A$23,"Q2",'3 Hazed Questions'!$C$2:$C$23,J32)+SUMIFS('3 Hazed Questions'!$G$2:$G$23,'3 Hazed Questions'!$A$2:$A$23,"Q3",'3 Hazed Questions'!$C$2:$C$23,K32)+SUMIFS('3 Hazed Questions'!$G$2:$G$23,'3 Hazed Questions'!$A$2:$A$23,"Q4",'3 Hazed Questions'!$C$2:$C$23,L32))</f>
        <v/>
      </c>
      <c r="Q32" s="14" t="str">
        <f aca="false">IF(COUNTA(I32:L32)=0,"",SUMIFS('3 Hazed Questions'!$H$2:$H$23,'3 Hazed Questions'!$A$2:$A$23,"Q1",'3 Hazed Questions'!$C$2:$C$23,I32)+SUMIFS('3 Hazed Questions'!$H$2:$H$23,'3 Hazed Questions'!$A$2:$A$23,"Q2",'3 Hazed Questions'!$C$2:$C$23,J32)+SUMIFS('3 Hazed Questions'!$H$2:$H$23,'3 Hazed Questions'!$A$2:$A$23,"Q3",'3 Hazed Questions'!$C$2:$C$23,K32)+SUMIFS('3 Hazed Questions'!$H$2:$H$23,'3 Hazed Questions'!$A$2:$A$23,"Q4",'3 Hazed Questions'!$C$2:$C$23,L32))</f>
        <v/>
      </c>
      <c r="R32" s="14" t="str">
        <f aca="false">IF(COUNTA(I32:L32)=0,"",SUMIFS('3 Hazed Questions'!$I$2:$I$23,'3 Hazed Questions'!$A$2:$A$23,"Q1",'3 Hazed Questions'!$C$2:$C$23,I32)+SUMIFS('3 Hazed Questions'!$I$2:$I$23,'3 Hazed Questions'!$A$2:$A$23,"Q2",'3 Hazed Questions'!$C$2:$C$23,J32)+SUMIFS('3 Hazed Questions'!$I$2:$I$23,'3 Hazed Questions'!$A$2:$A$23,"Q3",'3 Hazed Questions'!$C$2:$C$23,K32)+SUMIFS('3 Hazed Questions'!$I$2:$I$23,'3 Hazed Questions'!$A$2:$A$23,"Q4",'3 Hazed Questions'!$C$2:$C$23,L32))</f>
        <v/>
      </c>
      <c r="S32" s="14" t="str">
        <f aca="false">IF(COUNTA(I32:L32)=0,"",SUMIFS('3 Hazed Questions'!$J$2:$J$23,'3 Hazed Questions'!$A$2:$A$23,"Q1",'3 Hazed Questions'!$C$2:$C$23,I32)+SUMIFS('3 Hazed Questions'!$J$2:$J$23,'3 Hazed Questions'!$A$2:$A$23,"Q2",'3 Hazed Questions'!$C$2:$C$23,J32)+SUMIFS('3 Hazed Questions'!$J$2:$J$23,'3 Hazed Questions'!$A$2:$A$23,"Q3",'3 Hazed Questions'!$C$2:$C$23,K32)+SUMIFS('3 Hazed Questions'!$J$2:$J$23,'3 Hazed Questions'!$A$2:$A$23,"Q4",'3 Hazed Questions'!$C$2:$C$23,L32))</f>
        <v/>
      </c>
      <c r="T32" s="14" t="str">
        <f aca="false">IF(COUNTA(I32:L32)=0,"",SUMIFS('3 Hazed Questions'!$K$2:$K$23,'3 Hazed Questions'!$A$2:$A$23,"Q1",'3 Hazed Questions'!$C$2:$C$23,I32)+SUMIFS('3 Hazed Questions'!$K$2:$K$23,'3 Hazed Questions'!$A$2:$A$23,"Q2",'3 Hazed Questions'!$C$2:$C$23,J32)+SUMIFS('3 Hazed Questions'!$K$2:$K$23,'3 Hazed Questions'!$A$2:$A$23,"Q3",'3 Hazed Questions'!$C$2:$C$23,K32)+SUMIFS('3 Hazed Questions'!$K$2:$K$23,'3 Hazed Questions'!$A$2:$A$23,"Q4",'3 Hazed Questions'!$C$2:$C$23,L32))</f>
        <v/>
      </c>
      <c r="U32" s="14" t="str">
        <f aca="false">IF(COUNTA(I32:L32)=0,"",SUMIFS('3 Hazed Questions'!$L$2:$L$23,'3 Hazed Questions'!$A$2:$A$23,"Q1",'3 Hazed Questions'!$C$2:$C$23,I32)+SUMIFS('3 Hazed Questions'!$L$2:$L$23,'3 Hazed Questions'!$A$2:$A$23,"Q2",'3 Hazed Questions'!$C$2:$C$23,J32)+SUMIFS('3 Hazed Questions'!$L$2:$L$23,'3 Hazed Questions'!$A$2:$A$23,"Q3",'3 Hazed Questions'!$C$2:$C$23,K32)+SUMIFS('3 Hazed Questions'!$L$2:$L$23,'3 Hazed Questions'!$A$2:$A$23,"Q4",'3 Hazed Questions'!$C$2:$C$23,L32))</f>
        <v/>
      </c>
      <c r="V32" s="14" t="str">
        <f aca="false">IF(COUNTA(I32:L32)=0,"",SUMIFS('3 Hazed Questions'!$M$2:$M$23,'3 Hazed Questions'!$A$2:$A$23,"Q1",'3 Hazed Questions'!$C$2:$C$23,I32)+SUMIFS('3 Hazed Questions'!$M$2:$M$23,'3 Hazed Questions'!$A$2:$A$23,"Q2",'3 Hazed Questions'!$C$2:$C$23,J32)+SUMIFS('3 Hazed Questions'!$M$2:$M$23,'3 Hazed Questions'!$A$2:$A$23,"Q3",'3 Hazed Questions'!$C$2:$C$23,K32)+SUMIFS('3 Hazed Questions'!$M$2:$M$23,'3 Hazed Questions'!$A$2:$A$23,"Q4",'3 Hazed Questions'!$C$2:$C$23,L32))</f>
        <v/>
      </c>
      <c r="W32" s="14" t="str">
        <f aca="false">IF(COUNTA(I32:L32)=0,"",SUMIFS('3 Hazed Questions'!$N$2:$N$23,'3 Hazed Questions'!$A$2:$A$23,"Q1",'3 Hazed Questions'!$C$2:$C$23,I32)+SUMIFS('3 Hazed Questions'!$N$2:$N$23,'3 Hazed Questions'!$A$2:$A$23,"Q2",'3 Hazed Questions'!$C$2:$C$23,J32)+SUMIFS('3 Hazed Questions'!$N$2:$N$23,'3 Hazed Questions'!$A$2:$A$23,"Q3",'3 Hazed Questions'!$C$2:$C$23,K32)+SUMIFS('3 Hazed Questions'!$N$2:$N$23,'3 Hazed Questions'!$A$2:$A$23,"Q4",'3 Hazed Questions'!$C$2:$C$23,L32))</f>
        <v/>
      </c>
      <c r="X32" s="14" t="str">
        <f aca="false">IF(COUNTA(I32:L32)=0,"",INDEX(Fields!$B$2:$B$50,MATCH(SUBSTITUTE(INDEX($N$1:$W$1,MATCH(MAX($N32:$W32),$N32:$W32,0)),"Score: ",""),Fields!$A$2:$A$50,0)))</f>
        <v/>
      </c>
      <c r="Y32" s="14" t="str">
        <f aca="true">IF(COUNTA(I32:L32)=0,"",IF(LARGE($N32:$W32,2)=0,"-",INDEX(Fields!$B$2:$B$50,MATCH(SUBSTITUTE(INDEX($N$1:$W$1,IF(LARGE($N32:$W32,2)=MAX($N32:$W32),MATCH(MAX($N32:$W32),OFFSET($N32:$W32,0,MATCH(MAX($N32:$W32),$N32:$W32,0),1,10-MATCH(MAX($N32:$W32),$N32:$W32,0)),0)+MATCH(MAX($N32:$W32),$N32:$W32,0),MATCH(LARGE($N32:$W32,2),$N32:$W32,0))),"Score: ",""),Fields!$A$2:$A$50,0))))</f>
        <v/>
      </c>
      <c r="Z32" s="14" t="str">
        <f aca="false">IF(M32="","",IFERROR(INDEX('3 Hazed Questions'!$O$2:$O$23,MATCH(1,INDEX(('3 Hazed Questions'!$A$2:$A$23="Q5")*('3 Hazed Questions'!$C$2:$C$23=M32),0),0))&amp;"",""))</f>
        <v/>
      </c>
      <c r="AA32" s="18"/>
      <c r="AB32" s="18"/>
      <c r="AC32" s="19"/>
      <c r="AD32" s="19"/>
      <c r="AE32" s="18"/>
      <c r="AF32" s="18"/>
      <c r="AG32" s="18"/>
    </row>
    <row r="33" customFormat="false" ht="15" hidden="false" customHeight="false" outlineLevel="0" collapsed="false">
      <c r="A33" s="18"/>
      <c r="B33" s="19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4" t="str">
        <f aca="false">IF(COUNTA(I33:L33)=0,"",SUMIFS('3 Hazed Questions'!$E$2:$E$23,'3 Hazed Questions'!$A$2:$A$23,"Q1",'3 Hazed Questions'!$C$2:$C$23,I33)+SUMIFS('3 Hazed Questions'!$E$2:$E$23,'3 Hazed Questions'!$A$2:$A$23,"Q2",'3 Hazed Questions'!$C$2:$C$23,J33)+SUMIFS('3 Hazed Questions'!$E$2:$E$23,'3 Hazed Questions'!$A$2:$A$23,"Q3",'3 Hazed Questions'!$C$2:$C$23,K33)+SUMIFS('3 Hazed Questions'!$E$2:$E$23,'3 Hazed Questions'!$A$2:$A$23,"Q4",'3 Hazed Questions'!$C$2:$C$23,L33))</f>
        <v/>
      </c>
      <c r="O33" s="14" t="str">
        <f aca="false">IF(COUNTA(I33:L33)=0,"",SUMIFS('3 Hazed Questions'!$F$2:$F$23,'3 Hazed Questions'!$A$2:$A$23,"Q1",'3 Hazed Questions'!$C$2:$C$23,I33)+SUMIFS('3 Hazed Questions'!$F$2:$F$23,'3 Hazed Questions'!$A$2:$A$23,"Q2",'3 Hazed Questions'!$C$2:$C$23,J33)+SUMIFS('3 Hazed Questions'!$F$2:$F$23,'3 Hazed Questions'!$A$2:$A$23,"Q3",'3 Hazed Questions'!$C$2:$C$23,K33)+SUMIFS('3 Hazed Questions'!$F$2:$F$23,'3 Hazed Questions'!$A$2:$A$23,"Q4",'3 Hazed Questions'!$C$2:$C$23,L33))</f>
        <v/>
      </c>
      <c r="P33" s="14" t="str">
        <f aca="false">IF(COUNTA(I33:L33)=0,"",SUMIFS('3 Hazed Questions'!$G$2:$G$23,'3 Hazed Questions'!$A$2:$A$23,"Q1",'3 Hazed Questions'!$C$2:$C$23,I33)+SUMIFS('3 Hazed Questions'!$G$2:$G$23,'3 Hazed Questions'!$A$2:$A$23,"Q2",'3 Hazed Questions'!$C$2:$C$23,J33)+SUMIFS('3 Hazed Questions'!$G$2:$G$23,'3 Hazed Questions'!$A$2:$A$23,"Q3",'3 Hazed Questions'!$C$2:$C$23,K33)+SUMIFS('3 Hazed Questions'!$G$2:$G$23,'3 Hazed Questions'!$A$2:$A$23,"Q4",'3 Hazed Questions'!$C$2:$C$23,L33))</f>
        <v/>
      </c>
      <c r="Q33" s="14" t="str">
        <f aca="false">IF(COUNTA(I33:L33)=0,"",SUMIFS('3 Hazed Questions'!$H$2:$H$23,'3 Hazed Questions'!$A$2:$A$23,"Q1",'3 Hazed Questions'!$C$2:$C$23,I33)+SUMIFS('3 Hazed Questions'!$H$2:$H$23,'3 Hazed Questions'!$A$2:$A$23,"Q2",'3 Hazed Questions'!$C$2:$C$23,J33)+SUMIFS('3 Hazed Questions'!$H$2:$H$23,'3 Hazed Questions'!$A$2:$A$23,"Q3",'3 Hazed Questions'!$C$2:$C$23,K33)+SUMIFS('3 Hazed Questions'!$H$2:$H$23,'3 Hazed Questions'!$A$2:$A$23,"Q4",'3 Hazed Questions'!$C$2:$C$23,L33))</f>
        <v/>
      </c>
      <c r="R33" s="14" t="str">
        <f aca="false">IF(COUNTA(I33:L33)=0,"",SUMIFS('3 Hazed Questions'!$I$2:$I$23,'3 Hazed Questions'!$A$2:$A$23,"Q1",'3 Hazed Questions'!$C$2:$C$23,I33)+SUMIFS('3 Hazed Questions'!$I$2:$I$23,'3 Hazed Questions'!$A$2:$A$23,"Q2",'3 Hazed Questions'!$C$2:$C$23,J33)+SUMIFS('3 Hazed Questions'!$I$2:$I$23,'3 Hazed Questions'!$A$2:$A$23,"Q3",'3 Hazed Questions'!$C$2:$C$23,K33)+SUMIFS('3 Hazed Questions'!$I$2:$I$23,'3 Hazed Questions'!$A$2:$A$23,"Q4",'3 Hazed Questions'!$C$2:$C$23,L33))</f>
        <v/>
      </c>
      <c r="S33" s="14" t="str">
        <f aca="false">IF(COUNTA(I33:L33)=0,"",SUMIFS('3 Hazed Questions'!$J$2:$J$23,'3 Hazed Questions'!$A$2:$A$23,"Q1",'3 Hazed Questions'!$C$2:$C$23,I33)+SUMIFS('3 Hazed Questions'!$J$2:$J$23,'3 Hazed Questions'!$A$2:$A$23,"Q2",'3 Hazed Questions'!$C$2:$C$23,J33)+SUMIFS('3 Hazed Questions'!$J$2:$J$23,'3 Hazed Questions'!$A$2:$A$23,"Q3",'3 Hazed Questions'!$C$2:$C$23,K33)+SUMIFS('3 Hazed Questions'!$J$2:$J$23,'3 Hazed Questions'!$A$2:$A$23,"Q4",'3 Hazed Questions'!$C$2:$C$23,L33))</f>
        <v/>
      </c>
      <c r="T33" s="14" t="str">
        <f aca="false">IF(COUNTA(I33:L33)=0,"",SUMIFS('3 Hazed Questions'!$K$2:$K$23,'3 Hazed Questions'!$A$2:$A$23,"Q1",'3 Hazed Questions'!$C$2:$C$23,I33)+SUMIFS('3 Hazed Questions'!$K$2:$K$23,'3 Hazed Questions'!$A$2:$A$23,"Q2",'3 Hazed Questions'!$C$2:$C$23,J33)+SUMIFS('3 Hazed Questions'!$K$2:$K$23,'3 Hazed Questions'!$A$2:$A$23,"Q3",'3 Hazed Questions'!$C$2:$C$23,K33)+SUMIFS('3 Hazed Questions'!$K$2:$K$23,'3 Hazed Questions'!$A$2:$A$23,"Q4",'3 Hazed Questions'!$C$2:$C$23,L33))</f>
        <v/>
      </c>
      <c r="U33" s="14" t="str">
        <f aca="false">IF(COUNTA(I33:L33)=0,"",SUMIFS('3 Hazed Questions'!$L$2:$L$23,'3 Hazed Questions'!$A$2:$A$23,"Q1",'3 Hazed Questions'!$C$2:$C$23,I33)+SUMIFS('3 Hazed Questions'!$L$2:$L$23,'3 Hazed Questions'!$A$2:$A$23,"Q2",'3 Hazed Questions'!$C$2:$C$23,J33)+SUMIFS('3 Hazed Questions'!$L$2:$L$23,'3 Hazed Questions'!$A$2:$A$23,"Q3",'3 Hazed Questions'!$C$2:$C$23,K33)+SUMIFS('3 Hazed Questions'!$L$2:$L$23,'3 Hazed Questions'!$A$2:$A$23,"Q4",'3 Hazed Questions'!$C$2:$C$23,L33))</f>
        <v/>
      </c>
      <c r="V33" s="14" t="str">
        <f aca="false">IF(COUNTA(I33:L33)=0,"",SUMIFS('3 Hazed Questions'!$M$2:$M$23,'3 Hazed Questions'!$A$2:$A$23,"Q1",'3 Hazed Questions'!$C$2:$C$23,I33)+SUMIFS('3 Hazed Questions'!$M$2:$M$23,'3 Hazed Questions'!$A$2:$A$23,"Q2",'3 Hazed Questions'!$C$2:$C$23,J33)+SUMIFS('3 Hazed Questions'!$M$2:$M$23,'3 Hazed Questions'!$A$2:$A$23,"Q3",'3 Hazed Questions'!$C$2:$C$23,K33)+SUMIFS('3 Hazed Questions'!$M$2:$M$23,'3 Hazed Questions'!$A$2:$A$23,"Q4",'3 Hazed Questions'!$C$2:$C$23,L33))</f>
        <v/>
      </c>
      <c r="W33" s="14" t="str">
        <f aca="false">IF(COUNTA(I33:L33)=0,"",SUMIFS('3 Hazed Questions'!$N$2:$N$23,'3 Hazed Questions'!$A$2:$A$23,"Q1",'3 Hazed Questions'!$C$2:$C$23,I33)+SUMIFS('3 Hazed Questions'!$N$2:$N$23,'3 Hazed Questions'!$A$2:$A$23,"Q2",'3 Hazed Questions'!$C$2:$C$23,J33)+SUMIFS('3 Hazed Questions'!$N$2:$N$23,'3 Hazed Questions'!$A$2:$A$23,"Q3",'3 Hazed Questions'!$C$2:$C$23,K33)+SUMIFS('3 Hazed Questions'!$N$2:$N$23,'3 Hazed Questions'!$A$2:$A$23,"Q4",'3 Hazed Questions'!$C$2:$C$23,L33))</f>
        <v/>
      </c>
      <c r="X33" s="14" t="str">
        <f aca="false">IF(COUNTA(I33:L33)=0,"",INDEX(Fields!$B$2:$B$50,MATCH(SUBSTITUTE(INDEX($N$1:$W$1,MATCH(MAX($N33:$W33),$N33:$W33,0)),"Score: ",""),Fields!$A$2:$A$50,0)))</f>
        <v/>
      </c>
      <c r="Y33" s="14" t="str">
        <f aca="true">IF(COUNTA(I33:L33)=0,"",IF(LARGE($N33:$W33,2)=0,"-",INDEX(Fields!$B$2:$B$50,MATCH(SUBSTITUTE(INDEX($N$1:$W$1,IF(LARGE($N33:$W33,2)=MAX($N33:$W33),MATCH(MAX($N33:$W33),OFFSET($N33:$W33,0,MATCH(MAX($N33:$W33),$N33:$W33,0),1,10-MATCH(MAX($N33:$W33),$N33:$W33,0)),0)+MATCH(MAX($N33:$W33),$N33:$W33,0),MATCH(LARGE($N33:$W33,2),$N33:$W33,0))),"Score: ",""),Fields!$A$2:$A$50,0))))</f>
        <v/>
      </c>
      <c r="Z33" s="14" t="str">
        <f aca="false">IF(M33="","",IFERROR(INDEX('3 Hazed Questions'!$O$2:$O$23,MATCH(1,INDEX(('3 Hazed Questions'!$A$2:$A$23="Q5")*('3 Hazed Questions'!$C$2:$C$23=M33),0),0))&amp;"",""))</f>
        <v/>
      </c>
      <c r="AA33" s="18"/>
      <c r="AB33" s="18"/>
      <c r="AC33" s="19"/>
      <c r="AD33" s="19"/>
      <c r="AE33" s="18"/>
      <c r="AF33" s="18"/>
      <c r="AG33" s="18"/>
    </row>
    <row r="34" customFormat="false" ht="15" hidden="false" customHeight="false" outlineLevel="0" collapsed="false">
      <c r="A34" s="18"/>
      <c r="B34" s="19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4" t="str">
        <f aca="false">IF(COUNTA(I34:L34)=0,"",SUMIFS('3 Hazed Questions'!$E$2:$E$23,'3 Hazed Questions'!$A$2:$A$23,"Q1",'3 Hazed Questions'!$C$2:$C$23,I34)+SUMIFS('3 Hazed Questions'!$E$2:$E$23,'3 Hazed Questions'!$A$2:$A$23,"Q2",'3 Hazed Questions'!$C$2:$C$23,J34)+SUMIFS('3 Hazed Questions'!$E$2:$E$23,'3 Hazed Questions'!$A$2:$A$23,"Q3",'3 Hazed Questions'!$C$2:$C$23,K34)+SUMIFS('3 Hazed Questions'!$E$2:$E$23,'3 Hazed Questions'!$A$2:$A$23,"Q4",'3 Hazed Questions'!$C$2:$C$23,L34))</f>
        <v/>
      </c>
      <c r="O34" s="14" t="str">
        <f aca="false">IF(COUNTA(I34:L34)=0,"",SUMIFS('3 Hazed Questions'!$F$2:$F$23,'3 Hazed Questions'!$A$2:$A$23,"Q1",'3 Hazed Questions'!$C$2:$C$23,I34)+SUMIFS('3 Hazed Questions'!$F$2:$F$23,'3 Hazed Questions'!$A$2:$A$23,"Q2",'3 Hazed Questions'!$C$2:$C$23,J34)+SUMIFS('3 Hazed Questions'!$F$2:$F$23,'3 Hazed Questions'!$A$2:$A$23,"Q3",'3 Hazed Questions'!$C$2:$C$23,K34)+SUMIFS('3 Hazed Questions'!$F$2:$F$23,'3 Hazed Questions'!$A$2:$A$23,"Q4",'3 Hazed Questions'!$C$2:$C$23,L34))</f>
        <v/>
      </c>
      <c r="P34" s="14" t="str">
        <f aca="false">IF(COUNTA(I34:L34)=0,"",SUMIFS('3 Hazed Questions'!$G$2:$G$23,'3 Hazed Questions'!$A$2:$A$23,"Q1",'3 Hazed Questions'!$C$2:$C$23,I34)+SUMIFS('3 Hazed Questions'!$G$2:$G$23,'3 Hazed Questions'!$A$2:$A$23,"Q2",'3 Hazed Questions'!$C$2:$C$23,J34)+SUMIFS('3 Hazed Questions'!$G$2:$G$23,'3 Hazed Questions'!$A$2:$A$23,"Q3",'3 Hazed Questions'!$C$2:$C$23,K34)+SUMIFS('3 Hazed Questions'!$G$2:$G$23,'3 Hazed Questions'!$A$2:$A$23,"Q4",'3 Hazed Questions'!$C$2:$C$23,L34))</f>
        <v/>
      </c>
      <c r="Q34" s="14" t="str">
        <f aca="false">IF(COUNTA(I34:L34)=0,"",SUMIFS('3 Hazed Questions'!$H$2:$H$23,'3 Hazed Questions'!$A$2:$A$23,"Q1",'3 Hazed Questions'!$C$2:$C$23,I34)+SUMIFS('3 Hazed Questions'!$H$2:$H$23,'3 Hazed Questions'!$A$2:$A$23,"Q2",'3 Hazed Questions'!$C$2:$C$23,J34)+SUMIFS('3 Hazed Questions'!$H$2:$H$23,'3 Hazed Questions'!$A$2:$A$23,"Q3",'3 Hazed Questions'!$C$2:$C$23,K34)+SUMIFS('3 Hazed Questions'!$H$2:$H$23,'3 Hazed Questions'!$A$2:$A$23,"Q4",'3 Hazed Questions'!$C$2:$C$23,L34))</f>
        <v/>
      </c>
      <c r="R34" s="14" t="str">
        <f aca="false">IF(COUNTA(I34:L34)=0,"",SUMIFS('3 Hazed Questions'!$I$2:$I$23,'3 Hazed Questions'!$A$2:$A$23,"Q1",'3 Hazed Questions'!$C$2:$C$23,I34)+SUMIFS('3 Hazed Questions'!$I$2:$I$23,'3 Hazed Questions'!$A$2:$A$23,"Q2",'3 Hazed Questions'!$C$2:$C$23,J34)+SUMIFS('3 Hazed Questions'!$I$2:$I$23,'3 Hazed Questions'!$A$2:$A$23,"Q3",'3 Hazed Questions'!$C$2:$C$23,K34)+SUMIFS('3 Hazed Questions'!$I$2:$I$23,'3 Hazed Questions'!$A$2:$A$23,"Q4",'3 Hazed Questions'!$C$2:$C$23,L34))</f>
        <v/>
      </c>
      <c r="S34" s="14" t="str">
        <f aca="false">IF(COUNTA(I34:L34)=0,"",SUMIFS('3 Hazed Questions'!$J$2:$J$23,'3 Hazed Questions'!$A$2:$A$23,"Q1",'3 Hazed Questions'!$C$2:$C$23,I34)+SUMIFS('3 Hazed Questions'!$J$2:$J$23,'3 Hazed Questions'!$A$2:$A$23,"Q2",'3 Hazed Questions'!$C$2:$C$23,J34)+SUMIFS('3 Hazed Questions'!$J$2:$J$23,'3 Hazed Questions'!$A$2:$A$23,"Q3",'3 Hazed Questions'!$C$2:$C$23,K34)+SUMIFS('3 Hazed Questions'!$J$2:$J$23,'3 Hazed Questions'!$A$2:$A$23,"Q4",'3 Hazed Questions'!$C$2:$C$23,L34))</f>
        <v/>
      </c>
      <c r="T34" s="14" t="str">
        <f aca="false">IF(COUNTA(I34:L34)=0,"",SUMIFS('3 Hazed Questions'!$K$2:$K$23,'3 Hazed Questions'!$A$2:$A$23,"Q1",'3 Hazed Questions'!$C$2:$C$23,I34)+SUMIFS('3 Hazed Questions'!$K$2:$K$23,'3 Hazed Questions'!$A$2:$A$23,"Q2",'3 Hazed Questions'!$C$2:$C$23,J34)+SUMIFS('3 Hazed Questions'!$K$2:$K$23,'3 Hazed Questions'!$A$2:$A$23,"Q3",'3 Hazed Questions'!$C$2:$C$23,K34)+SUMIFS('3 Hazed Questions'!$K$2:$K$23,'3 Hazed Questions'!$A$2:$A$23,"Q4",'3 Hazed Questions'!$C$2:$C$23,L34))</f>
        <v/>
      </c>
      <c r="U34" s="14" t="str">
        <f aca="false">IF(COUNTA(I34:L34)=0,"",SUMIFS('3 Hazed Questions'!$L$2:$L$23,'3 Hazed Questions'!$A$2:$A$23,"Q1",'3 Hazed Questions'!$C$2:$C$23,I34)+SUMIFS('3 Hazed Questions'!$L$2:$L$23,'3 Hazed Questions'!$A$2:$A$23,"Q2",'3 Hazed Questions'!$C$2:$C$23,J34)+SUMIFS('3 Hazed Questions'!$L$2:$L$23,'3 Hazed Questions'!$A$2:$A$23,"Q3",'3 Hazed Questions'!$C$2:$C$23,K34)+SUMIFS('3 Hazed Questions'!$L$2:$L$23,'3 Hazed Questions'!$A$2:$A$23,"Q4",'3 Hazed Questions'!$C$2:$C$23,L34))</f>
        <v/>
      </c>
      <c r="V34" s="14" t="str">
        <f aca="false">IF(COUNTA(I34:L34)=0,"",SUMIFS('3 Hazed Questions'!$M$2:$M$23,'3 Hazed Questions'!$A$2:$A$23,"Q1",'3 Hazed Questions'!$C$2:$C$23,I34)+SUMIFS('3 Hazed Questions'!$M$2:$M$23,'3 Hazed Questions'!$A$2:$A$23,"Q2",'3 Hazed Questions'!$C$2:$C$23,J34)+SUMIFS('3 Hazed Questions'!$M$2:$M$23,'3 Hazed Questions'!$A$2:$A$23,"Q3",'3 Hazed Questions'!$C$2:$C$23,K34)+SUMIFS('3 Hazed Questions'!$M$2:$M$23,'3 Hazed Questions'!$A$2:$A$23,"Q4",'3 Hazed Questions'!$C$2:$C$23,L34))</f>
        <v/>
      </c>
      <c r="W34" s="14" t="str">
        <f aca="false">IF(COUNTA(I34:L34)=0,"",SUMIFS('3 Hazed Questions'!$N$2:$N$23,'3 Hazed Questions'!$A$2:$A$23,"Q1",'3 Hazed Questions'!$C$2:$C$23,I34)+SUMIFS('3 Hazed Questions'!$N$2:$N$23,'3 Hazed Questions'!$A$2:$A$23,"Q2",'3 Hazed Questions'!$C$2:$C$23,J34)+SUMIFS('3 Hazed Questions'!$N$2:$N$23,'3 Hazed Questions'!$A$2:$A$23,"Q3",'3 Hazed Questions'!$C$2:$C$23,K34)+SUMIFS('3 Hazed Questions'!$N$2:$N$23,'3 Hazed Questions'!$A$2:$A$23,"Q4",'3 Hazed Questions'!$C$2:$C$23,L34))</f>
        <v/>
      </c>
      <c r="X34" s="14" t="str">
        <f aca="false">IF(COUNTA(I34:L34)=0,"",INDEX(Fields!$B$2:$B$50,MATCH(SUBSTITUTE(INDEX($N$1:$W$1,MATCH(MAX($N34:$W34),$N34:$W34,0)),"Score: ",""),Fields!$A$2:$A$50,0)))</f>
        <v/>
      </c>
      <c r="Y34" s="14" t="str">
        <f aca="true">IF(COUNTA(I34:L34)=0,"",IF(LARGE($N34:$W34,2)=0,"-",INDEX(Fields!$B$2:$B$50,MATCH(SUBSTITUTE(INDEX($N$1:$W$1,IF(LARGE($N34:$W34,2)=MAX($N34:$W34),MATCH(MAX($N34:$W34),OFFSET($N34:$W34,0,MATCH(MAX($N34:$W34),$N34:$W34,0),1,10-MATCH(MAX($N34:$W34),$N34:$W34,0)),0)+MATCH(MAX($N34:$W34),$N34:$W34,0),MATCH(LARGE($N34:$W34,2),$N34:$W34,0))),"Score: ",""),Fields!$A$2:$A$50,0))))</f>
        <v/>
      </c>
      <c r="Z34" s="14" t="str">
        <f aca="false">IF(M34="","",IFERROR(INDEX('3 Hazed Questions'!$O$2:$O$23,MATCH(1,INDEX(('3 Hazed Questions'!$A$2:$A$23="Q5")*('3 Hazed Questions'!$C$2:$C$23=M34),0),0))&amp;"",""))</f>
        <v/>
      </c>
      <c r="AA34" s="18"/>
      <c r="AB34" s="18"/>
      <c r="AC34" s="19"/>
      <c r="AD34" s="19"/>
      <c r="AE34" s="18"/>
      <c r="AF34" s="18"/>
      <c r="AG34" s="18"/>
    </row>
    <row r="35" customFormat="false" ht="15" hidden="false" customHeight="false" outlineLevel="0" collapsed="false">
      <c r="A35" s="18"/>
      <c r="B35" s="19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4" t="str">
        <f aca="false">IF(COUNTA(I35:L35)=0,"",SUMIFS('3 Hazed Questions'!$E$2:$E$23,'3 Hazed Questions'!$A$2:$A$23,"Q1",'3 Hazed Questions'!$C$2:$C$23,I35)+SUMIFS('3 Hazed Questions'!$E$2:$E$23,'3 Hazed Questions'!$A$2:$A$23,"Q2",'3 Hazed Questions'!$C$2:$C$23,J35)+SUMIFS('3 Hazed Questions'!$E$2:$E$23,'3 Hazed Questions'!$A$2:$A$23,"Q3",'3 Hazed Questions'!$C$2:$C$23,K35)+SUMIFS('3 Hazed Questions'!$E$2:$E$23,'3 Hazed Questions'!$A$2:$A$23,"Q4",'3 Hazed Questions'!$C$2:$C$23,L35))</f>
        <v/>
      </c>
      <c r="O35" s="14" t="str">
        <f aca="false">IF(COUNTA(I35:L35)=0,"",SUMIFS('3 Hazed Questions'!$F$2:$F$23,'3 Hazed Questions'!$A$2:$A$23,"Q1",'3 Hazed Questions'!$C$2:$C$23,I35)+SUMIFS('3 Hazed Questions'!$F$2:$F$23,'3 Hazed Questions'!$A$2:$A$23,"Q2",'3 Hazed Questions'!$C$2:$C$23,J35)+SUMIFS('3 Hazed Questions'!$F$2:$F$23,'3 Hazed Questions'!$A$2:$A$23,"Q3",'3 Hazed Questions'!$C$2:$C$23,K35)+SUMIFS('3 Hazed Questions'!$F$2:$F$23,'3 Hazed Questions'!$A$2:$A$23,"Q4",'3 Hazed Questions'!$C$2:$C$23,L35))</f>
        <v/>
      </c>
      <c r="P35" s="14" t="str">
        <f aca="false">IF(COUNTA(I35:L35)=0,"",SUMIFS('3 Hazed Questions'!$G$2:$G$23,'3 Hazed Questions'!$A$2:$A$23,"Q1",'3 Hazed Questions'!$C$2:$C$23,I35)+SUMIFS('3 Hazed Questions'!$G$2:$G$23,'3 Hazed Questions'!$A$2:$A$23,"Q2",'3 Hazed Questions'!$C$2:$C$23,J35)+SUMIFS('3 Hazed Questions'!$G$2:$G$23,'3 Hazed Questions'!$A$2:$A$23,"Q3",'3 Hazed Questions'!$C$2:$C$23,K35)+SUMIFS('3 Hazed Questions'!$G$2:$G$23,'3 Hazed Questions'!$A$2:$A$23,"Q4",'3 Hazed Questions'!$C$2:$C$23,L35))</f>
        <v/>
      </c>
      <c r="Q35" s="14" t="str">
        <f aca="false">IF(COUNTA(I35:L35)=0,"",SUMIFS('3 Hazed Questions'!$H$2:$H$23,'3 Hazed Questions'!$A$2:$A$23,"Q1",'3 Hazed Questions'!$C$2:$C$23,I35)+SUMIFS('3 Hazed Questions'!$H$2:$H$23,'3 Hazed Questions'!$A$2:$A$23,"Q2",'3 Hazed Questions'!$C$2:$C$23,J35)+SUMIFS('3 Hazed Questions'!$H$2:$H$23,'3 Hazed Questions'!$A$2:$A$23,"Q3",'3 Hazed Questions'!$C$2:$C$23,K35)+SUMIFS('3 Hazed Questions'!$H$2:$H$23,'3 Hazed Questions'!$A$2:$A$23,"Q4",'3 Hazed Questions'!$C$2:$C$23,L35))</f>
        <v/>
      </c>
      <c r="R35" s="14" t="str">
        <f aca="false">IF(COUNTA(I35:L35)=0,"",SUMIFS('3 Hazed Questions'!$I$2:$I$23,'3 Hazed Questions'!$A$2:$A$23,"Q1",'3 Hazed Questions'!$C$2:$C$23,I35)+SUMIFS('3 Hazed Questions'!$I$2:$I$23,'3 Hazed Questions'!$A$2:$A$23,"Q2",'3 Hazed Questions'!$C$2:$C$23,J35)+SUMIFS('3 Hazed Questions'!$I$2:$I$23,'3 Hazed Questions'!$A$2:$A$23,"Q3",'3 Hazed Questions'!$C$2:$C$23,K35)+SUMIFS('3 Hazed Questions'!$I$2:$I$23,'3 Hazed Questions'!$A$2:$A$23,"Q4",'3 Hazed Questions'!$C$2:$C$23,L35))</f>
        <v/>
      </c>
      <c r="S35" s="14" t="str">
        <f aca="false">IF(COUNTA(I35:L35)=0,"",SUMIFS('3 Hazed Questions'!$J$2:$J$23,'3 Hazed Questions'!$A$2:$A$23,"Q1",'3 Hazed Questions'!$C$2:$C$23,I35)+SUMIFS('3 Hazed Questions'!$J$2:$J$23,'3 Hazed Questions'!$A$2:$A$23,"Q2",'3 Hazed Questions'!$C$2:$C$23,J35)+SUMIFS('3 Hazed Questions'!$J$2:$J$23,'3 Hazed Questions'!$A$2:$A$23,"Q3",'3 Hazed Questions'!$C$2:$C$23,K35)+SUMIFS('3 Hazed Questions'!$J$2:$J$23,'3 Hazed Questions'!$A$2:$A$23,"Q4",'3 Hazed Questions'!$C$2:$C$23,L35))</f>
        <v/>
      </c>
      <c r="T35" s="14" t="str">
        <f aca="false">IF(COUNTA(I35:L35)=0,"",SUMIFS('3 Hazed Questions'!$K$2:$K$23,'3 Hazed Questions'!$A$2:$A$23,"Q1",'3 Hazed Questions'!$C$2:$C$23,I35)+SUMIFS('3 Hazed Questions'!$K$2:$K$23,'3 Hazed Questions'!$A$2:$A$23,"Q2",'3 Hazed Questions'!$C$2:$C$23,J35)+SUMIFS('3 Hazed Questions'!$K$2:$K$23,'3 Hazed Questions'!$A$2:$A$23,"Q3",'3 Hazed Questions'!$C$2:$C$23,K35)+SUMIFS('3 Hazed Questions'!$K$2:$K$23,'3 Hazed Questions'!$A$2:$A$23,"Q4",'3 Hazed Questions'!$C$2:$C$23,L35))</f>
        <v/>
      </c>
      <c r="U35" s="14" t="str">
        <f aca="false">IF(COUNTA(I35:L35)=0,"",SUMIFS('3 Hazed Questions'!$L$2:$L$23,'3 Hazed Questions'!$A$2:$A$23,"Q1",'3 Hazed Questions'!$C$2:$C$23,I35)+SUMIFS('3 Hazed Questions'!$L$2:$L$23,'3 Hazed Questions'!$A$2:$A$23,"Q2",'3 Hazed Questions'!$C$2:$C$23,J35)+SUMIFS('3 Hazed Questions'!$L$2:$L$23,'3 Hazed Questions'!$A$2:$A$23,"Q3",'3 Hazed Questions'!$C$2:$C$23,K35)+SUMIFS('3 Hazed Questions'!$L$2:$L$23,'3 Hazed Questions'!$A$2:$A$23,"Q4",'3 Hazed Questions'!$C$2:$C$23,L35))</f>
        <v/>
      </c>
      <c r="V35" s="14" t="str">
        <f aca="false">IF(COUNTA(I35:L35)=0,"",SUMIFS('3 Hazed Questions'!$M$2:$M$23,'3 Hazed Questions'!$A$2:$A$23,"Q1",'3 Hazed Questions'!$C$2:$C$23,I35)+SUMIFS('3 Hazed Questions'!$M$2:$M$23,'3 Hazed Questions'!$A$2:$A$23,"Q2",'3 Hazed Questions'!$C$2:$C$23,J35)+SUMIFS('3 Hazed Questions'!$M$2:$M$23,'3 Hazed Questions'!$A$2:$A$23,"Q3",'3 Hazed Questions'!$C$2:$C$23,K35)+SUMIFS('3 Hazed Questions'!$M$2:$M$23,'3 Hazed Questions'!$A$2:$A$23,"Q4",'3 Hazed Questions'!$C$2:$C$23,L35))</f>
        <v/>
      </c>
      <c r="W35" s="14" t="str">
        <f aca="false">IF(COUNTA(I35:L35)=0,"",SUMIFS('3 Hazed Questions'!$N$2:$N$23,'3 Hazed Questions'!$A$2:$A$23,"Q1",'3 Hazed Questions'!$C$2:$C$23,I35)+SUMIFS('3 Hazed Questions'!$N$2:$N$23,'3 Hazed Questions'!$A$2:$A$23,"Q2",'3 Hazed Questions'!$C$2:$C$23,J35)+SUMIFS('3 Hazed Questions'!$N$2:$N$23,'3 Hazed Questions'!$A$2:$A$23,"Q3",'3 Hazed Questions'!$C$2:$C$23,K35)+SUMIFS('3 Hazed Questions'!$N$2:$N$23,'3 Hazed Questions'!$A$2:$A$23,"Q4",'3 Hazed Questions'!$C$2:$C$23,L35))</f>
        <v/>
      </c>
      <c r="X35" s="14" t="str">
        <f aca="false">IF(COUNTA(I35:L35)=0,"",INDEX(Fields!$B$2:$B$50,MATCH(SUBSTITUTE(INDEX($N$1:$W$1,MATCH(MAX($N35:$W35),$N35:$W35,0)),"Score: ",""),Fields!$A$2:$A$50,0)))</f>
        <v/>
      </c>
      <c r="Y35" s="14" t="str">
        <f aca="true">IF(COUNTA(I35:L35)=0,"",IF(LARGE($N35:$W35,2)=0,"-",INDEX(Fields!$B$2:$B$50,MATCH(SUBSTITUTE(INDEX($N$1:$W$1,IF(LARGE($N35:$W35,2)=MAX($N35:$W35),MATCH(MAX($N35:$W35),OFFSET($N35:$W35,0,MATCH(MAX($N35:$W35),$N35:$W35,0),1,10-MATCH(MAX($N35:$W35),$N35:$W35,0)),0)+MATCH(MAX($N35:$W35),$N35:$W35,0),MATCH(LARGE($N35:$W35,2),$N35:$W35,0))),"Score: ",""),Fields!$A$2:$A$50,0))))</f>
        <v/>
      </c>
      <c r="Z35" s="14" t="str">
        <f aca="false">IF(M35="","",IFERROR(INDEX('3 Hazed Questions'!$O$2:$O$23,MATCH(1,INDEX(('3 Hazed Questions'!$A$2:$A$23="Q5")*('3 Hazed Questions'!$C$2:$C$23=M35),0),0))&amp;"",""))</f>
        <v/>
      </c>
      <c r="AA35" s="18"/>
      <c r="AB35" s="18"/>
      <c r="AC35" s="19"/>
      <c r="AD35" s="19"/>
      <c r="AE35" s="18"/>
      <c r="AF35" s="18"/>
      <c r="AG35" s="18"/>
    </row>
    <row r="36" customFormat="false" ht="15" hidden="false" customHeight="false" outlineLevel="0" collapsed="false">
      <c r="A36" s="18"/>
      <c r="B36" s="19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4" t="str">
        <f aca="false">IF(COUNTA(I36:L36)=0,"",SUMIFS('3 Hazed Questions'!$E$2:$E$23,'3 Hazed Questions'!$A$2:$A$23,"Q1",'3 Hazed Questions'!$C$2:$C$23,I36)+SUMIFS('3 Hazed Questions'!$E$2:$E$23,'3 Hazed Questions'!$A$2:$A$23,"Q2",'3 Hazed Questions'!$C$2:$C$23,J36)+SUMIFS('3 Hazed Questions'!$E$2:$E$23,'3 Hazed Questions'!$A$2:$A$23,"Q3",'3 Hazed Questions'!$C$2:$C$23,K36)+SUMIFS('3 Hazed Questions'!$E$2:$E$23,'3 Hazed Questions'!$A$2:$A$23,"Q4",'3 Hazed Questions'!$C$2:$C$23,L36))</f>
        <v/>
      </c>
      <c r="O36" s="14" t="str">
        <f aca="false">IF(COUNTA(I36:L36)=0,"",SUMIFS('3 Hazed Questions'!$F$2:$F$23,'3 Hazed Questions'!$A$2:$A$23,"Q1",'3 Hazed Questions'!$C$2:$C$23,I36)+SUMIFS('3 Hazed Questions'!$F$2:$F$23,'3 Hazed Questions'!$A$2:$A$23,"Q2",'3 Hazed Questions'!$C$2:$C$23,J36)+SUMIFS('3 Hazed Questions'!$F$2:$F$23,'3 Hazed Questions'!$A$2:$A$23,"Q3",'3 Hazed Questions'!$C$2:$C$23,K36)+SUMIFS('3 Hazed Questions'!$F$2:$F$23,'3 Hazed Questions'!$A$2:$A$23,"Q4",'3 Hazed Questions'!$C$2:$C$23,L36))</f>
        <v/>
      </c>
      <c r="P36" s="14" t="str">
        <f aca="false">IF(COUNTA(I36:L36)=0,"",SUMIFS('3 Hazed Questions'!$G$2:$G$23,'3 Hazed Questions'!$A$2:$A$23,"Q1",'3 Hazed Questions'!$C$2:$C$23,I36)+SUMIFS('3 Hazed Questions'!$G$2:$G$23,'3 Hazed Questions'!$A$2:$A$23,"Q2",'3 Hazed Questions'!$C$2:$C$23,J36)+SUMIFS('3 Hazed Questions'!$G$2:$G$23,'3 Hazed Questions'!$A$2:$A$23,"Q3",'3 Hazed Questions'!$C$2:$C$23,K36)+SUMIFS('3 Hazed Questions'!$G$2:$G$23,'3 Hazed Questions'!$A$2:$A$23,"Q4",'3 Hazed Questions'!$C$2:$C$23,L36))</f>
        <v/>
      </c>
      <c r="Q36" s="14" t="str">
        <f aca="false">IF(COUNTA(I36:L36)=0,"",SUMIFS('3 Hazed Questions'!$H$2:$H$23,'3 Hazed Questions'!$A$2:$A$23,"Q1",'3 Hazed Questions'!$C$2:$C$23,I36)+SUMIFS('3 Hazed Questions'!$H$2:$H$23,'3 Hazed Questions'!$A$2:$A$23,"Q2",'3 Hazed Questions'!$C$2:$C$23,J36)+SUMIFS('3 Hazed Questions'!$H$2:$H$23,'3 Hazed Questions'!$A$2:$A$23,"Q3",'3 Hazed Questions'!$C$2:$C$23,K36)+SUMIFS('3 Hazed Questions'!$H$2:$H$23,'3 Hazed Questions'!$A$2:$A$23,"Q4",'3 Hazed Questions'!$C$2:$C$23,L36))</f>
        <v/>
      </c>
      <c r="R36" s="14" t="str">
        <f aca="false">IF(COUNTA(I36:L36)=0,"",SUMIFS('3 Hazed Questions'!$I$2:$I$23,'3 Hazed Questions'!$A$2:$A$23,"Q1",'3 Hazed Questions'!$C$2:$C$23,I36)+SUMIFS('3 Hazed Questions'!$I$2:$I$23,'3 Hazed Questions'!$A$2:$A$23,"Q2",'3 Hazed Questions'!$C$2:$C$23,J36)+SUMIFS('3 Hazed Questions'!$I$2:$I$23,'3 Hazed Questions'!$A$2:$A$23,"Q3",'3 Hazed Questions'!$C$2:$C$23,K36)+SUMIFS('3 Hazed Questions'!$I$2:$I$23,'3 Hazed Questions'!$A$2:$A$23,"Q4",'3 Hazed Questions'!$C$2:$C$23,L36))</f>
        <v/>
      </c>
      <c r="S36" s="14" t="str">
        <f aca="false">IF(COUNTA(I36:L36)=0,"",SUMIFS('3 Hazed Questions'!$J$2:$J$23,'3 Hazed Questions'!$A$2:$A$23,"Q1",'3 Hazed Questions'!$C$2:$C$23,I36)+SUMIFS('3 Hazed Questions'!$J$2:$J$23,'3 Hazed Questions'!$A$2:$A$23,"Q2",'3 Hazed Questions'!$C$2:$C$23,J36)+SUMIFS('3 Hazed Questions'!$J$2:$J$23,'3 Hazed Questions'!$A$2:$A$23,"Q3",'3 Hazed Questions'!$C$2:$C$23,K36)+SUMIFS('3 Hazed Questions'!$J$2:$J$23,'3 Hazed Questions'!$A$2:$A$23,"Q4",'3 Hazed Questions'!$C$2:$C$23,L36))</f>
        <v/>
      </c>
      <c r="T36" s="14" t="str">
        <f aca="false">IF(COUNTA(I36:L36)=0,"",SUMIFS('3 Hazed Questions'!$K$2:$K$23,'3 Hazed Questions'!$A$2:$A$23,"Q1",'3 Hazed Questions'!$C$2:$C$23,I36)+SUMIFS('3 Hazed Questions'!$K$2:$K$23,'3 Hazed Questions'!$A$2:$A$23,"Q2",'3 Hazed Questions'!$C$2:$C$23,J36)+SUMIFS('3 Hazed Questions'!$K$2:$K$23,'3 Hazed Questions'!$A$2:$A$23,"Q3",'3 Hazed Questions'!$C$2:$C$23,K36)+SUMIFS('3 Hazed Questions'!$K$2:$K$23,'3 Hazed Questions'!$A$2:$A$23,"Q4",'3 Hazed Questions'!$C$2:$C$23,L36))</f>
        <v/>
      </c>
      <c r="U36" s="14" t="str">
        <f aca="false">IF(COUNTA(I36:L36)=0,"",SUMIFS('3 Hazed Questions'!$L$2:$L$23,'3 Hazed Questions'!$A$2:$A$23,"Q1",'3 Hazed Questions'!$C$2:$C$23,I36)+SUMIFS('3 Hazed Questions'!$L$2:$L$23,'3 Hazed Questions'!$A$2:$A$23,"Q2",'3 Hazed Questions'!$C$2:$C$23,J36)+SUMIFS('3 Hazed Questions'!$L$2:$L$23,'3 Hazed Questions'!$A$2:$A$23,"Q3",'3 Hazed Questions'!$C$2:$C$23,K36)+SUMIFS('3 Hazed Questions'!$L$2:$L$23,'3 Hazed Questions'!$A$2:$A$23,"Q4",'3 Hazed Questions'!$C$2:$C$23,L36))</f>
        <v/>
      </c>
      <c r="V36" s="14" t="str">
        <f aca="false">IF(COUNTA(I36:L36)=0,"",SUMIFS('3 Hazed Questions'!$M$2:$M$23,'3 Hazed Questions'!$A$2:$A$23,"Q1",'3 Hazed Questions'!$C$2:$C$23,I36)+SUMIFS('3 Hazed Questions'!$M$2:$M$23,'3 Hazed Questions'!$A$2:$A$23,"Q2",'3 Hazed Questions'!$C$2:$C$23,J36)+SUMIFS('3 Hazed Questions'!$M$2:$M$23,'3 Hazed Questions'!$A$2:$A$23,"Q3",'3 Hazed Questions'!$C$2:$C$23,K36)+SUMIFS('3 Hazed Questions'!$M$2:$M$23,'3 Hazed Questions'!$A$2:$A$23,"Q4",'3 Hazed Questions'!$C$2:$C$23,L36))</f>
        <v/>
      </c>
      <c r="W36" s="14" t="str">
        <f aca="false">IF(COUNTA(I36:L36)=0,"",SUMIFS('3 Hazed Questions'!$N$2:$N$23,'3 Hazed Questions'!$A$2:$A$23,"Q1",'3 Hazed Questions'!$C$2:$C$23,I36)+SUMIFS('3 Hazed Questions'!$N$2:$N$23,'3 Hazed Questions'!$A$2:$A$23,"Q2",'3 Hazed Questions'!$C$2:$C$23,J36)+SUMIFS('3 Hazed Questions'!$N$2:$N$23,'3 Hazed Questions'!$A$2:$A$23,"Q3",'3 Hazed Questions'!$C$2:$C$23,K36)+SUMIFS('3 Hazed Questions'!$N$2:$N$23,'3 Hazed Questions'!$A$2:$A$23,"Q4",'3 Hazed Questions'!$C$2:$C$23,L36))</f>
        <v/>
      </c>
      <c r="X36" s="14" t="str">
        <f aca="false">IF(COUNTA(I36:L36)=0,"",INDEX(Fields!$B$2:$B$50,MATCH(SUBSTITUTE(INDEX($N$1:$W$1,MATCH(MAX($N36:$W36),$N36:$W36,0)),"Score: ",""),Fields!$A$2:$A$50,0)))</f>
        <v/>
      </c>
      <c r="Y36" s="14" t="str">
        <f aca="true">IF(COUNTA(I36:L36)=0,"",IF(LARGE($N36:$W36,2)=0,"-",INDEX(Fields!$B$2:$B$50,MATCH(SUBSTITUTE(INDEX($N$1:$W$1,IF(LARGE($N36:$W36,2)=MAX($N36:$W36),MATCH(MAX($N36:$W36),OFFSET($N36:$W36,0,MATCH(MAX($N36:$W36),$N36:$W36,0),1,10-MATCH(MAX($N36:$W36),$N36:$W36,0)),0)+MATCH(MAX($N36:$W36),$N36:$W36,0),MATCH(LARGE($N36:$W36,2),$N36:$W36,0))),"Score: ",""),Fields!$A$2:$A$50,0))))</f>
        <v/>
      </c>
      <c r="Z36" s="14" t="str">
        <f aca="false">IF(M36="","",IFERROR(INDEX('3 Hazed Questions'!$O$2:$O$23,MATCH(1,INDEX(('3 Hazed Questions'!$A$2:$A$23="Q5")*('3 Hazed Questions'!$C$2:$C$23=M36),0),0))&amp;"",""))</f>
        <v/>
      </c>
      <c r="AA36" s="18"/>
      <c r="AB36" s="18"/>
      <c r="AC36" s="19"/>
      <c r="AD36" s="19"/>
      <c r="AE36" s="18"/>
      <c r="AF36" s="18"/>
      <c r="AG36" s="18"/>
    </row>
    <row r="37" customFormat="false" ht="15" hidden="false" customHeight="false" outlineLevel="0" collapsed="false">
      <c r="A37" s="18"/>
      <c r="B37" s="19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4" t="str">
        <f aca="false">IF(COUNTA(I37:L37)=0,"",SUMIFS('3 Hazed Questions'!$E$2:$E$23,'3 Hazed Questions'!$A$2:$A$23,"Q1",'3 Hazed Questions'!$C$2:$C$23,I37)+SUMIFS('3 Hazed Questions'!$E$2:$E$23,'3 Hazed Questions'!$A$2:$A$23,"Q2",'3 Hazed Questions'!$C$2:$C$23,J37)+SUMIFS('3 Hazed Questions'!$E$2:$E$23,'3 Hazed Questions'!$A$2:$A$23,"Q3",'3 Hazed Questions'!$C$2:$C$23,K37)+SUMIFS('3 Hazed Questions'!$E$2:$E$23,'3 Hazed Questions'!$A$2:$A$23,"Q4",'3 Hazed Questions'!$C$2:$C$23,L37))</f>
        <v/>
      </c>
      <c r="O37" s="14" t="str">
        <f aca="false">IF(COUNTA(I37:L37)=0,"",SUMIFS('3 Hazed Questions'!$F$2:$F$23,'3 Hazed Questions'!$A$2:$A$23,"Q1",'3 Hazed Questions'!$C$2:$C$23,I37)+SUMIFS('3 Hazed Questions'!$F$2:$F$23,'3 Hazed Questions'!$A$2:$A$23,"Q2",'3 Hazed Questions'!$C$2:$C$23,J37)+SUMIFS('3 Hazed Questions'!$F$2:$F$23,'3 Hazed Questions'!$A$2:$A$23,"Q3",'3 Hazed Questions'!$C$2:$C$23,K37)+SUMIFS('3 Hazed Questions'!$F$2:$F$23,'3 Hazed Questions'!$A$2:$A$23,"Q4",'3 Hazed Questions'!$C$2:$C$23,L37))</f>
        <v/>
      </c>
      <c r="P37" s="14" t="str">
        <f aca="false">IF(COUNTA(I37:L37)=0,"",SUMIFS('3 Hazed Questions'!$G$2:$G$23,'3 Hazed Questions'!$A$2:$A$23,"Q1",'3 Hazed Questions'!$C$2:$C$23,I37)+SUMIFS('3 Hazed Questions'!$G$2:$G$23,'3 Hazed Questions'!$A$2:$A$23,"Q2",'3 Hazed Questions'!$C$2:$C$23,J37)+SUMIFS('3 Hazed Questions'!$G$2:$G$23,'3 Hazed Questions'!$A$2:$A$23,"Q3",'3 Hazed Questions'!$C$2:$C$23,K37)+SUMIFS('3 Hazed Questions'!$G$2:$G$23,'3 Hazed Questions'!$A$2:$A$23,"Q4",'3 Hazed Questions'!$C$2:$C$23,L37))</f>
        <v/>
      </c>
      <c r="Q37" s="14" t="str">
        <f aca="false">IF(COUNTA(I37:L37)=0,"",SUMIFS('3 Hazed Questions'!$H$2:$H$23,'3 Hazed Questions'!$A$2:$A$23,"Q1",'3 Hazed Questions'!$C$2:$C$23,I37)+SUMIFS('3 Hazed Questions'!$H$2:$H$23,'3 Hazed Questions'!$A$2:$A$23,"Q2",'3 Hazed Questions'!$C$2:$C$23,J37)+SUMIFS('3 Hazed Questions'!$H$2:$H$23,'3 Hazed Questions'!$A$2:$A$23,"Q3",'3 Hazed Questions'!$C$2:$C$23,K37)+SUMIFS('3 Hazed Questions'!$H$2:$H$23,'3 Hazed Questions'!$A$2:$A$23,"Q4",'3 Hazed Questions'!$C$2:$C$23,L37))</f>
        <v/>
      </c>
      <c r="R37" s="14" t="str">
        <f aca="false">IF(COUNTA(I37:L37)=0,"",SUMIFS('3 Hazed Questions'!$I$2:$I$23,'3 Hazed Questions'!$A$2:$A$23,"Q1",'3 Hazed Questions'!$C$2:$C$23,I37)+SUMIFS('3 Hazed Questions'!$I$2:$I$23,'3 Hazed Questions'!$A$2:$A$23,"Q2",'3 Hazed Questions'!$C$2:$C$23,J37)+SUMIFS('3 Hazed Questions'!$I$2:$I$23,'3 Hazed Questions'!$A$2:$A$23,"Q3",'3 Hazed Questions'!$C$2:$C$23,K37)+SUMIFS('3 Hazed Questions'!$I$2:$I$23,'3 Hazed Questions'!$A$2:$A$23,"Q4",'3 Hazed Questions'!$C$2:$C$23,L37))</f>
        <v/>
      </c>
      <c r="S37" s="14" t="str">
        <f aca="false">IF(COUNTA(I37:L37)=0,"",SUMIFS('3 Hazed Questions'!$J$2:$J$23,'3 Hazed Questions'!$A$2:$A$23,"Q1",'3 Hazed Questions'!$C$2:$C$23,I37)+SUMIFS('3 Hazed Questions'!$J$2:$J$23,'3 Hazed Questions'!$A$2:$A$23,"Q2",'3 Hazed Questions'!$C$2:$C$23,J37)+SUMIFS('3 Hazed Questions'!$J$2:$J$23,'3 Hazed Questions'!$A$2:$A$23,"Q3",'3 Hazed Questions'!$C$2:$C$23,K37)+SUMIFS('3 Hazed Questions'!$J$2:$J$23,'3 Hazed Questions'!$A$2:$A$23,"Q4",'3 Hazed Questions'!$C$2:$C$23,L37))</f>
        <v/>
      </c>
      <c r="T37" s="14" t="str">
        <f aca="false">IF(COUNTA(I37:L37)=0,"",SUMIFS('3 Hazed Questions'!$K$2:$K$23,'3 Hazed Questions'!$A$2:$A$23,"Q1",'3 Hazed Questions'!$C$2:$C$23,I37)+SUMIFS('3 Hazed Questions'!$K$2:$K$23,'3 Hazed Questions'!$A$2:$A$23,"Q2",'3 Hazed Questions'!$C$2:$C$23,J37)+SUMIFS('3 Hazed Questions'!$K$2:$K$23,'3 Hazed Questions'!$A$2:$A$23,"Q3",'3 Hazed Questions'!$C$2:$C$23,K37)+SUMIFS('3 Hazed Questions'!$K$2:$K$23,'3 Hazed Questions'!$A$2:$A$23,"Q4",'3 Hazed Questions'!$C$2:$C$23,L37))</f>
        <v/>
      </c>
      <c r="U37" s="14" t="str">
        <f aca="false">IF(COUNTA(I37:L37)=0,"",SUMIFS('3 Hazed Questions'!$L$2:$L$23,'3 Hazed Questions'!$A$2:$A$23,"Q1",'3 Hazed Questions'!$C$2:$C$23,I37)+SUMIFS('3 Hazed Questions'!$L$2:$L$23,'3 Hazed Questions'!$A$2:$A$23,"Q2",'3 Hazed Questions'!$C$2:$C$23,J37)+SUMIFS('3 Hazed Questions'!$L$2:$L$23,'3 Hazed Questions'!$A$2:$A$23,"Q3",'3 Hazed Questions'!$C$2:$C$23,K37)+SUMIFS('3 Hazed Questions'!$L$2:$L$23,'3 Hazed Questions'!$A$2:$A$23,"Q4",'3 Hazed Questions'!$C$2:$C$23,L37))</f>
        <v/>
      </c>
      <c r="V37" s="14" t="str">
        <f aca="false">IF(COUNTA(I37:L37)=0,"",SUMIFS('3 Hazed Questions'!$M$2:$M$23,'3 Hazed Questions'!$A$2:$A$23,"Q1",'3 Hazed Questions'!$C$2:$C$23,I37)+SUMIFS('3 Hazed Questions'!$M$2:$M$23,'3 Hazed Questions'!$A$2:$A$23,"Q2",'3 Hazed Questions'!$C$2:$C$23,J37)+SUMIFS('3 Hazed Questions'!$M$2:$M$23,'3 Hazed Questions'!$A$2:$A$23,"Q3",'3 Hazed Questions'!$C$2:$C$23,K37)+SUMIFS('3 Hazed Questions'!$M$2:$M$23,'3 Hazed Questions'!$A$2:$A$23,"Q4",'3 Hazed Questions'!$C$2:$C$23,L37))</f>
        <v/>
      </c>
      <c r="W37" s="14" t="str">
        <f aca="false">IF(COUNTA(I37:L37)=0,"",SUMIFS('3 Hazed Questions'!$N$2:$N$23,'3 Hazed Questions'!$A$2:$A$23,"Q1",'3 Hazed Questions'!$C$2:$C$23,I37)+SUMIFS('3 Hazed Questions'!$N$2:$N$23,'3 Hazed Questions'!$A$2:$A$23,"Q2",'3 Hazed Questions'!$C$2:$C$23,J37)+SUMIFS('3 Hazed Questions'!$N$2:$N$23,'3 Hazed Questions'!$A$2:$A$23,"Q3",'3 Hazed Questions'!$C$2:$C$23,K37)+SUMIFS('3 Hazed Questions'!$N$2:$N$23,'3 Hazed Questions'!$A$2:$A$23,"Q4",'3 Hazed Questions'!$C$2:$C$23,L37))</f>
        <v/>
      </c>
      <c r="X37" s="14" t="str">
        <f aca="false">IF(COUNTA(I37:L37)=0,"",INDEX(Fields!$B$2:$B$50,MATCH(SUBSTITUTE(INDEX($N$1:$W$1,MATCH(MAX($N37:$W37),$N37:$W37,0)),"Score: ",""),Fields!$A$2:$A$50,0)))</f>
        <v/>
      </c>
      <c r="Y37" s="14" t="str">
        <f aca="true">IF(COUNTA(I37:L37)=0,"",IF(LARGE($N37:$W37,2)=0,"-",INDEX(Fields!$B$2:$B$50,MATCH(SUBSTITUTE(INDEX($N$1:$W$1,IF(LARGE($N37:$W37,2)=MAX($N37:$W37),MATCH(MAX($N37:$W37),OFFSET($N37:$W37,0,MATCH(MAX($N37:$W37),$N37:$W37,0),1,10-MATCH(MAX($N37:$W37),$N37:$W37,0)),0)+MATCH(MAX($N37:$W37),$N37:$W37,0),MATCH(LARGE($N37:$W37,2),$N37:$W37,0))),"Score: ",""),Fields!$A$2:$A$50,0))))</f>
        <v/>
      </c>
      <c r="Z37" s="14" t="str">
        <f aca="false">IF(M37="","",IFERROR(INDEX('3 Hazed Questions'!$O$2:$O$23,MATCH(1,INDEX(('3 Hazed Questions'!$A$2:$A$23="Q5")*('3 Hazed Questions'!$C$2:$C$23=M37),0),0))&amp;"",""))</f>
        <v/>
      </c>
      <c r="AA37" s="18"/>
      <c r="AB37" s="18"/>
      <c r="AC37" s="19"/>
      <c r="AD37" s="19"/>
      <c r="AE37" s="18"/>
      <c r="AF37" s="18"/>
      <c r="AG37" s="18"/>
    </row>
    <row r="38" customFormat="false" ht="15" hidden="false" customHeight="false" outlineLevel="0" collapsed="false">
      <c r="A38" s="18"/>
      <c r="B38" s="19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4" t="str">
        <f aca="false">IF(COUNTA(I38:L38)=0,"",SUMIFS('3 Hazed Questions'!$E$2:$E$23,'3 Hazed Questions'!$A$2:$A$23,"Q1",'3 Hazed Questions'!$C$2:$C$23,I38)+SUMIFS('3 Hazed Questions'!$E$2:$E$23,'3 Hazed Questions'!$A$2:$A$23,"Q2",'3 Hazed Questions'!$C$2:$C$23,J38)+SUMIFS('3 Hazed Questions'!$E$2:$E$23,'3 Hazed Questions'!$A$2:$A$23,"Q3",'3 Hazed Questions'!$C$2:$C$23,K38)+SUMIFS('3 Hazed Questions'!$E$2:$E$23,'3 Hazed Questions'!$A$2:$A$23,"Q4",'3 Hazed Questions'!$C$2:$C$23,L38))</f>
        <v/>
      </c>
      <c r="O38" s="14" t="str">
        <f aca="false">IF(COUNTA(I38:L38)=0,"",SUMIFS('3 Hazed Questions'!$F$2:$F$23,'3 Hazed Questions'!$A$2:$A$23,"Q1",'3 Hazed Questions'!$C$2:$C$23,I38)+SUMIFS('3 Hazed Questions'!$F$2:$F$23,'3 Hazed Questions'!$A$2:$A$23,"Q2",'3 Hazed Questions'!$C$2:$C$23,J38)+SUMIFS('3 Hazed Questions'!$F$2:$F$23,'3 Hazed Questions'!$A$2:$A$23,"Q3",'3 Hazed Questions'!$C$2:$C$23,K38)+SUMIFS('3 Hazed Questions'!$F$2:$F$23,'3 Hazed Questions'!$A$2:$A$23,"Q4",'3 Hazed Questions'!$C$2:$C$23,L38))</f>
        <v/>
      </c>
      <c r="P38" s="14" t="str">
        <f aca="false">IF(COUNTA(I38:L38)=0,"",SUMIFS('3 Hazed Questions'!$G$2:$G$23,'3 Hazed Questions'!$A$2:$A$23,"Q1",'3 Hazed Questions'!$C$2:$C$23,I38)+SUMIFS('3 Hazed Questions'!$G$2:$G$23,'3 Hazed Questions'!$A$2:$A$23,"Q2",'3 Hazed Questions'!$C$2:$C$23,J38)+SUMIFS('3 Hazed Questions'!$G$2:$G$23,'3 Hazed Questions'!$A$2:$A$23,"Q3",'3 Hazed Questions'!$C$2:$C$23,K38)+SUMIFS('3 Hazed Questions'!$G$2:$G$23,'3 Hazed Questions'!$A$2:$A$23,"Q4",'3 Hazed Questions'!$C$2:$C$23,L38))</f>
        <v/>
      </c>
      <c r="Q38" s="14" t="str">
        <f aca="false">IF(COUNTA(I38:L38)=0,"",SUMIFS('3 Hazed Questions'!$H$2:$H$23,'3 Hazed Questions'!$A$2:$A$23,"Q1",'3 Hazed Questions'!$C$2:$C$23,I38)+SUMIFS('3 Hazed Questions'!$H$2:$H$23,'3 Hazed Questions'!$A$2:$A$23,"Q2",'3 Hazed Questions'!$C$2:$C$23,J38)+SUMIFS('3 Hazed Questions'!$H$2:$H$23,'3 Hazed Questions'!$A$2:$A$23,"Q3",'3 Hazed Questions'!$C$2:$C$23,K38)+SUMIFS('3 Hazed Questions'!$H$2:$H$23,'3 Hazed Questions'!$A$2:$A$23,"Q4",'3 Hazed Questions'!$C$2:$C$23,L38))</f>
        <v/>
      </c>
      <c r="R38" s="14" t="str">
        <f aca="false">IF(COUNTA(I38:L38)=0,"",SUMIFS('3 Hazed Questions'!$I$2:$I$23,'3 Hazed Questions'!$A$2:$A$23,"Q1",'3 Hazed Questions'!$C$2:$C$23,I38)+SUMIFS('3 Hazed Questions'!$I$2:$I$23,'3 Hazed Questions'!$A$2:$A$23,"Q2",'3 Hazed Questions'!$C$2:$C$23,J38)+SUMIFS('3 Hazed Questions'!$I$2:$I$23,'3 Hazed Questions'!$A$2:$A$23,"Q3",'3 Hazed Questions'!$C$2:$C$23,K38)+SUMIFS('3 Hazed Questions'!$I$2:$I$23,'3 Hazed Questions'!$A$2:$A$23,"Q4",'3 Hazed Questions'!$C$2:$C$23,L38))</f>
        <v/>
      </c>
      <c r="S38" s="14" t="str">
        <f aca="false">IF(COUNTA(I38:L38)=0,"",SUMIFS('3 Hazed Questions'!$J$2:$J$23,'3 Hazed Questions'!$A$2:$A$23,"Q1",'3 Hazed Questions'!$C$2:$C$23,I38)+SUMIFS('3 Hazed Questions'!$J$2:$J$23,'3 Hazed Questions'!$A$2:$A$23,"Q2",'3 Hazed Questions'!$C$2:$C$23,J38)+SUMIFS('3 Hazed Questions'!$J$2:$J$23,'3 Hazed Questions'!$A$2:$A$23,"Q3",'3 Hazed Questions'!$C$2:$C$23,K38)+SUMIFS('3 Hazed Questions'!$J$2:$J$23,'3 Hazed Questions'!$A$2:$A$23,"Q4",'3 Hazed Questions'!$C$2:$C$23,L38))</f>
        <v/>
      </c>
      <c r="T38" s="14" t="str">
        <f aca="false">IF(COUNTA(I38:L38)=0,"",SUMIFS('3 Hazed Questions'!$K$2:$K$23,'3 Hazed Questions'!$A$2:$A$23,"Q1",'3 Hazed Questions'!$C$2:$C$23,I38)+SUMIFS('3 Hazed Questions'!$K$2:$K$23,'3 Hazed Questions'!$A$2:$A$23,"Q2",'3 Hazed Questions'!$C$2:$C$23,J38)+SUMIFS('3 Hazed Questions'!$K$2:$K$23,'3 Hazed Questions'!$A$2:$A$23,"Q3",'3 Hazed Questions'!$C$2:$C$23,K38)+SUMIFS('3 Hazed Questions'!$K$2:$K$23,'3 Hazed Questions'!$A$2:$A$23,"Q4",'3 Hazed Questions'!$C$2:$C$23,L38))</f>
        <v/>
      </c>
      <c r="U38" s="14" t="str">
        <f aca="false">IF(COUNTA(I38:L38)=0,"",SUMIFS('3 Hazed Questions'!$L$2:$L$23,'3 Hazed Questions'!$A$2:$A$23,"Q1",'3 Hazed Questions'!$C$2:$C$23,I38)+SUMIFS('3 Hazed Questions'!$L$2:$L$23,'3 Hazed Questions'!$A$2:$A$23,"Q2",'3 Hazed Questions'!$C$2:$C$23,J38)+SUMIFS('3 Hazed Questions'!$L$2:$L$23,'3 Hazed Questions'!$A$2:$A$23,"Q3",'3 Hazed Questions'!$C$2:$C$23,K38)+SUMIFS('3 Hazed Questions'!$L$2:$L$23,'3 Hazed Questions'!$A$2:$A$23,"Q4",'3 Hazed Questions'!$C$2:$C$23,L38))</f>
        <v/>
      </c>
      <c r="V38" s="14" t="str">
        <f aca="false">IF(COUNTA(I38:L38)=0,"",SUMIFS('3 Hazed Questions'!$M$2:$M$23,'3 Hazed Questions'!$A$2:$A$23,"Q1",'3 Hazed Questions'!$C$2:$C$23,I38)+SUMIFS('3 Hazed Questions'!$M$2:$M$23,'3 Hazed Questions'!$A$2:$A$23,"Q2",'3 Hazed Questions'!$C$2:$C$23,J38)+SUMIFS('3 Hazed Questions'!$M$2:$M$23,'3 Hazed Questions'!$A$2:$A$23,"Q3",'3 Hazed Questions'!$C$2:$C$23,K38)+SUMIFS('3 Hazed Questions'!$M$2:$M$23,'3 Hazed Questions'!$A$2:$A$23,"Q4",'3 Hazed Questions'!$C$2:$C$23,L38))</f>
        <v/>
      </c>
      <c r="W38" s="14" t="str">
        <f aca="false">IF(COUNTA(I38:L38)=0,"",SUMIFS('3 Hazed Questions'!$N$2:$N$23,'3 Hazed Questions'!$A$2:$A$23,"Q1",'3 Hazed Questions'!$C$2:$C$23,I38)+SUMIFS('3 Hazed Questions'!$N$2:$N$23,'3 Hazed Questions'!$A$2:$A$23,"Q2",'3 Hazed Questions'!$C$2:$C$23,J38)+SUMIFS('3 Hazed Questions'!$N$2:$N$23,'3 Hazed Questions'!$A$2:$A$23,"Q3",'3 Hazed Questions'!$C$2:$C$23,K38)+SUMIFS('3 Hazed Questions'!$N$2:$N$23,'3 Hazed Questions'!$A$2:$A$23,"Q4",'3 Hazed Questions'!$C$2:$C$23,L38))</f>
        <v/>
      </c>
      <c r="X38" s="14" t="str">
        <f aca="false">IF(COUNTA(I38:L38)=0,"",INDEX(Fields!$B$2:$B$50,MATCH(SUBSTITUTE(INDEX($N$1:$W$1,MATCH(MAX($N38:$W38),$N38:$W38,0)),"Score: ",""),Fields!$A$2:$A$50,0)))</f>
        <v/>
      </c>
      <c r="Y38" s="14" t="str">
        <f aca="true">IF(COUNTA(I38:L38)=0,"",IF(LARGE($N38:$W38,2)=0,"-",INDEX(Fields!$B$2:$B$50,MATCH(SUBSTITUTE(INDEX($N$1:$W$1,IF(LARGE($N38:$W38,2)=MAX($N38:$W38),MATCH(MAX($N38:$W38),OFFSET($N38:$W38,0,MATCH(MAX($N38:$W38),$N38:$W38,0),1,10-MATCH(MAX($N38:$W38),$N38:$W38,0)),0)+MATCH(MAX($N38:$W38),$N38:$W38,0),MATCH(LARGE($N38:$W38,2),$N38:$W38,0))),"Score: ",""),Fields!$A$2:$A$50,0))))</f>
        <v/>
      </c>
      <c r="Z38" s="14" t="str">
        <f aca="false">IF(M38="","",IFERROR(INDEX('3 Hazed Questions'!$O$2:$O$23,MATCH(1,INDEX(('3 Hazed Questions'!$A$2:$A$23="Q5")*('3 Hazed Questions'!$C$2:$C$23=M38),0),0))&amp;"",""))</f>
        <v/>
      </c>
      <c r="AA38" s="18"/>
      <c r="AB38" s="18"/>
      <c r="AC38" s="19"/>
      <c r="AD38" s="19"/>
      <c r="AE38" s="18"/>
      <c r="AF38" s="18"/>
      <c r="AG38" s="18"/>
    </row>
    <row r="39" customFormat="false" ht="15" hidden="false" customHeight="false" outlineLevel="0" collapsed="false">
      <c r="A39" s="18"/>
      <c r="B39" s="19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4" t="str">
        <f aca="false">IF(COUNTA(I39:L39)=0,"",SUMIFS('3 Hazed Questions'!$E$2:$E$23,'3 Hazed Questions'!$A$2:$A$23,"Q1",'3 Hazed Questions'!$C$2:$C$23,I39)+SUMIFS('3 Hazed Questions'!$E$2:$E$23,'3 Hazed Questions'!$A$2:$A$23,"Q2",'3 Hazed Questions'!$C$2:$C$23,J39)+SUMIFS('3 Hazed Questions'!$E$2:$E$23,'3 Hazed Questions'!$A$2:$A$23,"Q3",'3 Hazed Questions'!$C$2:$C$23,K39)+SUMIFS('3 Hazed Questions'!$E$2:$E$23,'3 Hazed Questions'!$A$2:$A$23,"Q4",'3 Hazed Questions'!$C$2:$C$23,L39))</f>
        <v/>
      </c>
      <c r="O39" s="14" t="str">
        <f aca="false">IF(COUNTA(I39:L39)=0,"",SUMIFS('3 Hazed Questions'!$F$2:$F$23,'3 Hazed Questions'!$A$2:$A$23,"Q1",'3 Hazed Questions'!$C$2:$C$23,I39)+SUMIFS('3 Hazed Questions'!$F$2:$F$23,'3 Hazed Questions'!$A$2:$A$23,"Q2",'3 Hazed Questions'!$C$2:$C$23,J39)+SUMIFS('3 Hazed Questions'!$F$2:$F$23,'3 Hazed Questions'!$A$2:$A$23,"Q3",'3 Hazed Questions'!$C$2:$C$23,K39)+SUMIFS('3 Hazed Questions'!$F$2:$F$23,'3 Hazed Questions'!$A$2:$A$23,"Q4",'3 Hazed Questions'!$C$2:$C$23,L39))</f>
        <v/>
      </c>
      <c r="P39" s="14" t="str">
        <f aca="false">IF(COUNTA(I39:L39)=0,"",SUMIFS('3 Hazed Questions'!$G$2:$G$23,'3 Hazed Questions'!$A$2:$A$23,"Q1",'3 Hazed Questions'!$C$2:$C$23,I39)+SUMIFS('3 Hazed Questions'!$G$2:$G$23,'3 Hazed Questions'!$A$2:$A$23,"Q2",'3 Hazed Questions'!$C$2:$C$23,J39)+SUMIFS('3 Hazed Questions'!$G$2:$G$23,'3 Hazed Questions'!$A$2:$A$23,"Q3",'3 Hazed Questions'!$C$2:$C$23,K39)+SUMIFS('3 Hazed Questions'!$G$2:$G$23,'3 Hazed Questions'!$A$2:$A$23,"Q4",'3 Hazed Questions'!$C$2:$C$23,L39))</f>
        <v/>
      </c>
      <c r="Q39" s="14" t="str">
        <f aca="false">IF(COUNTA(I39:L39)=0,"",SUMIFS('3 Hazed Questions'!$H$2:$H$23,'3 Hazed Questions'!$A$2:$A$23,"Q1",'3 Hazed Questions'!$C$2:$C$23,I39)+SUMIFS('3 Hazed Questions'!$H$2:$H$23,'3 Hazed Questions'!$A$2:$A$23,"Q2",'3 Hazed Questions'!$C$2:$C$23,J39)+SUMIFS('3 Hazed Questions'!$H$2:$H$23,'3 Hazed Questions'!$A$2:$A$23,"Q3",'3 Hazed Questions'!$C$2:$C$23,K39)+SUMIFS('3 Hazed Questions'!$H$2:$H$23,'3 Hazed Questions'!$A$2:$A$23,"Q4",'3 Hazed Questions'!$C$2:$C$23,L39))</f>
        <v/>
      </c>
      <c r="R39" s="14" t="str">
        <f aca="false">IF(COUNTA(I39:L39)=0,"",SUMIFS('3 Hazed Questions'!$I$2:$I$23,'3 Hazed Questions'!$A$2:$A$23,"Q1",'3 Hazed Questions'!$C$2:$C$23,I39)+SUMIFS('3 Hazed Questions'!$I$2:$I$23,'3 Hazed Questions'!$A$2:$A$23,"Q2",'3 Hazed Questions'!$C$2:$C$23,J39)+SUMIFS('3 Hazed Questions'!$I$2:$I$23,'3 Hazed Questions'!$A$2:$A$23,"Q3",'3 Hazed Questions'!$C$2:$C$23,K39)+SUMIFS('3 Hazed Questions'!$I$2:$I$23,'3 Hazed Questions'!$A$2:$A$23,"Q4",'3 Hazed Questions'!$C$2:$C$23,L39))</f>
        <v/>
      </c>
      <c r="S39" s="14" t="str">
        <f aca="false">IF(COUNTA(I39:L39)=0,"",SUMIFS('3 Hazed Questions'!$J$2:$J$23,'3 Hazed Questions'!$A$2:$A$23,"Q1",'3 Hazed Questions'!$C$2:$C$23,I39)+SUMIFS('3 Hazed Questions'!$J$2:$J$23,'3 Hazed Questions'!$A$2:$A$23,"Q2",'3 Hazed Questions'!$C$2:$C$23,J39)+SUMIFS('3 Hazed Questions'!$J$2:$J$23,'3 Hazed Questions'!$A$2:$A$23,"Q3",'3 Hazed Questions'!$C$2:$C$23,K39)+SUMIFS('3 Hazed Questions'!$J$2:$J$23,'3 Hazed Questions'!$A$2:$A$23,"Q4",'3 Hazed Questions'!$C$2:$C$23,L39))</f>
        <v/>
      </c>
      <c r="T39" s="14" t="str">
        <f aca="false">IF(COUNTA(I39:L39)=0,"",SUMIFS('3 Hazed Questions'!$K$2:$K$23,'3 Hazed Questions'!$A$2:$A$23,"Q1",'3 Hazed Questions'!$C$2:$C$23,I39)+SUMIFS('3 Hazed Questions'!$K$2:$K$23,'3 Hazed Questions'!$A$2:$A$23,"Q2",'3 Hazed Questions'!$C$2:$C$23,J39)+SUMIFS('3 Hazed Questions'!$K$2:$K$23,'3 Hazed Questions'!$A$2:$A$23,"Q3",'3 Hazed Questions'!$C$2:$C$23,K39)+SUMIFS('3 Hazed Questions'!$K$2:$K$23,'3 Hazed Questions'!$A$2:$A$23,"Q4",'3 Hazed Questions'!$C$2:$C$23,L39))</f>
        <v/>
      </c>
      <c r="U39" s="14" t="str">
        <f aca="false">IF(COUNTA(I39:L39)=0,"",SUMIFS('3 Hazed Questions'!$L$2:$L$23,'3 Hazed Questions'!$A$2:$A$23,"Q1",'3 Hazed Questions'!$C$2:$C$23,I39)+SUMIFS('3 Hazed Questions'!$L$2:$L$23,'3 Hazed Questions'!$A$2:$A$23,"Q2",'3 Hazed Questions'!$C$2:$C$23,J39)+SUMIFS('3 Hazed Questions'!$L$2:$L$23,'3 Hazed Questions'!$A$2:$A$23,"Q3",'3 Hazed Questions'!$C$2:$C$23,K39)+SUMIFS('3 Hazed Questions'!$L$2:$L$23,'3 Hazed Questions'!$A$2:$A$23,"Q4",'3 Hazed Questions'!$C$2:$C$23,L39))</f>
        <v/>
      </c>
      <c r="V39" s="14" t="str">
        <f aca="false">IF(COUNTA(I39:L39)=0,"",SUMIFS('3 Hazed Questions'!$M$2:$M$23,'3 Hazed Questions'!$A$2:$A$23,"Q1",'3 Hazed Questions'!$C$2:$C$23,I39)+SUMIFS('3 Hazed Questions'!$M$2:$M$23,'3 Hazed Questions'!$A$2:$A$23,"Q2",'3 Hazed Questions'!$C$2:$C$23,J39)+SUMIFS('3 Hazed Questions'!$M$2:$M$23,'3 Hazed Questions'!$A$2:$A$23,"Q3",'3 Hazed Questions'!$C$2:$C$23,K39)+SUMIFS('3 Hazed Questions'!$M$2:$M$23,'3 Hazed Questions'!$A$2:$A$23,"Q4",'3 Hazed Questions'!$C$2:$C$23,L39))</f>
        <v/>
      </c>
      <c r="W39" s="14" t="str">
        <f aca="false">IF(COUNTA(I39:L39)=0,"",SUMIFS('3 Hazed Questions'!$N$2:$N$23,'3 Hazed Questions'!$A$2:$A$23,"Q1",'3 Hazed Questions'!$C$2:$C$23,I39)+SUMIFS('3 Hazed Questions'!$N$2:$N$23,'3 Hazed Questions'!$A$2:$A$23,"Q2",'3 Hazed Questions'!$C$2:$C$23,J39)+SUMIFS('3 Hazed Questions'!$N$2:$N$23,'3 Hazed Questions'!$A$2:$A$23,"Q3",'3 Hazed Questions'!$C$2:$C$23,K39)+SUMIFS('3 Hazed Questions'!$N$2:$N$23,'3 Hazed Questions'!$A$2:$A$23,"Q4",'3 Hazed Questions'!$C$2:$C$23,L39))</f>
        <v/>
      </c>
      <c r="X39" s="14" t="str">
        <f aca="false">IF(COUNTA(I39:L39)=0,"",INDEX(Fields!$B$2:$B$50,MATCH(SUBSTITUTE(INDEX($N$1:$W$1,MATCH(MAX($N39:$W39),$N39:$W39,0)),"Score: ",""),Fields!$A$2:$A$50,0)))</f>
        <v/>
      </c>
      <c r="Y39" s="14" t="str">
        <f aca="true">IF(COUNTA(I39:L39)=0,"",IF(LARGE($N39:$W39,2)=0,"-",INDEX(Fields!$B$2:$B$50,MATCH(SUBSTITUTE(INDEX($N$1:$W$1,IF(LARGE($N39:$W39,2)=MAX($N39:$W39),MATCH(MAX($N39:$W39),OFFSET($N39:$W39,0,MATCH(MAX($N39:$W39),$N39:$W39,0),1,10-MATCH(MAX($N39:$W39),$N39:$W39,0)),0)+MATCH(MAX($N39:$W39),$N39:$W39,0),MATCH(LARGE($N39:$W39,2),$N39:$W39,0))),"Score: ",""),Fields!$A$2:$A$50,0))))</f>
        <v/>
      </c>
      <c r="Z39" s="14" t="str">
        <f aca="false">IF(M39="","",IFERROR(INDEX('3 Hazed Questions'!$O$2:$O$23,MATCH(1,INDEX(('3 Hazed Questions'!$A$2:$A$23="Q5")*('3 Hazed Questions'!$C$2:$C$23=M39),0),0))&amp;"",""))</f>
        <v/>
      </c>
      <c r="AA39" s="18"/>
      <c r="AB39" s="18"/>
      <c r="AC39" s="19"/>
      <c r="AD39" s="19"/>
      <c r="AE39" s="18"/>
      <c r="AF39" s="18"/>
      <c r="AG39" s="18"/>
    </row>
    <row r="40" customFormat="false" ht="15" hidden="false" customHeight="false" outlineLevel="0" collapsed="false">
      <c r="A40" s="18"/>
      <c r="B40" s="19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4" t="str">
        <f aca="false">IF(COUNTA(I40:L40)=0,"",SUMIFS('3 Hazed Questions'!$E$2:$E$23,'3 Hazed Questions'!$A$2:$A$23,"Q1",'3 Hazed Questions'!$C$2:$C$23,I40)+SUMIFS('3 Hazed Questions'!$E$2:$E$23,'3 Hazed Questions'!$A$2:$A$23,"Q2",'3 Hazed Questions'!$C$2:$C$23,J40)+SUMIFS('3 Hazed Questions'!$E$2:$E$23,'3 Hazed Questions'!$A$2:$A$23,"Q3",'3 Hazed Questions'!$C$2:$C$23,K40)+SUMIFS('3 Hazed Questions'!$E$2:$E$23,'3 Hazed Questions'!$A$2:$A$23,"Q4",'3 Hazed Questions'!$C$2:$C$23,L40))</f>
        <v/>
      </c>
      <c r="O40" s="14" t="str">
        <f aca="false">IF(COUNTA(I40:L40)=0,"",SUMIFS('3 Hazed Questions'!$F$2:$F$23,'3 Hazed Questions'!$A$2:$A$23,"Q1",'3 Hazed Questions'!$C$2:$C$23,I40)+SUMIFS('3 Hazed Questions'!$F$2:$F$23,'3 Hazed Questions'!$A$2:$A$23,"Q2",'3 Hazed Questions'!$C$2:$C$23,J40)+SUMIFS('3 Hazed Questions'!$F$2:$F$23,'3 Hazed Questions'!$A$2:$A$23,"Q3",'3 Hazed Questions'!$C$2:$C$23,K40)+SUMIFS('3 Hazed Questions'!$F$2:$F$23,'3 Hazed Questions'!$A$2:$A$23,"Q4",'3 Hazed Questions'!$C$2:$C$23,L40))</f>
        <v/>
      </c>
      <c r="P40" s="14" t="str">
        <f aca="false">IF(COUNTA(I40:L40)=0,"",SUMIFS('3 Hazed Questions'!$G$2:$G$23,'3 Hazed Questions'!$A$2:$A$23,"Q1",'3 Hazed Questions'!$C$2:$C$23,I40)+SUMIFS('3 Hazed Questions'!$G$2:$G$23,'3 Hazed Questions'!$A$2:$A$23,"Q2",'3 Hazed Questions'!$C$2:$C$23,J40)+SUMIFS('3 Hazed Questions'!$G$2:$G$23,'3 Hazed Questions'!$A$2:$A$23,"Q3",'3 Hazed Questions'!$C$2:$C$23,K40)+SUMIFS('3 Hazed Questions'!$G$2:$G$23,'3 Hazed Questions'!$A$2:$A$23,"Q4",'3 Hazed Questions'!$C$2:$C$23,L40))</f>
        <v/>
      </c>
      <c r="Q40" s="14" t="str">
        <f aca="false">IF(COUNTA(I40:L40)=0,"",SUMIFS('3 Hazed Questions'!$H$2:$H$23,'3 Hazed Questions'!$A$2:$A$23,"Q1",'3 Hazed Questions'!$C$2:$C$23,I40)+SUMIFS('3 Hazed Questions'!$H$2:$H$23,'3 Hazed Questions'!$A$2:$A$23,"Q2",'3 Hazed Questions'!$C$2:$C$23,J40)+SUMIFS('3 Hazed Questions'!$H$2:$H$23,'3 Hazed Questions'!$A$2:$A$23,"Q3",'3 Hazed Questions'!$C$2:$C$23,K40)+SUMIFS('3 Hazed Questions'!$H$2:$H$23,'3 Hazed Questions'!$A$2:$A$23,"Q4",'3 Hazed Questions'!$C$2:$C$23,L40))</f>
        <v/>
      </c>
      <c r="R40" s="14" t="str">
        <f aca="false">IF(COUNTA(I40:L40)=0,"",SUMIFS('3 Hazed Questions'!$I$2:$I$23,'3 Hazed Questions'!$A$2:$A$23,"Q1",'3 Hazed Questions'!$C$2:$C$23,I40)+SUMIFS('3 Hazed Questions'!$I$2:$I$23,'3 Hazed Questions'!$A$2:$A$23,"Q2",'3 Hazed Questions'!$C$2:$C$23,J40)+SUMIFS('3 Hazed Questions'!$I$2:$I$23,'3 Hazed Questions'!$A$2:$A$23,"Q3",'3 Hazed Questions'!$C$2:$C$23,K40)+SUMIFS('3 Hazed Questions'!$I$2:$I$23,'3 Hazed Questions'!$A$2:$A$23,"Q4",'3 Hazed Questions'!$C$2:$C$23,L40))</f>
        <v/>
      </c>
      <c r="S40" s="14" t="str">
        <f aca="false">IF(COUNTA(I40:L40)=0,"",SUMIFS('3 Hazed Questions'!$J$2:$J$23,'3 Hazed Questions'!$A$2:$A$23,"Q1",'3 Hazed Questions'!$C$2:$C$23,I40)+SUMIFS('3 Hazed Questions'!$J$2:$J$23,'3 Hazed Questions'!$A$2:$A$23,"Q2",'3 Hazed Questions'!$C$2:$C$23,J40)+SUMIFS('3 Hazed Questions'!$J$2:$J$23,'3 Hazed Questions'!$A$2:$A$23,"Q3",'3 Hazed Questions'!$C$2:$C$23,K40)+SUMIFS('3 Hazed Questions'!$J$2:$J$23,'3 Hazed Questions'!$A$2:$A$23,"Q4",'3 Hazed Questions'!$C$2:$C$23,L40))</f>
        <v/>
      </c>
      <c r="T40" s="14" t="str">
        <f aca="false">IF(COUNTA(I40:L40)=0,"",SUMIFS('3 Hazed Questions'!$K$2:$K$23,'3 Hazed Questions'!$A$2:$A$23,"Q1",'3 Hazed Questions'!$C$2:$C$23,I40)+SUMIFS('3 Hazed Questions'!$K$2:$K$23,'3 Hazed Questions'!$A$2:$A$23,"Q2",'3 Hazed Questions'!$C$2:$C$23,J40)+SUMIFS('3 Hazed Questions'!$K$2:$K$23,'3 Hazed Questions'!$A$2:$A$23,"Q3",'3 Hazed Questions'!$C$2:$C$23,K40)+SUMIFS('3 Hazed Questions'!$K$2:$K$23,'3 Hazed Questions'!$A$2:$A$23,"Q4",'3 Hazed Questions'!$C$2:$C$23,L40))</f>
        <v/>
      </c>
      <c r="U40" s="14" t="str">
        <f aca="false">IF(COUNTA(I40:L40)=0,"",SUMIFS('3 Hazed Questions'!$L$2:$L$23,'3 Hazed Questions'!$A$2:$A$23,"Q1",'3 Hazed Questions'!$C$2:$C$23,I40)+SUMIFS('3 Hazed Questions'!$L$2:$L$23,'3 Hazed Questions'!$A$2:$A$23,"Q2",'3 Hazed Questions'!$C$2:$C$23,J40)+SUMIFS('3 Hazed Questions'!$L$2:$L$23,'3 Hazed Questions'!$A$2:$A$23,"Q3",'3 Hazed Questions'!$C$2:$C$23,K40)+SUMIFS('3 Hazed Questions'!$L$2:$L$23,'3 Hazed Questions'!$A$2:$A$23,"Q4",'3 Hazed Questions'!$C$2:$C$23,L40))</f>
        <v/>
      </c>
      <c r="V40" s="14" t="str">
        <f aca="false">IF(COUNTA(I40:L40)=0,"",SUMIFS('3 Hazed Questions'!$M$2:$M$23,'3 Hazed Questions'!$A$2:$A$23,"Q1",'3 Hazed Questions'!$C$2:$C$23,I40)+SUMIFS('3 Hazed Questions'!$M$2:$M$23,'3 Hazed Questions'!$A$2:$A$23,"Q2",'3 Hazed Questions'!$C$2:$C$23,J40)+SUMIFS('3 Hazed Questions'!$M$2:$M$23,'3 Hazed Questions'!$A$2:$A$23,"Q3",'3 Hazed Questions'!$C$2:$C$23,K40)+SUMIFS('3 Hazed Questions'!$M$2:$M$23,'3 Hazed Questions'!$A$2:$A$23,"Q4",'3 Hazed Questions'!$C$2:$C$23,L40))</f>
        <v/>
      </c>
      <c r="W40" s="14" t="str">
        <f aca="false">IF(COUNTA(I40:L40)=0,"",SUMIFS('3 Hazed Questions'!$N$2:$N$23,'3 Hazed Questions'!$A$2:$A$23,"Q1",'3 Hazed Questions'!$C$2:$C$23,I40)+SUMIFS('3 Hazed Questions'!$N$2:$N$23,'3 Hazed Questions'!$A$2:$A$23,"Q2",'3 Hazed Questions'!$C$2:$C$23,J40)+SUMIFS('3 Hazed Questions'!$N$2:$N$23,'3 Hazed Questions'!$A$2:$A$23,"Q3",'3 Hazed Questions'!$C$2:$C$23,K40)+SUMIFS('3 Hazed Questions'!$N$2:$N$23,'3 Hazed Questions'!$A$2:$A$23,"Q4",'3 Hazed Questions'!$C$2:$C$23,L40))</f>
        <v/>
      </c>
      <c r="X40" s="14" t="str">
        <f aca="false">IF(COUNTA(I40:L40)=0,"",INDEX(Fields!$B$2:$B$50,MATCH(SUBSTITUTE(INDEX($N$1:$W$1,MATCH(MAX($N40:$W40),$N40:$W40,0)),"Score: ",""),Fields!$A$2:$A$50,0)))</f>
        <v/>
      </c>
      <c r="Y40" s="14" t="str">
        <f aca="true">IF(COUNTA(I40:L40)=0,"",IF(LARGE($N40:$W40,2)=0,"-",INDEX(Fields!$B$2:$B$50,MATCH(SUBSTITUTE(INDEX($N$1:$W$1,IF(LARGE($N40:$W40,2)=MAX($N40:$W40),MATCH(MAX($N40:$W40),OFFSET($N40:$W40,0,MATCH(MAX($N40:$W40),$N40:$W40,0),1,10-MATCH(MAX($N40:$W40),$N40:$W40,0)),0)+MATCH(MAX($N40:$W40),$N40:$W40,0),MATCH(LARGE($N40:$W40,2),$N40:$W40,0))),"Score: ",""),Fields!$A$2:$A$50,0))))</f>
        <v/>
      </c>
      <c r="Z40" s="14" t="str">
        <f aca="false">IF(M40="","",IFERROR(INDEX('3 Hazed Questions'!$O$2:$O$23,MATCH(1,INDEX(('3 Hazed Questions'!$A$2:$A$23="Q5")*('3 Hazed Questions'!$C$2:$C$23=M40),0),0))&amp;"",""))</f>
        <v/>
      </c>
      <c r="AA40" s="18"/>
      <c r="AB40" s="18"/>
      <c r="AC40" s="19"/>
      <c r="AD40" s="19"/>
      <c r="AE40" s="18"/>
      <c r="AF40" s="18"/>
      <c r="AG40" s="18"/>
    </row>
    <row r="41" customFormat="false" ht="15" hidden="false" customHeight="false" outlineLevel="0" collapsed="false">
      <c r="A41" s="18"/>
      <c r="B41" s="19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4" t="str">
        <f aca="false">IF(COUNTA(I41:L41)=0,"",SUMIFS('3 Hazed Questions'!$E$2:$E$23,'3 Hazed Questions'!$A$2:$A$23,"Q1",'3 Hazed Questions'!$C$2:$C$23,I41)+SUMIFS('3 Hazed Questions'!$E$2:$E$23,'3 Hazed Questions'!$A$2:$A$23,"Q2",'3 Hazed Questions'!$C$2:$C$23,J41)+SUMIFS('3 Hazed Questions'!$E$2:$E$23,'3 Hazed Questions'!$A$2:$A$23,"Q3",'3 Hazed Questions'!$C$2:$C$23,K41)+SUMIFS('3 Hazed Questions'!$E$2:$E$23,'3 Hazed Questions'!$A$2:$A$23,"Q4",'3 Hazed Questions'!$C$2:$C$23,L41))</f>
        <v/>
      </c>
      <c r="O41" s="14" t="str">
        <f aca="false">IF(COUNTA(I41:L41)=0,"",SUMIFS('3 Hazed Questions'!$F$2:$F$23,'3 Hazed Questions'!$A$2:$A$23,"Q1",'3 Hazed Questions'!$C$2:$C$23,I41)+SUMIFS('3 Hazed Questions'!$F$2:$F$23,'3 Hazed Questions'!$A$2:$A$23,"Q2",'3 Hazed Questions'!$C$2:$C$23,J41)+SUMIFS('3 Hazed Questions'!$F$2:$F$23,'3 Hazed Questions'!$A$2:$A$23,"Q3",'3 Hazed Questions'!$C$2:$C$23,K41)+SUMIFS('3 Hazed Questions'!$F$2:$F$23,'3 Hazed Questions'!$A$2:$A$23,"Q4",'3 Hazed Questions'!$C$2:$C$23,L41))</f>
        <v/>
      </c>
      <c r="P41" s="14" t="str">
        <f aca="false">IF(COUNTA(I41:L41)=0,"",SUMIFS('3 Hazed Questions'!$G$2:$G$23,'3 Hazed Questions'!$A$2:$A$23,"Q1",'3 Hazed Questions'!$C$2:$C$23,I41)+SUMIFS('3 Hazed Questions'!$G$2:$G$23,'3 Hazed Questions'!$A$2:$A$23,"Q2",'3 Hazed Questions'!$C$2:$C$23,J41)+SUMIFS('3 Hazed Questions'!$G$2:$G$23,'3 Hazed Questions'!$A$2:$A$23,"Q3",'3 Hazed Questions'!$C$2:$C$23,K41)+SUMIFS('3 Hazed Questions'!$G$2:$G$23,'3 Hazed Questions'!$A$2:$A$23,"Q4",'3 Hazed Questions'!$C$2:$C$23,L41))</f>
        <v/>
      </c>
      <c r="Q41" s="14" t="str">
        <f aca="false">IF(COUNTA(I41:L41)=0,"",SUMIFS('3 Hazed Questions'!$H$2:$H$23,'3 Hazed Questions'!$A$2:$A$23,"Q1",'3 Hazed Questions'!$C$2:$C$23,I41)+SUMIFS('3 Hazed Questions'!$H$2:$H$23,'3 Hazed Questions'!$A$2:$A$23,"Q2",'3 Hazed Questions'!$C$2:$C$23,J41)+SUMIFS('3 Hazed Questions'!$H$2:$H$23,'3 Hazed Questions'!$A$2:$A$23,"Q3",'3 Hazed Questions'!$C$2:$C$23,K41)+SUMIFS('3 Hazed Questions'!$H$2:$H$23,'3 Hazed Questions'!$A$2:$A$23,"Q4",'3 Hazed Questions'!$C$2:$C$23,L41))</f>
        <v/>
      </c>
      <c r="R41" s="14" t="str">
        <f aca="false">IF(COUNTA(I41:L41)=0,"",SUMIFS('3 Hazed Questions'!$I$2:$I$23,'3 Hazed Questions'!$A$2:$A$23,"Q1",'3 Hazed Questions'!$C$2:$C$23,I41)+SUMIFS('3 Hazed Questions'!$I$2:$I$23,'3 Hazed Questions'!$A$2:$A$23,"Q2",'3 Hazed Questions'!$C$2:$C$23,J41)+SUMIFS('3 Hazed Questions'!$I$2:$I$23,'3 Hazed Questions'!$A$2:$A$23,"Q3",'3 Hazed Questions'!$C$2:$C$23,K41)+SUMIFS('3 Hazed Questions'!$I$2:$I$23,'3 Hazed Questions'!$A$2:$A$23,"Q4",'3 Hazed Questions'!$C$2:$C$23,L41))</f>
        <v/>
      </c>
      <c r="S41" s="14" t="str">
        <f aca="false">IF(COUNTA(I41:L41)=0,"",SUMIFS('3 Hazed Questions'!$J$2:$J$23,'3 Hazed Questions'!$A$2:$A$23,"Q1",'3 Hazed Questions'!$C$2:$C$23,I41)+SUMIFS('3 Hazed Questions'!$J$2:$J$23,'3 Hazed Questions'!$A$2:$A$23,"Q2",'3 Hazed Questions'!$C$2:$C$23,J41)+SUMIFS('3 Hazed Questions'!$J$2:$J$23,'3 Hazed Questions'!$A$2:$A$23,"Q3",'3 Hazed Questions'!$C$2:$C$23,K41)+SUMIFS('3 Hazed Questions'!$J$2:$J$23,'3 Hazed Questions'!$A$2:$A$23,"Q4",'3 Hazed Questions'!$C$2:$C$23,L41))</f>
        <v/>
      </c>
      <c r="T41" s="14" t="str">
        <f aca="false">IF(COUNTA(I41:L41)=0,"",SUMIFS('3 Hazed Questions'!$K$2:$K$23,'3 Hazed Questions'!$A$2:$A$23,"Q1",'3 Hazed Questions'!$C$2:$C$23,I41)+SUMIFS('3 Hazed Questions'!$K$2:$K$23,'3 Hazed Questions'!$A$2:$A$23,"Q2",'3 Hazed Questions'!$C$2:$C$23,J41)+SUMIFS('3 Hazed Questions'!$K$2:$K$23,'3 Hazed Questions'!$A$2:$A$23,"Q3",'3 Hazed Questions'!$C$2:$C$23,K41)+SUMIFS('3 Hazed Questions'!$K$2:$K$23,'3 Hazed Questions'!$A$2:$A$23,"Q4",'3 Hazed Questions'!$C$2:$C$23,L41))</f>
        <v/>
      </c>
      <c r="U41" s="14" t="str">
        <f aca="false">IF(COUNTA(I41:L41)=0,"",SUMIFS('3 Hazed Questions'!$L$2:$L$23,'3 Hazed Questions'!$A$2:$A$23,"Q1",'3 Hazed Questions'!$C$2:$C$23,I41)+SUMIFS('3 Hazed Questions'!$L$2:$L$23,'3 Hazed Questions'!$A$2:$A$23,"Q2",'3 Hazed Questions'!$C$2:$C$23,J41)+SUMIFS('3 Hazed Questions'!$L$2:$L$23,'3 Hazed Questions'!$A$2:$A$23,"Q3",'3 Hazed Questions'!$C$2:$C$23,K41)+SUMIFS('3 Hazed Questions'!$L$2:$L$23,'3 Hazed Questions'!$A$2:$A$23,"Q4",'3 Hazed Questions'!$C$2:$C$23,L41))</f>
        <v/>
      </c>
      <c r="V41" s="14" t="str">
        <f aca="false">IF(COUNTA(I41:L41)=0,"",SUMIFS('3 Hazed Questions'!$M$2:$M$23,'3 Hazed Questions'!$A$2:$A$23,"Q1",'3 Hazed Questions'!$C$2:$C$23,I41)+SUMIFS('3 Hazed Questions'!$M$2:$M$23,'3 Hazed Questions'!$A$2:$A$23,"Q2",'3 Hazed Questions'!$C$2:$C$23,J41)+SUMIFS('3 Hazed Questions'!$M$2:$M$23,'3 Hazed Questions'!$A$2:$A$23,"Q3",'3 Hazed Questions'!$C$2:$C$23,K41)+SUMIFS('3 Hazed Questions'!$M$2:$M$23,'3 Hazed Questions'!$A$2:$A$23,"Q4",'3 Hazed Questions'!$C$2:$C$23,L41))</f>
        <v/>
      </c>
      <c r="W41" s="14" t="str">
        <f aca="false">IF(COUNTA(I41:L41)=0,"",SUMIFS('3 Hazed Questions'!$N$2:$N$23,'3 Hazed Questions'!$A$2:$A$23,"Q1",'3 Hazed Questions'!$C$2:$C$23,I41)+SUMIFS('3 Hazed Questions'!$N$2:$N$23,'3 Hazed Questions'!$A$2:$A$23,"Q2",'3 Hazed Questions'!$C$2:$C$23,J41)+SUMIFS('3 Hazed Questions'!$N$2:$N$23,'3 Hazed Questions'!$A$2:$A$23,"Q3",'3 Hazed Questions'!$C$2:$C$23,K41)+SUMIFS('3 Hazed Questions'!$N$2:$N$23,'3 Hazed Questions'!$A$2:$A$23,"Q4",'3 Hazed Questions'!$C$2:$C$23,L41))</f>
        <v/>
      </c>
      <c r="X41" s="14" t="str">
        <f aca="false">IF(COUNTA(I41:L41)=0,"",INDEX(Fields!$B$2:$B$50,MATCH(SUBSTITUTE(INDEX($N$1:$W$1,MATCH(MAX($N41:$W41),$N41:$W41,0)),"Score: ",""),Fields!$A$2:$A$50,0)))</f>
        <v/>
      </c>
      <c r="Y41" s="14" t="str">
        <f aca="true">IF(COUNTA(I41:L41)=0,"",IF(LARGE($N41:$W41,2)=0,"-",INDEX(Fields!$B$2:$B$50,MATCH(SUBSTITUTE(INDEX($N$1:$W$1,IF(LARGE($N41:$W41,2)=MAX($N41:$W41),MATCH(MAX($N41:$W41),OFFSET($N41:$W41,0,MATCH(MAX($N41:$W41),$N41:$W41,0),1,10-MATCH(MAX($N41:$W41),$N41:$W41,0)),0)+MATCH(MAX($N41:$W41),$N41:$W41,0),MATCH(LARGE($N41:$W41,2),$N41:$W41,0))),"Score: ",""),Fields!$A$2:$A$50,0))))</f>
        <v/>
      </c>
      <c r="Z41" s="14" t="str">
        <f aca="false">IF(M41="","",IFERROR(INDEX('3 Hazed Questions'!$O$2:$O$23,MATCH(1,INDEX(('3 Hazed Questions'!$A$2:$A$23="Q5")*('3 Hazed Questions'!$C$2:$C$23=M41),0),0))&amp;"",""))</f>
        <v/>
      </c>
      <c r="AA41" s="18"/>
      <c r="AB41" s="18"/>
      <c r="AC41" s="19"/>
      <c r="AD41" s="19"/>
      <c r="AE41" s="18"/>
      <c r="AF41" s="18"/>
      <c r="AG41" s="18"/>
    </row>
    <row r="42" customFormat="false" ht="15" hidden="false" customHeight="false" outlineLevel="0" collapsed="false">
      <c r="A42" s="18"/>
      <c r="B42" s="19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4" t="str">
        <f aca="false">IF(COUNTA(I42:L42)=0,"",SUMIFS('3 Hazed Questions'!$E$2:$E$23,'3 Hazed Questions'!$A$2:$A$23,"Q1",'3 Hazed Questions'!$C$2:$C$23,I42)+SUMIFS('3 Hazed Questions'!$E$2:$E$23,'3 Hazed Questions'!$A$2:$A$23,"Q2",'3 Hazed Questions'!$C$2:$C$23,J42)+SUMIFS('3 Hazed Questions'!$E$2:$E$23,'3 Hazed Questions'!$A$2:$A$23,"Q3",'3 Hazed Questions'!$C$2:$C$23,K42)+SUMIFS('3 Hazed Questions'!$E$2:$E$23,'3 Hazed Questions'!$A$2:$A$23,"Q4",'3 Hazed Questions'!$C$2:$C$23,L42))</f>
        <v/>
      </c>
      <c r="O42" s="14" t="str">
        <f aca="false">IF(COUNTA(I42:L42)=0,"",SUMIFS('3 Hazed Questions'!$F$2:$F$23,'3 Hazed Questions'!$A$2:$A$23,"Q1",'3 Hazed Questions'!$C$2:$C$23,I42)+SUMIFS('3 Hazed Questions'!$F$2:$F$23,'3 Hazed Questions'!$A$2:$A$23,"Q2",'3 Hazed Questions'!$C$2:$C$23,J42)+SUMIFS('3 Hazed Questions'!$F$2:$F$23,'3 Hazed Questions'!$A$2:$A$23,"Q3",'3 Hazed Questions'!$C$2:$C$23,K42)+SUMIFS('3 Hazed Questions'!$F$2:$F$23,'3 Hazed Questions'!$A$2:$A$23,"Q4",'3 Hazed Questions'!$C$2:$C$23,L42))</f>
        <v/>
      </c>
      <c r="P42" s="14" t="str">
        <f aca="false">IF(COUNTA(I42:L42)=0,"",SUMIFS('3 Hazed Questions'!$G$2:$G$23,'3 Hazed Questions'!$A$2:$A$23,"Q1",'3 Hazed Questions'!$C$2:$C$23,I42)+SUMIFS('3 Hazed Questions'!$G$2:$G$23,'3 Hazed Questions'!$A$2:$A$23,"Q2",'3 Hazed Questions'!$C$2:$C$23,J42)+SUMIFS('3 Hazed Questions'!$G$2:$G$23,'3 Hazed Questions'!$A$2:$A$23,"Q3",'3 Hazed Questions'!$C$2:$C$23,K42)+SUMIFS('3 Hazed Questions'!$G$2:$G$23,'3 Hazed Questions'!$A$2:$A$23,"Q4",'3 Hazed Questions'!$C$2:$C$23,L42))</f>
        <v/>
      </c>
      <c r="Q42" s="14" t="str">
        <f aca="false">IF(COUNTA(I42:L42)=0,"",SUMIFS('3 Hazed Questions'!$H$2:$H$23,'3 Hazed Questions'!$A$2:$A$23,"Q1",'3 Hazed Questions'!$C$2:$C$23,I42)+SUMIFS('3 Hazed Questions'!$H$2:$H$23,'3 Hazed Questions'!$A$2:$A$23,"Q2",'3 Hazed Questions'!$C$2:$C$23,J42)+SUMIFS('3 Hazed Questions'!$H$2:$H$23,'3 Hazed Questions'!$A$2:$A$23,"Q3",'3 Hazed Questions'!$C$2:$C$23,K42)+SUMIFS('3 Hazed Questions'!$H$2:$H$23,'3 Hazed Questions'!$A$2:$A$23,"Q4",'3 Hazed Questions'!$C$2:$C$23,L42))</f>
        <v/>
      </c>
      <c r="R42" s="14" t="str">
        <f aca="false">IF(COUNTA(I42:L42)=0,"",SUMIFS('3 Hazed Questions'!$I$2:$I$23,'3 Hazed Questions'!$A$2:$A$23,"Q1",'3 Hazed Questions'!$C$2:$C$23,I42)+SUMIFS('3 Hazed Questions'!$I$2:$I$23,'3 Hazed Questions'!$A$2:$A$23,"Q2",'3 Hazed Questions'!$C$2:$C$23,J42)+SUMIFS('3 Hazed Questions'!$I$2:$I$23,'3 Hazed Questions'!$A$2:$A$23,"Q3",'3 Hazed Questions'!$C$2:$C$23,K42)+SUMIFS('3 Hazed Questions'!$I$2:$I$23,'3 Hazed Questions'!$A$2:$A$23,"Q4",'3 Hazed Questions'!$C$2:$C$23,L42))</f>
        <v/>
      </c>
      <c r="S42" s="14" t="str">
        <f aca="false">IF(COUNTA(I42:L42)=0,"",SUMIFS('3 Hazed Questions'!$J$2:$J$23,'3 Hazed Questions'!$A$2:$A$23,"Q1",'3 Hazed Questions'!$C$2:$C$23,I42)+SUMIFS('3 Hazed Questions'!$J$2:$J$23,'3 Hazed Questions'!$A$2:$A$23,"Q2",'3 Hazed Questions'!$C$2:$C$23,J42)+SUMIFS('3 Hazed Questions'!$J$2:$J$23,'3 Hazed Questions'!$A$2:$A$23,"Q3",'3 Hazed Questions'!$C$2:$C$23,K42)+SUMIFS('3 Hazed Questions'!$J$2:$J$23,'3 Hazed Questions'!$A$2:$A$23,"Q4",'3 Hazed Questions'!$C$2:$C$23,L42))</f>
        <v/>
      </c>
      <c r="T42" s="14" t="str">
        <f aca="false">IF(COUNTA(I42:L42)=0,"",SUMIFS('3 Hazed Questions'!$K$2:$K$23,'3 Hazed Questions'!$A$2:$A$23,"Q1",'3 Hazed Questions'!$C$2:$C$23,I42)+SUMIFS('3 Hazed Questions'!$K$2:$K$23,'3 Hazed Questions'!$A$2:$A$23,"Q2",'3 Hazed Questions'!$C$2:$C$23,J42)+SUMIFS('3 Hazed Questions'!$K$2:$K$23,'3 Hazed Questions'!$A$2:$A$23,"Q3",'3 Hazed Questions'!$C$2:$C$23,K42)+SUMIFS('3 Hazed Questions'!$K$2:$K$23,'3 Hazed Questions'!$A$2:$A$23,"Q4",'3 Hazed Questions'!$C$2:$C$23,L42))</f>
        <v/>
      </c>
      <c r="U42" s="14" t="str">
        <f aca="false">IF(COUNTA(I42:L42)=0,"",SUMIFS('3 Hazed Questions'!$L$2:$L$23,'3 Hazed Questions'!$A$2:$A$23,"Q1",'3 Hazed Questions'!$C$2:$C$23,I42)+SUMIFS('3 Hazed Questions'!$L$2:$L$23,'3 Hazed Questions'!$A$2:$A$23,"Q2",'3 Hazed Questions'!$C$2:$C$23,J42)+SUMIFS('3 Hazed Questions'!$L$2:$L$23,'3 Hazed Questions'!$A$2:$A$23,"Q3",'3 Hazed Questions'!$C$2:$C$23,K42)+SUMIFS('3 Hazed Questions'!$L$2:$L$23,'3 Hazed Questions'!$A$2:$A$23,"Q4",'3 Hazed Questions'!$C$2:$C$23,L42))</f>
        <v/>
      </c>
      <c r="V42" s="14" t="str">
        <f aca="false">IF(COUNTA(I42:L42)=0,"",SUMIFS('3 Hazed Questions'!$M$2:$M$23,'3 Hazed Questions'!$A$2:$A$23,"Q1",'3 Hazed Questions'!$C$2:$C$23,I42)+SUMIFS('3 Hazed Questions'!$M$2:$M$23,'3 Hazed Questions'!$A$2:$A$23,"Q2",'3 Hazed Questions'!$C$2:$C$23,J42)+SUMIFS('3 Hazed Questions'!$M$2:$M$23,'3 Hazed Questions'!$A$2:$A$23,"Q3",'3 Hazed Questions'!$C$2:$C$23,K42)+SUMIFS('3 Hazed Questions'!$M$2:$M$23,'3 Hazed Questions'!$A$2:$A$23,"Q4",'3 Hazed Questions'!$C$2:$C$23,L42))</f>
        <v/>
      </c>
      <c r="W42" s="14" t="str">
        <f aca="false">IF(COUNTA(I42:L42)=0,"",SUMIFS('3 Hazed Questions'!$N$2:$N$23,'3 Hazed Questions'!$A$2:$A$23,"Q1",'3 Hazed Questions'!$C$2:$C$23,I42)+SUMIFS('3 Hazed Questions'!$N$2:$N$23,'3 Hazed Questions'!$A$2:$A$23,"Q2",'3 Hazed Questions'!$C$2:$C$23,J42)+SUMIFS('3 Hazed Questions'!$N$2:$N$23,'3 Hazed Questions'!$A$2:$A$23,"Q3",'3 Hazed Questions'!$C$2:$C$23,K42)+SUMIFS('3 Hazed Questions'!$N$2:$N$23,'3 Hazed Questions'!$A$2:$A$23,"Q4",'3 Hazed Questions'!$C$2:$C$23,L42))</f>
        <v/>
      </c>
      <c r="X42" s="14" t="str">
        <f aca="false">IF(COUNTA(I42:L42)=0,"",INDEX(Fields!$B$2:$B$50,MATCH(SUBSTITUTE(INDEX($N$1:$W$1,MATCH(MAX($N42:$W42),$N42:$W42,0)),"Score: ",""),Fields!$A$2:$A$50,0)))</f>
        <v/>
      </c>
      <c r="Y42" s="14" t="str">
        <f aca="true">IF(COUNTA(I42:L42)=0,"",IF(LARGE($N42:$W42,2)=0,"-",INDEX(Fields!$B$2:$B$50,MATCH(SUBSTITUTE(INDEX($N$1:$W$1,IF(LARGE($N42:$W42,2)=MAX($N42:$W42),MATCH(MAX($N42:$W42),OFFSET($N42:$W42,0,MATCH(MAX($N42:$W42),$N42:$W42,0),1,10-MATCH(MAX($N42:$W42),$N42:$W42,0)),0)+MATCH(MAX($N42:$W42),$N42:$W42,0),MATCH(LARGE($N42:$W42,2),$N42:$W42,0))),"Score: ",""),Fields!$A$2:$A$50,0))))</f>
        <v/>
      </c>
      <c r="Z42" s="14" t="str">
        <f aca="false">IF(M42="","",IFERROR(INDEX('3 Hazed Questions'!$O$2:$O$23,MATCH(1,INDEX(('3 Hazed Questions'!$A$2:$A$23="Q5")*('3 Hazed Questions'!$C$2:$C$23=M42),0),0))&amp;"",""))</f>
        <v/>
      </c>
      <c r="AA42" s="18"/>
      <c r="AB42" s="18"/>
      <c r="AC42" s="19"/>
      <c r="AD42" s="19"/>
      <c r="AE42" s="18"/>
      <c r="AF42" s="18"/>
      <c r="AG42" s="18"/>
    </row>
    <row r="43" customFormat="false" ht="15" hidden="false" customHeight="false" outlineLevel="0" collapsed="false">
      <c r="A43" s="18"/>
      <c r="B43" s="19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4" t="str">
        <f aca="false">IF(COUNTA(I43:L43)=0,"",SUMIFS('3 Hazed Questions'!$E$2:$E$23,'3 Hazed Questions'!$A$2:$A$23,"Q1",'3 Hazed Questions'!$C$2:$C$23,I43)+SUMIFS('3 Hazed Questions'!$E$2:$E$23,'3 Hazed Questions'!$A$2:$A$23,"Q2",'3 Hazed Questions'!$C$2:$C$23,J43)+SUMIFS('3 Hazed Questions'!$E$2:$E$23,'3 Hazed Questions'!$A$2:$A$23,"Q3",'3 Hazed Questions'!$C$2:$C$23,K43)+SUMIFS('3 Hazed Questions'!$E$2:$E$23,'3 Hazed Questions'!$A$2:$A$23,"Q4",'3 Hazed Questions'!$C$2:$C$23,L43))</f>
        <v/>
      </c>
      <c r="O43" s="14" t="str">
        <f aca="false">IF(COUNTA(I43:L43)=0,"",SUMIFS('3 Hazed Questions'!$F$2:$F$23,'3 Hazed Questions'!$A$2:$A$23,"Q1",'3 Hazed Questions'!$C$2:$C$23,I43)+SUMIFS('3 Hazed Questions'!$F$2:$F$23,'3 Hazed Questions'!$A$2:$A$23,"Q2",'3 Hazed Questions'!$C$2:$C$23,J43)+SUMIFS('3 Hazed Questions'!$F$2:$F$23,'3 Hazed Questions'!$A$2:$A$23,"Q3",'3 Hazed Questions'!$C$2:$C$23,K43)+SUMIFS('3 Hazed Questions'!$F$2:$F$23,'3 Hazed Questions'!$A$2:$A$23,"Q4",'3 Hazed Questions'!$C$2:$C$23,L43))</f>
        <v/>
      </c>
      <c r="P43" s="14" t="str">
        <f aca="false">IF(COUNTA(I43:L43)=0,"",SUMIFS('3 Hazed Questions'!$G$2:$G$23,'3 Hazed Questions'!$A$2:$A$23,"Q1",'3 Hazed Questions'!$C$2:$C$23,I43)+SUMIFS('3 Hazed Questions'!$G$2:$G$23,'3 Hazed Questions'!$A$2:$A$23,"Q2",'3 Hazed Questions'!$C$2:$C$23,J43)+SUMIFS('3 Hazed Questions'!$G$2:$G$23,'3 Hazed Questions'!$A$2:$A$23,"Q3",'3 Hazed Questions'!$C$2:$C$23,K43)+SUMIFS('3 Hazed Questions'!$G$2:$G$23,'3 Hazed Questions'!$A$2:$A$23,"Q4",'3 Hazed Questions'!$C$2:$C$23,L43))</f>
        <v/>
      </c>
      <c r="Q43" s="14" t="str">
        <f aca="false">IF(COUNTA(I43:L43)=0,"",SUMIFS('3 Hazed Questions'!$H$2:$H$23,'3 Hazed Questions'!$A$2:$A$23,"Q1",'3 Hazed Questions'!$C$2:$C$23,I43)+SUMIFS('3 Hazed Questions'!$H$2:$H$23,'3 Hazed Questions'!$A$2:$A$23,"Q2",'3 Hazed Questions'!$C$2:$C$23,J43)+SUMIFS('3 Hazed Questions'!$H$2:$H$23,'3 Hazed Questions'!$A$2:$A$23,"Q3",'3 Hazed Questions'!$C$2:$C$23,K43)+SUMIFS('3 Hazed Questions'!$H$2:$H$23,'3 Hazed Questions'!$A$2:$A$23,"Q4",'3 Hazed Questions'!$C$2:$C$23,L43))</f>
        <v/>
      </c>
      <c r="R43" s="14" t="str">
        <f aca="false">IF(COUNTA(I43:L43)=0,"",SUMIFS('3 Hazed Questions'!$I$2:$I$23,'3 Hazed Questions'!$A$2:$A$23,"Q1",'3 Hazed Questions'!$C$2:$C$23,I43)+SUMIFS('3 Hazed Questions'!$I$2:$I$23,'3 Hazed Questions'!$A$2:$A$23,"Q2",'3 Hazed Questions'!$C$2:$C$23,J43)+SUMIFS('3 Hazed Questions'!$I$2:$I$23,'3 Hazed Questions'!$A$2:$A$23,"Q3",'3 Hazed Questions'!$C$2:$C$23,K43)+SUMIFS('3 Hazed Questions'!$I$2:$I$23,'3 Hazed Questions'!$A$2:$A$23,"Q4",'3 Hazed Questions'!$C$2:$C$23,L43))</f>
        <v/>
      </c>
      <c r="S43" s="14" t="str">
        <f aca="false">IF(COUNTA(I43:L43)=0,"",SUMIFS('3 Hazed Questions'!$J$2:$J$23,'3 Hazed Questions'!$A$2:$A$23,"Q1",'3 Hazed Questions'!$C$2:$C$23,I43)+SUMIFS('3 Hazed Questions'!$J$2:$J$23,'3 Hazed Questions'!$A$2:$A$23,"Q2",'3 Hazed Questions'!$C$2:$C$23,J43)+SUMIFS('3 Hazed Questions'!$J$2:$J$23,'3 Hazed Questions'!$A$2:$A$23,"Q3",'3 Hazed Questions'!$C$2:$C$23,K43)+SUMIFS('3 Hazed Questions'!$J$2:$J$23,'3 Hazed Questions'!$A$2:$A$23,"Q4",'3 Hazed Questions'!$C$2:$C$23,L43))</f>
        <v/>
      </c>
      <c r="T43" s="14" t="str">
        <f aca="false">IF(COUNTA(I43:L43)=0,"",SUMIFS('3 Hazed Questions'!$K$2:$K$23,'3 Hazed Questions'!$A$2:$A$23,"Q1",'3 Hazed Questions'!$C$2:$C$23,I43)+SUMIFS('3 Hazed Questions'!$K$2:$K$23,'3 Hazed Questions'!$A$2:$A$23,"Q2",'3 Hazed Questions'!$C$2:$C$23,J43)+SUMIFS('3 Hazed Questions'!$K$2:$K$23,'3 Hazed Questions'!$A$2:$A$23,"Q3",'3 Hazed Questions'!$C$2:$C$23,K43)+SUMIFS('3 Hazed Questions'!$K$2:$K$23,'3 Hazed Questions'!$A$2:$A$23,"Q4",'3 Hazed Questions'!$C$2:$C$23,L43))</f>
        <v/>
      </c>
      <c r="U43" s="14" t="str">
        <f aca="false">IF(COUNTA(I43:L43)=0,"",SUMIFS('3 Hazed Questions'!$L$2:$L$23,'3 Hazed Questions'!$A$2:$A$23,"Q1",'3 Hazed Questions'!$C$2:$C$23,I43)+SUMIFS('3 Hazed Questions'!$L$2:$L$23,'3 Hazed Questions'!$A$2:$A$23,"Q2",'3 Hazed Questions'!$C$2:$C$23,J43)+SUMIFS('3 Hazed Questions'!$L$2:$L$23,'3 Hazed Questions'!$A$2:$A$23,"Q3",'3 Hazed Questions'!$C$2:$C$23,K43)+SUMIFS('3 Hazed Questions'!$L$2:$L$23,'3 Hazed Questions'!$A$2:$A$23,"Q4",'3 Hazed Questions'!$C$2:$C$23,L43))</f>
        <v/>
      </c>
      <c r="V43" s="14" t="str">
        <f aca="false">IF(COUNTA(I43:L43)=0,"",SUMIFS('3 Hazed Questions'!$M$2:$M$23,'3 Hazed Questions'!$A$2:$A$23,"Q1",'3 Hazed Questions'!$C$2:$C$23,I43)+SUMIFS('3 Hazed Questions'!$M$2:$M$23,'3 Hazed Questions'!$A$2:$A$23,"Q2",'3 Hazed Questions'!$C$2:$C$23,J43)+SUMIFS('3 Hazed Questions'!$M$2:$M$23,'3 Hazed Questions'!$A$2:$A$23,"Q3",'3 Hazed Questions'!$C$2:$C$23,K43)+SUMIFS('3 Hazed Questions'!$M$2:$M$23,'3 Hazed Questions'!$A$2:$A$23,"Q4",'3 Hazed Questions'!$C$2:$C$23,L43))</f>
        <v/>
      </c>
      <c r="W43" s="14" t="str">
        <f aca="false">IF(COUNTA(I43:L43)=0,"",SUMIFS('3 Hazed Questions'!$N$2:$N$23,'3 Hazed Questions'!$A$2:$A$23,"Q1",'3 Hazed Questions'!$C$2:$C$23,I43)+SUMIFS('3 Hazed Questions'!$N$2:$N$23,'3 Hazed Questions'!$A$2:$A$23,"Q2",'3 Hazed Questions'!$C$2:$C$23,J43)+SUMIFS('3 Hazed Questions'!$N$2:$N$23,'3 Hazed Questions'!$A$2:$A$23,"Q3",'3 Hazed Questions'!$C$2:$C$23,K43)+SUMIFS('3 Hazed Questions'!$N$2:$N$23,'3 Hazed Questions'!$A$2:$A$23,"Q4",'3 Hazed Questions'!$C$2:$C$23,L43))</f>
        <v/>
      </c>
      <c r="X43" s="14" t="str">
        <f aca="false">IF(COUNTA(I43:L43)=0,"",INDEX(Fields!$B$2:$B$50,MATCH(SUBSTITUTE(INDEX($N$1:$W$1,MATCH(MAX($N43:$W43),$N43:$W43,0)),"Score: ",""),Fields!$A$2:$A$50,0)))</f>
        <v/>
      </c>
      <c r="Y43" s="14" t="str">
        <f aca="true">IF(COUNTA(I43:L43)=0,"",IF(LARGE($N43:$W43,2)=0,"-",INDEX(Fields!$B$2:$B$50,MATCH(SUBSTITUTE(INDEX($N$1:$W$1,IF(LARGE($N43:$W43,2)=MAX($N43:$W43),MATCH(MAX($N43:$W43),OFFSET($N43:$W43,0,MATCH(MAX($N43:$W43),$N43:$W43,0),1,10-MATCH(MAX($N43:$W43),$N43:$W43,0)),0)+MATCH(MAX($N43:$W43),$N43:$W43,0),MATCH(LARGE($N43:$W43,2),$N43:$W43,0))),"Score: ",""),Fields!$A$2:$A$50,0))))</f>
        <v/>
      </c>
      <c r="Z43" s="14" t="str">
        <f aca="false">IF(M43="","",IFERROR(INDEX('3 Hazed Questions'!$O$2:$O$23,MATCH(1,INDEX(('3 Hazed Questions'!$A$2:$A$23="Q5")*('3 Hazed Questions'!$C$2:$C$23=M43),0),0))&amp;"",""))</f>
        <v/>
      </c>
      <c r="AA43" s="18"/>
      <c r="AB43" s="18"/>
      <c r="AC43" s="19"/>
      <c r="AD43" s="19"/>
      <c r="AE43" s="18"/>
      <c r="AF43" s="18"/>
      <c r="AG43" s="18"/>
    </row>
    <row r="44" customFormat="false" ht="15" hidden="false" customHeight="false" outlineLevel="0" collapsed="false">
      <c r="A44" s="18"/>
      <c r="B44" s="19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4" t="str">
        <f aca="false">IF(COUNTA(I44:L44)=0,"",SUMIFS('3 Hazed Questions'!$E$2:$E$23,'3 Hazed Questions'!$A$2:$A$23,"Q1",'3 Hazed Questions'!$C$2:$C$23,I44)+SUMIFS('3 Hazed Questions'!$E$2:$E$23,'3 Hazed Questions'!$A$2:$A$23,"Q2",'3 Hazed Questions'!$C$2:$C$23,J44)+SUMIFS('3 Hazed Questions'!$E$2:$E$23,'3 Hazed Questions'!$A$2:$A$23,"Q3",'3 Hazed Questions'!$C$2:$C$23,K44)+SUMIFS('3 Hazed Questions'!$E$2:$E$23,'3 Hazed Questions'!$A$2:$A$23,"Q4",'3 Hazed Questions'!$C$2:$C$23,L44))</f>
        <v/>
      </c>
      <c r="O44" s="14" t="str">
        <f aca="false">IF(COUNTA(I44:L44)=0,"",SUMIFS('3 Hazed Questions'!$F$2:$F$23,'3 Hazed Questions'!$A$2:$A$23,"Q1",'3 Hazed Questions'!$C$2:$C$23,I44)+SUMIFS('3 Hazed Questions'!$F$2:$F$23,'3 Hazed Questions'!$A$2:$A$23,"Q2",'3 Hazed Questions'!$C$2:$C$23,J44)+SUMIFS('3 Hazed Questions'!$F$2:$F$23,'3 Hazed Questions'!$A$2:$A$23,"Q3",'3 Hazed Questions'!$C$2:$C$23,K44)+SUMIFS('3 Hazed Questions'!$F$2:$F$23,'3 Hazed Questions'!$A$2:$A$23,"Q4",'3 Hazed Questions'!$C$2:$C$23,L44))</f>
        <v/>
      </c>
      <c r="P44" s="14" t="str">
        <f aca="false">IF(COUNTA(I44:L44)=0,"",SUMIFS('3 Hazed Questions'!$G$2:$G$23,'3 Hazed Questions'!$A$2:$A$23,"Q1",'3 Hazed Questions'!$C$2:$C$23,I44)+SUMIFS('3 Hazed Questions'!$G$2:$G$23,'3 Hazed Questions'!$A$2:$A$23,"Q2",'3 Hazed Questions'!$C$2:$C$23,J44)+SUMIFS('3 Hazed Questions'!$G$2:$G$23,'3 Hazed Questions'!$A$2:$A$23,"Q3",'3 Hazed Questions'!$C$2:$C$23,K44)+SUMIFS('3 Hazed Questions'!$G$2:$G$23,'3 Hazed Questions'!$A$2:$A$23,"Q4",'3 Hazed Questions'!$C$2:$C$23,L44))</f>
        <v/>
      </c>
      <c r="Q44" s="14" t="str">
        <f aca="false">IF(COUNTA(I44:L44)=0,"",SUMIFS('3 Hazed Questions'!$H$2:$H$23,'3 Hazed Questions'!$A$2:$A$23,"Q1",'3 Hazed Questions'!$C$2:$C$23,I44)+SUMIFS('3 Hazed Questions'!$H$2:$H$23,'3 Hazed Questions'!$A$2:$A$23,"Q2",'3 Hazed Questions'!$C$2:$C$23,J44)+SUMIFS('3 Hazed Questions'!$H$2:$H$23,'3 Hazed Questions'!$A$2:$A$23,"Q3",'3 Hazed Questions'!$C$2:$C$23,K44)+SUMIFS('3 Hazed Questions'!$H$2:$H$23,'3 Hazed Questions'!$A$2:$A$23,"Q4",'3 Hazed Questions'!$C$2:$C$23,L44))</f>
        <v/>
      </c>
      <c r="R44" s="14" t="str">
        <f aca="false">IF(COUNTA(I44:L44)=0,"",SUMIFS('3 Hazed Questions'!$I$2:$I$23,'3 Hazed Questions'!$A$2:$A$23,"Q1",'3 Hazed Questions'!$C$2:$C$23,I44)+SUMIFS('3 Hazed Questions'!$I$2:$I$23,'3 Hazed Questions'!$A$2:$A$23,"Q2",'3 Hazed Questions'!$C$2:$C$23,J44)+SUMIFS('3 Hazed Questions'!$I$2:$I$23,'3 Hazed Questions'!$A$2:$A$23,"Q3",'3 Hazed Questions'!$C$2:$C$23,K44)+SUMIFS('3 Hazed Questions'!$I$2:$I$23,'3 Hazed Questions'!$A$2:$A$23,"Q4",'3 Hazed Questions'!$C$2:$C$23,L44))</f>
        <v/>
      </c>
      <c r="S44" s="14" t="str">
        <f aca="false">IF(COUNTA(I44:L44)=0,"",SUMIFS('3 Hazed Questions'!$J$2:$J$23,'3 Hazed Questions'!$A$2:$A$23,"Q1",'3 Hazed Questions'!$C$2:$C$23,I44)+SUMIFS('3 Hazed Questions'!$J$2:$J$23,'3 Hazed Questions'!$A$2:$A$23,"Q2",'3 Hazed Questions'!$C$2:$C$23,J44)+SUMIFS('3 Hazed Questions'!$J$2:$J$23,'3 Hazed Questions'!$A$2:$A$23,"Q3",'3 Hazed Questions'!$C$2:$C$23,K44)+SUMIFS('3 Hazed Questions'!$J$2:$J$23,'3 Hazed Questions'!$A$2:$A$23,"Q4",'3 Hazed Questions'!$C$2:$C$23,L44))</f>
        <v/>
      </c>
      <c r="T44" s="14" t="str">
        <f aca="false">IF(COUNTA(I44:L44)=0,"",SUMIFS('3 Hazed Questions'!$K$2:$K$23,'3 Hazed Questions'!$A$2:$A$23,"Q1",'3 Hazed Questions'!$C$2:$C$23,I44)+SUMIFS('3 Hazed Questions'!$K$2:$K$23,'3 Hazed Questions'!$A$2:$A$23,"Q2",'3 Hazed Questions'!$C$2:$C$23,J44)+SUMIFS('3 Hazed Questions'!$K$2:$K$23,'3 Hazed Questions'!$A$2:$A$23,"Q3",'3 Hazed Questions'!$C$2:$C$23,K44)+SUMIFS('3 Hazed Questions'!$K$2:$K$23,'3 Hazed Questions'!$A$2:$A$23,"Q4",'3 Hazed Questions'!$C$2:$C$23,L44))</f>
        <v/>
      </c>
      <c r="U44" s="14" t="str">
        <f aca="false">IF(COUNTA(I44:L44)=0,"",SUMIFS('3 Hazed Questions'!$L$2:$L$23,'3 Hazed Questions'!$A$2:$A$23,"Q1",'3 Hazed Questions'!$C$2:$C$23,I44)+SUMIFS('3 Hazed Questions'!$L$2:$L$23,'3 Hazed Questions'!$A$2:$A$23,"Q2",'3 Hazed Questions'!$C$2:$C$23,J44)+SUMIFS('3 Hazed Questions'!$L$2:$L$23,'3 Hazed Questions'!$A$2:$A$23,"Q3",'3 Hazed Questions'!$C$2:$C$23,K44)+SUMIFS('3 Hazed Questions'!$L$2:$L$23,'3 Hazed Questions'!$A$2:$A$23,"Q4",'3 Hazed Questions'!$C$2:$C$23,L44))</f>
        <v/>
      </c>
      <c r="V44" s="14" t="str">
        <f aca="false">IF(COUNTA(I44:L44)=0,"",SUMIFS('3 Hazed Questions'!$M$2:$M$23,'3 Hazed Questions'!$A$2:$A$23,"Q1",'3 Hazed Questions'!$C$2:$C$23,I44)+SUMIFS('3 Hazed Questions'!$M$2:$M$23,'3 Hazed Questions'!$A$2:$A$23,"Q2",'3 Hazed Questions'!$C$2:$C$23,J44)+SUMIFS('3 Hazed Questions'!$M$2:$M$23,'3 Hazed Questions'!$A$2:$A$23,"Q3",'3 Hazed Questions'!$C$2:$C$23,K44)+SUMIFS('3 Hazed Questions'!$M$2:$M$23,'3 Hazed Questions'!$A$2:$A$23,"Q4",'3 Hazed Questions'!$C$2:$C$23,L44))</f>
        <v/>
      </c>
      <c r="W44" s="14" t="str">
        <f aca="false">IF(COUNTA(I44:L44)=0,"",SUMIFS('3 Hazed Questions'!$N$2:$N$23,'3 Hazed Questions'!$A$2:$A$23,"Q1",'3 Hazed Questions'!$C$2:$C$23,I44)+SUMIFS('3 Hazed Questions'!$N$2:$N$23,'3 Hazed Questions'!$A$2:$A$23,"Q2",'3 Hazed Questions'!$C$2:$C$23,J44)+SUMIFS('3 Hazed Questions'!$N$2:$N$23,'3 Hazed Questions'!$A$2:$A$23,"Q3",'3 Hazed Questions'!$C$2:$C$23,K44)+SUMIFS('3 Hazed Questions'!$N$2:$N$23,'3 Hazed Questions'!$A$2:$A$23,"Q4",'3 Hazed Questions'!$C$2:$C$23,L44))</f>
        <v/>
      </c>
      <c r="X44" s="14" t="str">
        <f aca="false">IF(COUNTA(I44:L44)=0,"",INDEX(Fields!$B$2:$B$50,MATCH(SUBSTITUTE(INDEX($N$1:$W$1,MATCH(MAX($N44:$W44),$N44:$W44,0)),"Score: ",""),Fields!$A$2:$A$50,0)))</f>
        <v/>
      </c>
      <c r="Y44" s="14" t="str">
        <f aca="true">IF(COUNTA(I44:L44)=0,"",IF(LARGE($N44:$W44,2)=0,"-",INDEX(Fields!$B$2:$B$50,MATCH(SUBSTITUTE(INDEX($N$1:$W$1,IF(LARGE($N44:$W44,2)=MAX($N44:$W44),MATCH(MAX($N44:$W44),OFFSET($N44:$W44,0,MATCH(MAX($N44:$W44),$N44:$W44,0),1,10-MATCH(MAX($N44:$W44),$N44:$W44,0)),0)+MATCH(MAX($N44:$W44),$N44:$W44,0),MATCH(LARGE($N44:$W44,2),$N44:$W44,0))),"Score: ",""),Fields!$A$2:$A$50,0))))</f>
        <v/>
      </c>
      <c r="Z44" s="14" t="str">
        <f aca="false">IF(M44="","",IFERROR(INDEX('3 Hazed Questions'!$O$2:$O$23,MATCH(1,INDEX(('3 Hazed Questions'!$A$2:$A$23="Q5")*('3 Hazed Questions'!$C$2:$C$23=M44),0),0))&amp;"",""))</f>
        <v/>
      </c>
      <c r="AA44" s="18"/>
      <c r="AB44" s="18"/>
      <c r="AC44" s="19"/>
      <c r="AD44" s="19"/>
      <c r="AE44" s="18"/>
      <c r="AF44" s="18"/>
      <c r="AG44" s="18"/>
    </row>
    <row r="45" customFormat="false" ht="15" hidden="false" customHeight="false" outlineLevel="0" collapsed="false">
      <c r="A45" s="18"/>
      <c r="B45" s="19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4" t="str">
        <f aca="false">IF(COUNTA(I45:L45)=0,"",SUMIFS('3 Hazed Questions'!$E$2:$E$23,'3 Hazed Questions'!$A$2:$A$23,"Q1",'3 Hazed Questions'!$C$2:$C$23,I45)+SUMIFS('3 Hazed Questions'!$E$2:$E$23,'3 Hazed Questions'!$A$2:$A$23,"Q2",'3 Hazed Questions'!$C$2:$C$23,J45)+SUMIFS('3 Hazed Questions'!$E$2:$E$23,'3 Hazed Questions'!$A$2:$A$23,"Q3",'3 Hazed Questions'!$C$2:$C$23,K45)+SUMIFS('3 Hazed Questions'!$E$2:$E$23,'3 Hazed Questions'!$A$2:$A$23,"Q4",'3 Hazed Questions'!$C$2:$C$23,L45))</f>
        <v/>
      </c>
      <c r="O45" s="14" t="str">
        <f aca="false">IF(COUNTA(I45:L45)=0,"",SUMIFS('3 Hazed Questions'!$F$2:$F$23,'3 Hazed Questions'!$A$2:$A$23,"Q1",'3 Hazed Questions'!$C$2:$C$23,I45)+SUMIFS('3 Hazed Questions'!$F$2:$F$23,'3 Hazed Questions'!$A$2:$A$23,"Q2",'3 Hazed Questions'!$C$2:$C$23,J45)+SUMIFS('3 Hazed Questions'!$F$2:$F$23,'3 Hazed Questions'!$A$2:$A$23,"Q3",'3 Hazed Questions'!$C$2:$C$23,K45)+SUMIFS('3 Hazed Questions'!$F$2:$F$23,'3 Hazed Questions'!$A$2:$A$23,"Q4",'3 Hazed Questions'!$C$2:$C$23,L45))</f>
        <v/>
      </c>
      <c r="P45" s="14" t="str">
        <f aca="false">IF(COUNTA(I45:L45)=0,"",SUMIFS('3 Hazed Questions'!$G$2:$G$23,'3 Hazed Questions'!$A$2:$A$23,"Q1",'3 Hazed Questions'!$C$2:$C$23,I45)+SUMIFS('3 Hazed Questions'!$G$2:$G$23,'3 Hazed Questions'!$A$2:$A$23,"Q2",'3 Hazed Questions'!$C$2:$C$23,J45)+SUMIFS('3 Hazed Questions'!$G$2:$G$23,'3 Hazed Questions'!$A$2:$A$23,"Q3",'3 Hazed Questions'!$C$2:$C$23,K45)+SUMIFS('3 Hazed Questions'!$G$2:$G$23,'3 Hazed Questions'!$A$2:$A$23,"Q4",'3 Hazed Questions'!$C$2:$C$23,L45))</f>
        <v/>
      </c>
      <c r="Q45" s="14" t="str">
        <f aca="false">IF(COUNTA(I45:L45)=0,"",SUMIFS('3 Hazed Questions'!$H$2:$H$23,'3 Hazed Questions'!$A$2:$A$23,"Q1",'3 Hazed Questions'!$C$2:$C$23,I45)+SUMIFS('3 Hazed Questions'!$H$2:$H$23,'3 Hazed Questions'!$A$2:$A$23,"Q2",'3 Hazed Questions'!$C$2:$C$23,J45)+SUMIFS('3 Hazed Questions'!$H$2:$H$23,'3 Hazed Questions'!$A$2:$A$23,"Q3",'3 Hazed Questions'!$C$2:$C$23,K45)+SUMIFS('3 Hazed Questions'!$H$2:$H$23,'3 Hazed Questions'!$A$2:$A$23,"Q4",'3 Hazed Questions'!$C$2:$C$23,L45))</f>
        <v/>
      </c>
      <c r="R45" s="14" t="str">
        <f aca="false">IF(COUNTA(I45:L45)=0,"",SUMIFS('3 Hazed Questions'!$I$2:$I$23,'3 Hazed Questions'!$A$2:$A$23,"Q1",'3 Hazed Questions'!$C$2:$C$23,I45)+SUMIFS('3 Hazed Questions'!$I$2:$I$23,'3 Hazed Questions'!$A$2:$A$23,"Q2",'3 Hazed Questions'!$C$2:$C$23,J45)+SUMIFS('3 Hazed Questions'!$I$2:$I$23,'3 Hazed Questions'!$A$2:$A$23,"Q3",'3 Hazed Questions'!$C$2:$C$23,K45)+SUMIFS('3 Hazed Questions'!$I$2:$I$23,'3 Hazed Questions'!$A$2:$A$23,"Q4",'3 Hazed Questions'!$C$2:$C$23,L45))</f>
        <v/>
      </c>
      <c r="S45" s="14" t="str">
        <f aca="false">IF(COUNTA(I45:L45)=0,"",SUMIFS('3 Hazed Questions'!$J$2:$J$23,'3 Hazed Questions'!$A$2:$A$23,"Q1",'3 Hazed Questions'!$C$2:$C$23,I45)+SUMIFS('3 Hazed Questions'!$J$2:$J$23,'3 Hazed Questions'!$A$2:$A$23,"Q2",'3 Hazed Questions'!$C$2:$C$23,J45)+SUMIFS('3 Hazed Questions'!$J$2:$J$23,'3 Hazed Questions'!$A$2:$A$23,"Q3",'3 Hazed Questions'!$C$2:$C$23,K45)+SUMIFS('3 Hazed Questions'!$J$2:$J$23,'3 Hazed Questions'!$A$2:$A$23,"Q4",'3 Hazed Questions'!$C$2:$C$23,L45))</f>
        <v/>
      </c>
      <c r="T45" s="14" t="str">
        <f aca="false">IF(COUNTA(I45:L45)=0,"",SUMIFS('3 Hazed Questions'!$K$2:$K$23,'3 Hazed Questions'!$A$2:$A$23,"Q1",'3 Hazed Questions'!$C$2:$C$23,I45)+SUMIFS('3 Hazed Questions'!$K$2:$K$23,'3 Hazed Questions'!$A$2:$A$23,"Q2",'3 Hazed Questions'!$C$2:$C$23,J45)+SUMIFS('3 Hazed Questions'!$K$2:$K$23,'3 Hazed Questions'!$A$2:$A$23,"Q3",'3 Hazed Questions'!$C$2:$C$23,K45)+SUMIFS('3 Hazed Questions'!$K$2:$K$23,'3 Hazed Questions'!$A$2:$A$23,"Q4",'3 Hazed Questions'!$C$2:$C$23,L45))</f>
        <v/>
      </c>
      <c r="U45" s="14" t="str">
        <f aca="false">IF(COUNTA(I45:L45)=0,"",SUMIFS('3 Hazed Questions'!$L$2:$L$23,'3 Hazed Questions'!$A$2:$A$23,"Q1",'3 Hazed Questions'!$C$2:$C$23,I45)+SUMIFS('3 Hazed Questions'!$L$2:$L$23,'3 Hazed Questions'!$A$2:$A$23,"Q2",'3 Hazed Questions'!$C$2:$C$23,J45)+SUMIFS('3 Hazed Questions'!$L$2:$L$23,'3 Hazed Questions'!$A$2:$A$23,"Q3",'3 Hazed Questions'!$C$2:$C$23,K45)+SUMIFS('3 Hazed Questions'!$L$2:$L$23,'3 Hazed Questions'!$A$2:$A$23,"Q4",'3 Hazed Questions'!$C$2:$C$23,L45))</f>
        <v/>
      </c>
      <c r="V45" s="14" t="str">
        <f aca="false">IF(COUNTA(I45:L45)=0,"",SUMIFS('3 Hazed Questions'!$M$2:$M$23,'3 Hazed Questions'!$A$2:$A$23,"Q1",'3 Hazed Questions'!$C$2:$C$23,I45)+SUMIFS('3 Hazed Questions'!$M$2:$M$23,'3 Hazed Questions'!$A$2:$A$23,"Q2",'3 Hazed Questions'!$C$2:$C$23,J45)+SUMIFS('3 Hazed Questions'!$M$2:$M$23,'3 Hazed Questions'!$A$2:$A$23,"Q3",'3 Hazed Questions'!$C$2:$C$23,K45)+SUMIFS('3 Hazed Questions'!$M$2:$M$23,'3 Hazed Questions'!$A$2:$A$23,"Q4",'3 Hazed Questions'!$C$2:$C$23,L45))</f>
        <v/>
      </c>
      <c r="W45" s="14" t="str">
        <f aca="false">IF(COUNTA(I45:L45)=0,"",SUMIFS('3 Hazed Questions'!$N$2:$N$23,'3 Hazed Questions'!$A$2:$A$23,"Q1",'3 Hazed Questions'!$C$2:$C$23,I45)+SUMIFS('3 Hazed Questions'!$N$2:$N$23,'3 Hazed Questions'!$A$2:$A$23,"Q2",'3 Hazed Questions'!$C$2:$C$23,J45)+SUMIFS('3 Hazed Questions'!$N$2:$N$23,'3 Hazed Questions'!$A$2:$A$23,"Q3",'3 Hazed Questions'!$C$2:$C$23,K45)+SUMIFS('3 Hazed Questions'!$N$2:$N$23,'3 Hazed Questions'!$A$2:$A$23,"Q4",'3 Hazed Questions'!$C$2:$C$23,L45))</f>
        <v/>
      </c>
      <c r="X45" s="14" t="str">
        <f aca="false">IF(COUNTA(I45:L45)=0,"",INDEX(Fields!$B$2:$B$50,MATCH(SUBSTITUTE(INDEX($N$1:$W$1,MATCH(MAX($N45:$W45),$N45:$W45,0)),"Score: ",""),Fields!$A$2:$A$50,0)))</f>
        <v/>
      </c>
      <c r="Y45" s="14" t="str">
        <f aca="true">IF(COUNTA(I45:L45)=0,"",IF(LARGE($N45:$W45,2)=0,"-",INDEX(Fields!$B$2:$B$50,MATCH(SUBSTITUTE(INDEX($N$1:$W$1,IF(LARGE($N45:$W45,2)=MAX($N45:$W45),MATCH(MAX($N45:$W45),OFFSET($N45:$W45,0,MATCH(MAX($N45:$W45),$N45:$W45,0),1,10-MATCH(MAX($N45:$W45),$N45:$W45,0)),0)+MATCH(MAX($N45:$W45),$N45:$W45,0),MATCH(LARGE($N45:$W45,2),$N45:$W45,0))),"Score: ",""),Fields!$A$2:$A$50,0))))</f>
        <v/>
      </c>
      <c r="Z45" s="14" t="str">
        <f aca="false">IF(M45="","",IFERROR(INDEX('3 Hazed Questions'!$O$2:$O$23,MATCH(1,INDEX(('3 Hazed Questions'!$A$2:$A$23="Q5")*('3 Hazed Questions'!$C$2:$C$23=M45),0),0))&amp;"",""))</f>
        <v/>
      </c>
      <c r="AA45" s="18"/>
      <c r="AB45" s="18"/>
      <c r="AC45" s="19"/>
      <c r="AD45" s="19"/>
      <c r="AE45" s="18"/>
      <c r="AF45" s="18"/>
      <c r="AG45" s="18"/>
    </row>
    <row r="46" customFormat="false" ht="15" hidden="false" customHeight="false" outlineLevel="0" collapsed="false">
      <c r="A46" s="18"/>
      <c r="B46" s="19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4" t="str">
        <f aca="false">IF(COUNTA(I46:L46)=0,"",SUMIFS('3 Hazed Questions'!$E$2:$E$23,'3 Hazed Questions'!$A$2:$A$23,"Q1",'3 Hazed Questions'!$C$2:$C$23,I46)+SUMIFS('3 Hazed Questions'!$E$2:$E$23,'3 Hazed Questions'!$A$2:$A$23,"Q2",'3 Hazed Questions'!$C$2:$C$23,J46)+SUMIFS('3 Hazed Questions'!$E$2:$E$23,'3 Hazed Questions'!$A$2:$A$23,"Q3",'3 Hazed Questions'!$C$2:$C$23,K46)+SUMIFS('3 Hazed Questions'!$E$2:$E$23,'3 Hazed Questions'!$A$2:$A$23,"Q4",'3 Hazed Questions'!$C$2:$C$23,L46))</f>
        <v/>
      </c>
      <c r="O46" s="14" t="str">
        <f aca="false">IF(COUNTA(I46:L46)=0,"",SUMIFS('3 Hazed Questions'!$F$2:$F$23,'3 Hazed Questions'!$A$2:$A$23,"Q1",'3 Hazed Questions'!$C$2:$C$23,I46)+SUMIFS('3 Hazed Questions'!$F$2:$F$23,'3 Hazed Questions'!$A$2:$A$23,"Q2",'3 Hazed Questions'!$C$2:$C$23,J46)+SUMIFS('3 Hazed Questions'!$F$2:$F$23,'3 Hazed Questions'!$A$2:$A$23,"Q3",'3 Hazed Questions'!$C$2:$C$23,K46)+SUMIFS('3 Hazed Questions'!$F$2:$F$23,'3 Hazed Questions'!$A$2:$A$23,"Q4",'3 Hazed Questions'!$C$2:$C$23,L46))</f>
        <v/>
      </c>
      <c r="P46" s="14" t="str">
        <f aca="false">IF(COUNTA(I46:L46)=0,"",SUMIFS('3 Hazed Questions'!$G$2:$G$23,'3 Hazed Questions'!$A$2:$A$23,"Q1",'3 Hazed Questions'!$C$2:$C$23,I46)+SUMIFS('3 Hazed Questions'!$G$2:$G$23,'3 Hazed Questions'!$A$2:$A$23,"Q2",'3 Hazed Questions'!$C$2:$C$23,J46)+SUMIFS('3 Hazed Questions'!$G$2:$G$23,'3 Hazed Questions'!$A$2:$A$23,"Q3",'3 Hazed Questions'!$C$2:$C$23,K46)+SUMIFS('3 Hazed Questions'!$G$2:$G$23,'3 Hazed Questions'!$A$2:$A$23,"Q4",'3 Hazed Questions'!$C$2:$C$23,L46))</f>
        <v/>
      </c>
      <c r="Q46" s="14" t="str">
        <f aca="false">IF(COUNTA(I46:L46)=0,"",SUMIFS('3 Hazed Questions'!$H$2:$H$23,'3 Hazed Questions'!$A$2:$A$23,"Q1",'3 Hazed Questions'!$C$2:$C$23,I46)+SUMIFS('3 Hazed Questions'!$H$2:$H$23,'3 Hazed Questions'!$A$2:$A$23,"Q2",'3 Hazed Questions'!$C$2:$C$23,J46)+SUMIFS('3 Hazed Questions'!$H$2:$H$23,'3 Hazed Questions'!$A$2:$A$23,"Q3",'3 Hazed Questions'!$C$2:$C$23,K46)+SUMIFS('3 Hazed Questions'!$H$2:$H$23,'3 Hazed Questions'!$A$2:$A$23,"Q4",'3 Hazed Questions'!$C$2:$C$23,L46))</f>
        <v/>
      </c>
      <c r="R46" s="14" t="str">
        <f aca="false">IF(COUNTA(I46:L46)=0,"",SUMIFS('3 Hazed Questions'!$I$2:$I$23,'3 Hazed Questions'!$A$2:$A$23,"Q1",'3 Hazed Questions'!$C$2:$C$23,I46)+SUMIFS('3 Hazed Questions'!$I$2:$I$23,'3 Hazed Questions'!$A$2:$A$23,"Q2",'3 Hazed Questions'!$C$2:$C$23,J46)+SUMIFS('3 Hazed Questions'!$I$2:$I$23,'3 Hazed Questions'!$A$2:$A$23,"Q3",'3 Hazed Questions'!$C$2:$C$23,K46)+SUMIFS('3 Hazed Questions'!$I$2:$I$23,'3 Hazed Questions'!$A$2:$A$23,"Q4",'3 Hazed Questions'!$C$2:$C$23,L46))</f>
        <v/>
      </c>
      <c r="S46" s="14" t="str">
        <f aca="false">IF(COUNTA(I46:L46)=0,"",SUMIFS('3 Hazed Questions'!$J$2:$J$23,'3 Hazed Questions'!$A$2:$A$23,"Q1",'3 Hazed Questions'!$C$2:$C$23,I46)+SUMIFS('3 Hazed Questions'!$J$2:$J$23,'3 Hazed Questions'!$A$2:$A$23,"Q2",'3 Hazed Questions'!$C$2:$C$23,J46)+SUMIFS('3 Hazed Questions'!$J$2:$J$23,'3 Hazed Questions'!$A$2:$A$23,"Q3",'3 Hazed Questions'!$C$2:$C$23,K46)+SUMIFS('3 Hazed Questions'!$J$2:$J$23,'3 Hazed Questions'!$A$2:$A$23,"Q4",'3 Hazed Questions'!$C$2:$C$23,L46))</f>
        <v/>
      </c>
      <c r="T46" s="14" t="str">
        <f aca="false">IF(COUNTA(I46:L46)=0,"",SUMIFS('3 Hazed Questions'!$K$2:$K$23,'3 Hazed Questions'!$A$2:$A$23,"Q1",'3 Hazed Questions'!$C$2:$C$23,I46)+SUMIFS('3 Hazed Questions'!$K$2:$K$23,'3 Hazed Questions'!$A$2:$A$23,"Q2",'3 Hazed Questions'!$C$2:$C$23,J46)+SUMIFS('3 Hazed Questions'!$K$2:$K$23,'3 Hazed Questions'!$A$2:$A$23,"Q3",'3 Hazed Questions'!$C$2:$C$23,K46)+SUMIFS('3 Hazed Questions'!$K$2:$K$23,'3 Hazed Questions'!$A$2:$A$23,"Q4",'3 Hazed Questions'!$C$2:$C$23,L46))</f>
        <v/>
      </c>
      <c r="U46" s="14" t="str">
        <f aca="false">IF(COUNTA(I46:L46)=0,"",SUMIFS('3 Hazed Questions'!$L$2:$L$23,'3 Hazed Questions'!$A$2:$A$23,"Q1",'3 Hazed Questions'!$C$2:$C$23,I46)+SUMIFS('3 Hazed Questions'!$L$2:$L$23,'3 Hazed Questions'!$A$2:$A$23,"Q2",'3 Hazed Questions'!$C$2:$C$23,J46)+SUMIFS('3 Hazed Questions'!$L$2:$L$23,'3 Hazed Questions'!$A$2:$A$23,"Q3",'3 Hazed Questions'!$C$2:$C$23,K46)+SUMIFS('3 Hazed Questions'!$L$2:$L$23,'3 Hazed Questions'!$A$2:$A$23,"Q4",'3 Hazed Questions'!$C$2:$C$23,L46))</f>
        <v/>
      </c>
      <c r="V46" s="14" t="str">
        <f aca="false">IF(COUNTA(I46:L46)=0,"",SUMIFS('3 Hazed Questions'!$M$2:$M$23,'3 Hazed Questions'!$A$2:$A$23,"Q1",'3 Hazed Questions'!$C$2:$C$23,I46)+SUMIFS('3 Hazed Questions'!$M$2:$M$23,'3 Hazed Questions'!$A$2:$A$23,"Q2",'3 Hazed Questions'!$C$2:$C$23,J46)+SUMIFS('3 Hazed Questions'!$M$2:$M$23,'3 Hazed Questions'!$A$2:$A$23,"Q3",'3 Hazed Questions'!$C$2:$C$23,K46)+SUMIFS('3 Hazed Questions'!$M$2:$M$23,'3 Hazed Questions'!$A$2:$A$23,"Q4",'3 Hazed Questions'!$C$2:$C$23,L46))</f>
        <v/>
      </c>
      <c r="W46" s="14" t="str">
        <f aca="false">IF(COUNTA(I46:L46)=0,"",SUMIFS('3 Hazed Questions'!$N$2:$N$23,'3 Hazed Questions'!$A$2:$A$23,"Q1",'3 Hazed Questions'!$C$2:$C$23,I46)+SUMIFS('3 Hazed Questions'!$N$2:$N$23,'3 Hazed Questions'!$A$2:$A$23,"Q2",'3 Hazed Questions'!$C$2:$C$23,J46)+SUMIFS('3 Hazed Questions'!$N$2:$N$23,'3 Hazed Questions'!$A$2:$A$23,"Q3",'3 Hazed Questions'!$C$2:$C$23,K46)+SUMIFS('3 Hazed Questions'!$N$2:$N$23,'3 Hazed Questions'!$A$2:$A$23,"Q4",'3 Hazed Questions'!$C$2:$C$23,L46))</f>
        <v/>
      </c>
      <c r="X46" s="14" t="str">
        <f aca="false">IF(COUNTA(I46:L46)=0,"",INDEX(Fields!$B$2:$B$50,MATCH(SUBSTITUTE(INDEX($N$1:$W$1,MATCH(MAX($N46:$W46),$N46:$W46,0)),"Score: ",""),Fields!$A$2:$A$50,0)))</f>
        <v/>
      </c>
      <c r="Y46" s="14" t="str">
        <f aca="true">IF(COUNTA(I46:L46)=0,"",IF(LARGE($N46:$W46,2)=0,"-",INDEX(Fields!$B$2:$B$50,MATCH(SUBSTITUTE(INDEX($N$1:$W$1,IF(LARGE($N46:$W46,2)=MAX($N46:$W46),MATCH(MAX($N46:$W46),OFFSET($N46:$W46,0,MATCH(MAX($N46:$W46),$N46:$W46,0),1,10-MATCH(MAX($N46:$W46),$N46:$W46,0)),0)+MATCH(MAX($N46:$W46),$N46:$W46,0),MATCH(LARGE($N46:$W46,2),$N46:$W46,0))),"Score: ",""),Fields!$A$2:$A$50,0))))</f>
        <v/>
      </c>
      <c r="Z46" s="14" t="str">
        <f aca="false">IF(M46="","",IFERROR(INDEX('3 Hazed Questions'!$O$2:$O$23,MATCH(1,INDEX(('3 Hazed Questions'!$A$2:$A$23="Q5")*('3 Hazed Questions'!$C$2:$C$23=M46),0),0))&amp;"",""))</f>
        <v/>
      </c>
      <c r="AA46" s="18"/>
      <c r="AB46" s="18"/>
      <c r="AC46" s="19"/>
      <c r="AD46" s="19"/>
      <c r="AE46" s="18"/>
      <c r="AF46" s="18"/>
      <c r="AG46" s="18"/>
    </row>
    <row r="47" customFormat="false" ht="15" hidden="false" customHeight="false" outlineLevel="0" collapsed="false">
      <c r="A47" s="18"/>
      <c r="B47" s="19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4" t="str">
        <f aca="false">IF(COUNTA(I47:L47)=0,"",SUMIFS('3 Hazed Questions'!$E$2:$E$23,'3 Hazed Questions'!$A$2:$A$23,"Q1",'3 Hazed Questions'!$C$2:$C$23,I47)+SUMIFS('3 Hazed Questions'!$E$2:$E$23,'3 Hazed Questions'!$A$2:$A$23,"Q2",'3 Hazed Questions'!$C$2:$C$23,J47)+SUMIFS('3 Hazed Questions'!$E$2:$E$23,'3 Hazed Questions'!$A$2:$A$23,"Q3",'3 Hazed Questions'!$C$2:$C$23,K47)+SUMIFS('3 Hazed Questions'!$E$2:$E$23,'3 Hazed Questions'!$A$2:$A$23,"Q4",'3 Hazed Questions'!$C$2:$C$23,L47))</f>
        <v/>
      </c>
      <c r="O47" s="14" t="str">
        <f aca="false">IF(COUNTA(I47:L47)=0,"",SUMIFS('3 Hazed Questions'!$F$2:$F$23,'3 Hazed Questions'!$A$2:$A$23,"Q1",'3 Hazed Questions'!$C$2:$C$23,I47)+SUMIFS('3 Hazed Questions'!$F$2:$F$23,'3 Hazed Questions'!$A$2:$A$23,"Q2",'3 Hazed Questions'!$C$2:$C$23,J47)+SUMIFS('3 Hazed Questions'!$F$2:$F$23,'3 Hazed Questions'!$A$2:$A$23,"Q3",'3 Hazed Questions'!$C$2:$C$23,K47)+SUMIFS('3 Hazed Questions'!$F$2:$F$23,'3 Hazed Questions'!$A$2:$A$23,"Q4",'3 Hazed Questions'!$C$2:$C$23,L47))</f>
        <v/>
      </c>
      <c r="P47" s="14" t="str">
        <f aca="false">IF(COUNTA(I47:L47)=0,"",SUMIFS('3 Hazed Questions'!$G$2:$G$23,'3 Hazed Questions'!$A$2:$A$23,"Q1",'3 Hazed Questions'!$C$2:$C$23,I47)+SUMIFS('3 Hazed Questions'!$G$2:$G$23,'3 Hazed Questions'!$A$2:$A$23,"Q2",'3 Hazed Questions'!$C$2:$C$23,J47)+SUMIFS('3 Hazed Questions'!$G$2:$G$23,'3 Hazed Questions'!$A$2:$A$23,"Q3",'3 Hazed Questions'!$C$2:$C$23,K47)+SUMIFS('3 Hazed Questions'!$G$2:$G$23,'3 Hazed Questions'!$A$2:$A$23,"Q4",'3 Hazed Questions'!$C$2:$C$23,L47))</f>
        <v/>
      </c>
      <c r="Q47" s="14" t="str">
        <f aca="false">IF(COUNTA(I47:L47)=0,"",SUMIFS('3 Hazed Questions'!$H$2:$H$23,'3 Hazed Questions'!$A$2:$A$23,"Q1",'3 Hazed Questions'!$C$2:$C$23,I47)+SUMIFS('3 Hazed Questions'!$H$2:$H$23,'3 Hazed Questions'!$A$2:$A$23,"Q2",'3 Hazed Questions'!$C$2:$C$23,J47)+SUMIFS('3 Hazed Questions'!$H$2:$H$23,'3 Hazed Questions'!$A$2:$A$23,"Q3",'3 Hazed Questions'!$C$2:$C$23,K47)+SUMIFS('3 Hazed Questions'!$H$2:$H$23,'3 Hazed Questions'!$A$2:$A$23,"Q4",'3 Hazed Questions'!$C$2:$C$23,L47))</f>
        <v/>
      </c>
      <c r="R47" s="14" t="str">
        <f aca="false">IF(COUNTA(I47:L47)=0,"",SUMIFS('3 Hazed Questions'!$I$2:$I$23,'3 Hazed Questions'!$A$2:$A$23,"Q1",'3 Hazed Questions'!$C$2:$C$23,I47)+SUMIFS('3 Hazed Questions'!$I$2:$I$23,'3 Hazed Questions'!$A$2:$A$23,"Q2",'3 Hazed Questions'!$C$2:$C$23,J47)+SUMIFS('3 Hazed Questions'!$I$2:$I$23,'3 Hazed Questions'!$A$2:$A$23,"Q3",'3 Hazed Questions'!$C$2:$C$23,K47)+SUMIFS('3 Hazed Questions'!$I$2:$I$23,'3 Hazed Questions'!$A$2:$A$23,"Q4",'3 Hazed Questions'!$C$2:$C$23,L47))</f>
        <v/>
      </c>
      <c r="S47" s="14" t="str">
        <f aca="false">IF(COUNTA(I47:L47)=0,"",SUMIFS('3 Hazed Questions'!$J$2:$J$23,'3 Hazed Questions'!$A$2:$A$23,"Q1",'3 Hazed Questions'!$C$2:$C$23,I47)+SUMIFS('3 Hazed Questions'!$J$2:$J$23,'3 Hazed Questions'!$A$2:$A$23,"Q2",'3 Hazed Questions'!$C$2:$C$23,J47)+SUMIFS('3 Hazed Questions'!$J$2:$J$23,'3 Hazed Questions'!$A$2:$A$23,"Q3",'3 Hazed Questions'!$C$2:$C$23,K47)+SUMIFS('3 Hazed Questions'!$J$2:$J$23,'3 Hazed Questions'!$A$2:$A$23,"Q4",'3 Hazed Questions'!$C$2:$C$23,L47))</f>
        <v/>
      </c>
      <c r="T47" s="14" t="str">
        <f aca="false">IF(COUNTA(I47:L47)=0,"",SUMIFS('3 Hazed Questions'!$K$2:$K$23,'3 Hazed Questions'!$A$2:$A$23,"Q1",'3 Hazed Questions'!$C$2:$C$23,I47)+SUMIFS('3 Hazed Questions'!$K$2:$K$23,'3 Hazed Questions'!$A$2:$A$23,"Q2",'3 Hazed Questions'!$C$2:$C$23,J47)+SUMIFS('3 Hazed Questions'!$K$2:$K$23,'3 Hazed Questions'!$A$2:$A$23,"Q3",'3 Hazed Questions'!$C$2:$C$23,K47)+SUMIFS('3 Hazed Questions'!$K$2:$K$23,'3 Hazed Questions'!$A$2:$A$23,"Q4",'3 Hazed Questions'!$C$2:$C$23,L47))</f>
        <v/>
      </c>
      <c r="U47" s="14" t="str">
        <f aca="false">IF(COUNTA(I47:L47)=0,"",SUMIFS('3 Hazed Questions'!$L$2:$L$23,'3 Hazed Questions'!$A$2:$A$23,"Q1",'3 Hazed Questions'!$C$2:$C$23,I47)+SUMIFS('3 Hazed Questions'!$L$2:$L$23,'3 Hazed Questions'!$A$2:$A$23,"Q2",'3 Hazed Questions'!$C$2:$C$23,J47)+SUMIFS('3 Hazed Questions'!$L$2:$L$23,'3 Hazed Questions'!$A$2:$A$23,"Q3",'3 Hazed Questions'!$C$2:$C$23,K47)+SUMIFS('3 Hazed Questions'!$L$2:$L$23,'3 Hazed Questions'!$A$2:$A$23,"Q4",'3 Hazed Questions'!$C$2:$C$23,L47))</f>
        <v/>
      </c>
      <c r="V47" s="14" t="str">
        <f aca="false">IF(COUNTA(I47:L47)=0,"",SUMIFS('3 Hazed Questions'!$M$2:$M$23,'3 Hazed Questions'!$A$2:$A$23,"Q1",'3 Hazed Questions'!$C$2:$C$23,I47)+SUMIFS('3 Hazed Questions'!$M$2:$M$23,'3 Hazed Questions'!$A$2:$A$23,"Q2",'3 Hazed Questions'!$C$2:$C$23,J47)+SUMIFS('3 Hazed Questions'!$M$2:$M$23,'3 Hazed Questions'!$A$2:$A$23,"Q3",'3 Hazed Questions'!$C$2:$C$23,K47)+SUMIFS('3 Hazed Questions'!$M$2:$M$23,'3 Hazed Questions'!$A$2:$A$23,"Q4",'3 Hazed Questions'!$C$2:$C$23,L47))</f>
        <v/>
      </c>
      <c r="W47" s="14" t="str">
        <f aca="false">IF(COUNTA(I47:L47)=0,"",SUMIFS('3 Hazed Questions'!$N$2:$N$23,'3 Hazed Questions'!$A$2:$A$23,"Q1",'3 Hazed Questions'!$C$2:$C$23,I47)+SUMIFS('3 Hazed Questions'!$N$2:$N$23,'3 Hazed Questions'!$A$2:$A$23,"Q2",'3 Hazed Questions'!$C$2:$C$23,J47)+SUMIFS('3 Hazed Questions'!$N$2:$N$23,'3 Hazed Questions'!$A$2:$A$23,"Q3",'3 Hazed Questions'!$C$2:$C$23,K47)+SUMIFS('3 Hazed Questions'!$N$2:$N$23,'3 Hazed Questions'!$A$2:$A$23,"Q4",'3 Hazed Questions'!$C$2:$C$23,L47))</f>
        <v/>
      </c>
      <c r="X47" s="14" t="str">
        <f aca="false">IF(COUNTA(I47:L47)=0,"",INDEX(Fields!$B$2:$B$50,MATCH(SUBSTITUTE(INDEX($N$1:$W$1,MATCH(MAX($N47:$W47),$N47:$W47,0)),"Score: ",""),Fields!$A$2:$A$50,0)))</f>
        <v/>
      </c>
      <c r="Y47" s="14" t="str">
        <f aca="true">IF(COUNTA(I47:L47)=0,"",IF(LARGE($N47:$W47,2)=0,"-",INDEX(Fields!$B$2:$B$50,MATCH(SUBSTITUTE(INDEX($N$1:$W$1,IF(LARGE($N47:$W47,2)=MAX($N47:$W47),MATCH(MAX($N47:$W47),OFFSET($N47:$W47,0,MATCH(MAX($N47:$W47),$N47:$W47,0),1,10-MATCH(MAX($N47:$W47),$N47:$W47,0)),0)+MATCH(MAX($N47:$W47),$N47:$W47,0),MATCH(LARGE($N47:$W47,2),$N47:$W47,0))),"Score: ",""),Fields!$A$2:$A$50,0))))</f>
        <v/>
      </c>
      <c r="Z47" s="14" t="str">
        <f aca="false">IF(M47="","",IFERROR(INDEX('3 Hazed Questions'!$O$2:$O$23,MATCH(1,INDEX(('3 Hazed Questions'!$A$2:$A$23="Q5")*('3 Hazed Questions'!$C$2:$C$23=M47),0),0))&amp;"",""))</f>
        <v/>
      </c>
      <c r="AA47" s="18"/>
      <c r="AB47" s="18"/>
      <c r="AC47" s="19"/>
      <c r="AD47" s="19"/>
      <c r="AE47" s="18"/>
      <c r="AF47" s="18"/>
      <c r="AG47" s="18"/>
    </row>
    <row r="48" customFormat="false" ht="15" hidden="false" customHeight="false" outlineLevel="0" collapsed="false">
      <c r="A48" s="18"/>
      <c r="B48" s="19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4" t="str">
        <f aca="false">IF(COUNTA(I48:L48)=0,"",SUMIFS('3 Hazed Questions'!$E$2:$E$23,'3 Hazed Questions'!$A$2:$A$23,"Q1",'3 Hazed Questions'!$C$2:$C$23,I48)+SUMIFS('3 Hazed Questions'!$E$2:$E$23,'3 Hazed Questions'!$A$2:$A$23,"Q2",'3 Hazed Questions'!$C$2:$C$23,J48)+SUMIFS('3 Hazed Questions'!$E$2:$E$23,'3 Hazed Questions'!$A$2:$A$23,"Q3",'3 Hazed Questions'!$C$2:$C$23,K48)+SUMIFS('3 Hazed Questions'!$E$2:$E$23,'3 Hazed Questions'!$A$2:$A$23,"Q4",'3 Hazed Questions'!$C$2:$C$23,L48))</f>
        <v/>
      </c>
      <c r="O48" s="14" t="str">
        <f aca="false">IF(COUNTA(I48:L48)=0,"",SUMIFS('3 Hazed Questions'!$F$2:$F$23,'3 Hazed Questions'!$A$2:$A$23,"Q1",'3 Hazed Questions'!$C$2:$C$23,I48)+SUMIFS('3 Hazed Questions'!$F$2:$F$23,'3 Hazed Questions'!$A$2:$A$23,"Q2",'3 Hazed Questions'!$C$2:$C$23,J48)+SUMIFS('3 Hazed Questions'!$F$2:$F$23,'3 Hazed Questions'!$A$2:$A$23,"Q3",'3 Hazed Questions'!$C$2:$C$23,K48)+SUMIFS('3 Hazed Questions'!$F$2:$F$23,'3 Hazed Questions'!$A$2:$A$23,"Q4",'3 Hazed Questions'!$C$2:$C$23,L48))</f>
        <v/>
      </c>
      <c r="P48" s="14" t="str">
        <f aca="false">IF(COUNTA(I48:L48)=0,"",SUMIFS('3 Hazed Questions'!$G$2:$G$23,'3 Hazed Questions'!$A$2:$A$23,"Q1",'3 Hazed Questions'!$C$2:$C$23,I48)+SUMIFS('3 Hazed Questions'!$G$2:$G$23,'3 Hazed Questions'!$A$2:$A$23,"Q2",'3 Hazed Questions'!$C$2:$C$23,J48)+SUMIFS('3 Hazed Questions'!$G$2:$G$23,'3 Hazed Questions'!$A$2:$A$23,"Q3",'3 Hazed Questions'!$C$2:$C$23,K48)+SUMIFS('3 Hazed Questions'!$G$2:$G$23,'3 Hazed Questions'!$A$2:$A$23,"Q4",'3 Hazed Questions'!$C$2:$C$23,L48))</f>
        <v/>
      </c>
      <c r="Q48" s="14" t="str">
        <f aca="false">IF(COUNTA(I48:L48)=0,"",SUMIFS('3 Hazed Questions'!$H$2:$H$23,'3 Hazed Questions'!$A$2:$A$23,"Q1",'3 Hazed Questions'!$C$2:$C$23,I48)+SUMIFS('3 Hazed Questions'!$H$2:$H$23,'3 Hazed Questions'!$A$2:$A$23,"Q2",'3 Hazed Questions'!$C$2:$C$23,J48)+SUMIFS('3 Hazed Questions'!$H$2:$H$23,'3 Hazed Questions'!$A$2:$A$23,"Q3",'3 Hazed Questions'!$C$2:$C$23,K48)+SUMIFS('3 Hazed Questions'!$H$2:$H$23,'3 Hazed Questions'!$A$2:$A$23,"Q4",'3 Hazed Questions'!$C$2:$C$23,L48))</f>
        <v/>
      </c>
      <c r="R48" s="14" t="str">
        <f aca="false">IF(COUNTA(I48:L48)=0,"",SUMIFS('3 Hazed Questions'!$I$2:$I$23,'3 Hazed Questions'!$A$2:$A$23,"Q1",'3 Hazed Questions'!$C$2:$C$23,I48)+SUMIFS('3 Hazed Questions'!$I$2:$I$23,'3 Hazed Questions'!$A$2:$A$23,"Q2",'3 Hazed Questions'!$C$2:$C$23,J48)+SUMIFS('3 Hazed Questions'!$I$2:$I$23,'3 Hazed Questions'!$A$2:$A$23,"Q3",'3 Hazed Questions'!$C$2:$C$23,K48)+SUMIFS('3 Hazed Questions'!$I$2:$I$23,'3 Hazed Questions'!$A$2:$A$23,"Q4",'3 Hazed Questions'!$C$2:$C$23,L48))</f>
        <v/>
      </c>
      <c r="S48" s="14" t="str">
        <f aca="false">IF(COUNTA(I48:L48)=0,"",SUMIFS('3 Hazed Questions'!$J$2:$J$23,'3 Hazed Questions'!$A$2:$A$23,"Q1",'3 Hazed Questions'!$C$2:$C$23,I48)+SUMIFS('3 Hazed Questions'!$J$2:$J$23,'3 Hazed Questions'!$A$2:$A$23,"Q2",'3 Hazed Questions'!$C$2:$C$23,J48)+SUMIFS('3 Hazed Questions'!$J$2:$J$23,'3 Hazed Questions'!$A$2:$A$23,"Q3",'3 Hazed Questions'!$C$2:$C$23,K48)+SUMIFS('3 Hazed Questions'!$J$2:$J$23,'3 Hazed Questions'!$A$2:$A$23,"Q4",'3 Hazed Questions'!$C$2:$C$23,L48))</f>
        <v/>
      </c>
      <c r="T48" s="14" t="str">
        <f aca="false">IF(COUNTA(I48:L48)=0,"",SUMIFS('3 Hazed Questions'!$K$2:$K$23,'3 Hazed Questions'!$A$2:$A$23,"Q1",'3 Hazed Questions'!$C$2:$C$23,I48)+SUMIFS('3 Hazed Questions'!$K$2:$K$23,'3 Hazed Questions'!$A$2:$A$23,"Q2",'3 Hazed Questions'!$C$2:$C$23,J48)+SUMIFS('3 Hazed Questions'!$K$2:$K$23,'3 Hazed Questions'!$A$2:$A$23,"Q3",'3 Hazed Questions'!$C$2:$C$23,K48)+SUMIFS('3 Hazed Questions'!$K$2:$K$23,'3 Hazed Questions'!$A$2:$A$23,"Q4",'3 Hazed Questions'!$C$2:$C$23,L48))</f>
        <v/>
      </c>
      <c r="U48" s="14" t="str">
        <f aca="false">IF(COUNTA(I48:L48)=0,"",SUMIFS('3 Hazed Questions'!$L$2:$L$23,'3 Hazed Questions'!$A$2:$A$23,"Q1",'3 Hazed Questions'!$C$2:$C$23,I48)+SUMIFS('3 Hazed Questions'!$L$2:$L$23,'3 Hazed Questions'!$A$2:$A$23,"Q2",'3 Hazed Questions'!$C$2:$C$23,J48)+SUMIFS('3 Hazed Questions'!$L$2:$L$23,'3 Hazed Questions'!$A$2:$A$23,"Q3",'3 Hazed Questions'!$C$2:$C$23,K48)+SUMIFS('3 Hazed Questions'!$L$2:$L$23,'3 Hazed Questions'!$A$2:$A$23,"Q4",'3 Hazed Questions'!$C$2:$C$23,L48))</f>
        <v/>
      </c>
      <c r="V48" s="14" t="str">
        <f aca="false">IF(COUNTA(I48:L48)=0,"",SUMIFS('3 Hazed Questions'!$M$2:$M$23,'3 Hazed Questions'!$A$2:$A$23,"Q1",'3 Hazed Questions'!$C$2:$C$23,I48)+SUMIFS('3 Hazed Questions'!$M$2:$M$23,'3 Hazed Questions'!$A$2:$A$23,"Q2",'3 Hazed Questions'!$C$2:$C$23,J48)+SUMIFS('3 Hazed Questions'!$M$2:$M$23,'3 Hazed Questions'!$A$2:$A$23,"Q3",'3 Hazed Questions'!$C$2:$C$23,K48)+SUMIFS('3 Hazed Questions'!$M$2:$M$23,'3 Hazed Questions'!$A$2:$A$23,"Q4",'3 Hazed Questions'!$C$2:$C$23,L48))</f>
        <v/>
      </c>
      <c r="W48" s="14" t="str">
        <f aca="false">IF(COUNTA(I48:L48)=0,"",SUMIFS('3 Hazed Questions'!$N$2:$N$23,'3 Hazed Questions'!$A$2:$A$23,"Q1",'3 Hazed Questions'!$C$2:$C$23,I48)+SUMIFS('3 Hazed Questions'!$N$2:$N$23,'3 Hazed Questions'!$A$2:$A$23,"Q2",'3 Hazed Questions'!$C$2:$C$23,J48)+SUMIFS('3 Hazed Questions'!$N$2:$N$23,'3 Hazed Questions'!$A$2:$A$23,"Q3",'3 Hazed Questions'!$C$2:$C$23,K48)+SUMIFS('3 Hazed Questions'!$N$2:$N$23,'3 Hazed Questions'!$A$2:$A$23,"Q4",'3 Hazed Questions'!$C$2:$C$23,L48))</f>
        <v/>
      </c>
      <c r="X48" s="14" t="str">
        <f aca="false">IF(COUNTA(I48:L48)=0,"",INDEX(Fields!$B$2:$B$50,MATCH(SUBSTITUTE(INDEX($N$1:$W$1,MATCH(MAX($N48:$W48),$N48:$W48,0)),"Score: ",""),Fields!$A$2:$A$50,0)))</f>
        <v/>
      </c>
      <c r="Y48" s="14" t="str">
        <f aca="true">IF(COUNTA(I48:L48)=0,"",IF(LARGE($N48:$W48,2)=0,"-",INDEX(Fields!$B$2:$B$50,MATCH(SUBSTITUTE(INDEX($N$1:$W$1,IF(LARGE($N48:$W48,2)=MAX($N48:$W48),MATCH(MAX($N48:$W48),OFFSET($N48:$W48,0,MATCH(MAX($N48:$W48),$N48:$W48,0),1,10-MATCH(MAX($N48:$W48),$N48:$W48,0)),0)+MATCH(MAX($N48:$W48),$N48:$W48,0),MATCH(LARGE($N48:$W48,2),$N48:$W48,0))),"Score: ",""),Fields!$A$2:$A$50,0))))</f>
        <v/>
      </c>
      <c r="Z48" s="14" t="str">
        <f aca="false">IF(M48="","",IFERROR(INDEX('3 Hazed Questions'!$O$2:$O$23,MATCH(1,INDEX(('3 Hazed Questions'!$A$2:$A$23="Q5")*('3 Hazed Questions'!$C$2:$C$23=M48),0),0))&amp;"",""))</f>
        <v/>
      </c>
      <c r="AA48" s="18"/>
      <c r="AB48" s="18"/>
      <c r="AC48" s="19"/>
      <c r="AD48" s="19"/>
      <c r="AE48" s="18"/>
      <c r="AF48" s="18"/>
      <c r="AG48" s="18"/>
    </row>
    <row r="49" customFormat="false" ht="15" hidden="false" customHeight="false" outlineLevel="0" collapsed="false">
      <c r="A49" s="18"/>
      <c r="B49" s="19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4" t="str">
        <f aca="false">IF(COUNTA(I49:L49)=0,"",SUMIFS('3 Hazed Questions'!$E$2:$E$23,'3 Hazed Questions'!$A$2:$A$23,"Q1",'3 Hazed Questions'!$C$2:$C$23,I49)+SUMIFS('3 Hazed Questions'!$E$2:$E$23,'3 Hazed Questions'!$A$2:$A$23,"Q2",'3 Hazed Questions'!$C$2:$C$23,J49)+SUMIFS('3 Hazed Questions'!$E$2:$E$23,'3 Hazed Questions'!$A$2:$A$23,"Q3",'3 Hazed Questions'!$C$2:$C$23,K49)+SUMIFS('3 Hazed Questions'!$E$2:$E$23,'3 Hazed Questions'!$A$2:$A$23,"Q4",'3 Hazed Questions'!$C$2:$C$23,L49))</f>
        <v/>
      </c>
      <c r="O49" s="14" t="str">
        <f aca="false">IF(COUNTA(I49:L49)=0,"",SUMIFS('3 Hazed Questions'!$F$2:$F$23,'3 Hazed Questions'!$A$2:$A$23,"Q1",'3 Hazed Questions'!$C$2:$C$23,I49)+SUMIFS('3 Hazed Questions'!$F$2:$F$23,'3 Hazed Questions'!$A$2:$A$23,"Q2",'3 Hazed Questions'!$C$2:$C$23,J49)+SUMIFS('3 Hazed Questions'!$F$2:$F$23,'3 Hazed Questions'!$A$2:$A$23,"Q3",'3 Hazed Questions'!$C$2:$C$23,K49)+SUMIFS('3 Hazed Questions'!$F$2:$F$23,'3 Hazed Questions'!$A$2:$A$23,"Q4",'3 Hazed Questions'!$C$2:$C$23,L49))</f>
        <v/>
      </c>
      <c r="P49" s="14" t="str">
        <f aca="false">IF(COUNTA(I49:L49)=0,"",SUMIFS('3 Hazed Questions'!$G$2:$G$23,'3 Hazed Questions'!$A$2:$A$23,"Q1",'3 Hazed Questions'!$C$2:$C$23,I49)+SUMIFS('3 Hazed Questions'!$G$2:$G$23,'3 Hazed Questions'!$A$2:$A$23,"Q2",'3 Hazed Questions'!$C$2:$C$23,J49)+SUMIFS('3 Hazed Questions'!$G$2:$G$23,'3 Hazed Questions'!$A$2:$A$23,"Q3",'3 Hazed Questions'!$C$2:$C$23,K49)+SUMIFS('3 Hazed Questions'!$G$2:$G$23,'3 Hazed Questions'!$A$2:$A$23,"Q4",'3 Hazed Questions'!$C$2:$C$23,L49))</f>
        <v/>
      </c>
      <c r="Q49" s="14" t="str">
        <f aca="false">IF(COUNTA(I49:L49)=0,"",SUMIFS('3 Hazed Questions'!$H$2:$H$23,'3 Hazed Questions'!$A$2:$A$23,"Q1",'3 Hazed Questions'!$C$2:$C$23,I49)+SUMIFS('3 Hazed Questions'!$H$2:$H$23,'3 Hazed Questions'!$A$2:$A$23,"Q2",'3 Hazed Questions'!$C$2:$C$23,J49)+SUMIFS('3 Hazed Questions'!$H$2:$H$23,'3 Hazed Questions'!$A$2:$A$23,"Q3",'3 Hazed Questions'!$C$2:$C$23,K49)+SUMIFS('3 Hazed Questions'!$H$2:$H$23,'3 Hazed Questions'!$A$2:$A$23,"Q4",'3 Hazed Questions'!$C$2:$C$23,L49))</f>
        <v/>
      </c>
      <c r="R49" s="14" t="str">
        <f aca="false">IF(COUNTA(I49:L49)=0,"",SUMIFS('3 Hazed Questions'!$I$2:$I$23,'3 Hazed Questions'!$A$2:$A$23,"Q1",'3 Hazed Questions'!$C$2:$C$23,I49)+SUMIFS('3 Hazed Questions'!$I$2:$I$23,'3 Hazed Questions'!$A$2:$A$23,"Q2",'3 Hazed Questions'!$C$2:$C$23,J49)+SUMIFS('3 Hazed Questions'!$I$2:$I$23,'3 Hazed Questions'!$A$2:$A$23,"Q3",'3 Hazed Questions'!$C$2:$C$23,K49)+SUMIFS('3 Hazed Questions'!$I$2:$I$23,'3 Hazed Questions'!$A$2:$A$23,"Q4",'3 Hazed Questions'!$C$2:$C$23,L49))</f>
        <v/>
      </c>
      <c r="S49" s="14" t="str">
        <f aca="false">IF(COUNTA(I49:L49)=0,"",SUMIFS('3 Hazed Questions'!$J$2:$J$23,'3 Hazed Questions'!$A$2:$A$23,"Q1",'3 Hazed Questions'!$C$2:$C$23,I49)+SUMIFS('3 Hazed Questions'!$J$2:$J$23,'3 Hazed Questions'!$A$2:$A$23,"Q2",'3 Hazed Questions'!$C$2:$C$23,J49)+SUMIFS('3 Hazed Questions'!$J$2:$J$23,'3 Hazed Questions'!$A$2:$A$23,"Q3",'3 Hazed Questions'!$C$2:$C$23,K49)+SUMIFS('3 Hazed Questions'!$J$2:$J$23,'3 Hazed Questions'!$A$2:$A$23,"Q4",'3 Hazed Questions'!$C$2:$C$23,L49))</f>
        <v/>
      </c>
      <c r="T49" s="14" t="str">
        <f aca="false">IF(COUNTA(I49:L49)=0,"",SUMIFS('3 Hazed Questions'!$K$2:$K$23,'3 Hazed Questions'!$A$2:$A$23,"Q1",'3 Hazed Questions'!$C$2:$C$23,I49)+SUMIFS('3 Hazed Questions'!$K$2:$K$23,'3 Hazed Questions'!$A$2:$A$23,"Q2",'3 Hazed Questions'!$C$2:$C$23,J49)+SUMIFS('3 Hazed Questions'!$K$2:$K$23,'3 Hazed Questions'!$A$2:$A$23,"Q3",'3 Hazed Questions'!$C$2:$C$23,K49)+SUMIFS('3 Hazed Questions'!$K$2:$K$23,'3 Hazed Questions'!$A$2:$A$23,"Q4",'3 Hazed Questions'!$C$2:$C$23,L49))</f>
        <v/>
      </c>
      <c r="U49" s="14" t="str">
        <f aca="false">IF(COUNTA(I49:L49)=0,"",SUMIFS('3 Hazed Questions'!$L$2:$L$23,'3 Hazed Questions'!$A$2:$A$23,"Q1",'3 Hazed Questions'!$C$2:$C$23,I49)+SUMIFS('3 Hazed Questions'!$L$2:$L$23,'3 Hazed Questions'!$A$2:$A$23,"Q2",'3 Hazed Questions'!$C$2:$C$23,J49)+SUMIFS('3 Hazed Questions'!$L$2:$L$23,'3 Hazed Questions'!$A$2:$A$23,"Q3",'3 Hazed Questions'!$C$2:$C$23,K49)+SUMIFS('3 Hazed Questions'!$L$2:$L$23,'3 Hazed Questions'!$A$2:$A$23,"Q4",'3 Hazed Questions'!$C$2:$C$23,L49))</f>
        <v/>
      </c>
      <c r="V49" s="14" t="str">
        <f aca="false">IF(COUNTA(I49:L49)=0,"",SUMIFS('3 Hazed Questions'!$M$2:$M$23,'3 Hazed Questions'!$A$2:$A$23,"Q1",'3 Hazed Questions'!$C$2:$C$23,I49)+SUMIFS('3 Hazed Questions'!$M$2:$M$23,'3 Hazed Questions'!$A$2:$A$23,"Q2",'3 Hazed Questions'!$C$2:$C$23,J49)+SUMIFS('3 Hazed Questions'!$M$2:$M$23,'3 Hazed Questions'!$A$2:$A$23,"Q3",'3 Hazed Questions'!$C$2:$C$23,K49)+SUMIFS('3 Hazed Questions'!$M$2:$M$23,'3 Hazed Questions'!$A$2:$A$23,"Q4",'3 Hazed Questions'!$C$2:$C$23,L49))</f>
        <v/>
      </c>
      <c r="W49" s="14" t="str">
        <f aca="false">IF(COUNTA(I49:L49)=0,"",SUMIFS('3 Hazed Questions'!$N$2:$N$23,'3 Hazed Questions'!$A$2:$A$23,"Q1",'3 Hazed Questions'!$C$2:$C$23,I49)+SUMIFS('3 Hazed Questions'!$N$2:$N$23,'3 Hazed Questions'!$A$2:$A$23,"Q2",'3 Hazed Questions'!$C$2:$C$23,J49)+SUMIFS('3 Hazed Questions'!$N$2:$N$23,'3 Hazed Questions'!$A$2:$A$23,"Q3",'3 Hazed Questions'!$C$2:$C$23,K49)+SUMIFS('3 Hazed Questions'!$N$2:$N$23,'3 Hazed Questions'!$A$2:$A$23,"Q4",'3 Hazed Questions'!$C$2:$C$23,L49))</f>
        <v/>
      </c>
      <c r="X49" s="14" t="str">
        <f aca="false">IF(COUNTA(I49:L49)=0,"",INDEX(Fields!$B$2:$B$50,MATCH(SUBSTITUTE(INDEX($N$1:$W$1,MATCH(MAX($N49:$W49),$N49:$W49,0)),"Score: ",""),Fields!$A$2:$A$50,0)))</f>
        <v/>
      </c>
      <c r="Y49" s="14" t="str">
        <f aca="true">IF(COUNTA(I49:L49)=0,"",IF(LARGE($N49:$W49,2)=0,"-",INDEX(Fields!$B$2:$B$50,MATCH(SUBSTITUTE(INDEX($N$1:$W$1,IF(LARGE($N49:$W49,2)=MAX($N49:$W49),MATCH(MAX($N49:$W49),OFFSET($N49:$W49,0,MATCH(MAX($N49:$W49),$N49:$W49,0),1,10-MATCH(MAX($N49:$W49),$N49:$W49,0)),0)+MATCH(MAX($N49:$W49),$N49:$W49,0),MATCH(LARGE($N49:$W49,2),$N49:$W49,0))),"Score: ",""),Fields!$A$2:$A$50,0))))</f>
        <v/>
      </c>
      <c r="Z49" s="14" t="str">
        <f aca="false">IF(M49="","",IFERROR(INDEX('3 Hazed Questions'!$O$2:$O$23,MATCH(1,INDEX(('3 Hazed Questions'!$A$2:$A$23="Q5")*('3 Hazed Questions'!$C$2:$C$23=M49),0),0))&amp;"",""))</f>
        <v/>
      </c>
      <c r="AA49" s="18"/>
      <c r="AB49" s="18"/>
      <c r="AC49" s="19"/>
      <c r="AD49" s="19"/>
      <c r="AE49" s="18"/>
      <c r="AF49" s="18"/>
      <c r="AG49" s="18"/>
    </row>
    <row r="50" customFormat="false" ht="15" hidden="false" customHeight="false" outlineLevel="0" collapsed="false">
      <c r="A50" s="18"/>
      <c r="B50" s="19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4" t="str">
        <f aca="false">IF(COUNTA(I50:L50)=0,"",SUMIFS('3 Hazed Questions'!$E$2:$E$23,'3 Hazed Questions'!$A$2:$A$23,"Q1",'3 Hazed Questions'!$C$2:$C$23,I50)+SUMIFS('3 Hazed Questions'!$E$2:$E$23,'3 Hazed Questions'!$A$2:$A$23,"Q2",'3 Hazed Questions'!$C$2:$C$23,J50)+SUMIFS('3 Hazed Questions'!$E$2:$E$23,'3 Hazed Questions'!$A$2:$A$23,"Q3",'3 Hazed Questions'!$C$2:$C$23,K50)+SUMIFS('3 Hazed Questions'!$E$2:$E$23,'3 Hazed Questions'!$A$2:$A$23,"Q4",'3 Hazed Questions'!$C$2:$C$23,L50))</f>
        <v/>
      </c>
      <c r="O50" s="14" t="str">
        <f aca="false">IF(COUNTA(I50:L50)=0,"",SUMIFS('3 Hazed Questions'!$F$2:$F$23,'3 Hazed Questions'!$A$2:$A$23,"Q1",'3 Hazed Questions'!$C$2:$C$23,I50)+SUMIFS('3 Hazed Questions'!$F$2:$F$23,'3 Hazed Questions'!$A$2:$A$23,"Q2",'3 Hazed Questions'!$C$2:$C$23,J50)+SUMIFS('3 Hazed Questions'!$F$2:$F$23,'3 Hazed Questions'!$A$2:$A$23,"Q3",'3 Hazed Questions'!$C$2:$C$23,K50)+SUMIFS('3 Hazed Questions'!$F$2:$F$23,'3 Hazed Questions'!$A$2:$A$23,"Q4",'3 Hazed Questions'!$C$2:$C$23,L50))</f>
        <v/>
      </c>
      <c r="P50" s="14" t="str">
        <f aca="false">IF(COUNTA(I50:L50)=0,"",SUMIFS('3 Hazed Questions'!$G$2:$G$23,'3 Hazed Questions'!$A$2:$A$23,"Q1",'3 Hazed Questions'!$C$2:$C$23,I50)+SUMIFS('3 Hazed Questions'!$G$2:$G$23,'3 Hazed Questions'!$A$2:$A$23,"Q2",'3 Hazed Questions'!$C$2:$C$23,J50)+SUMIFS('3 Hazed Questions'!$G$2:$G$23,'3 Hazed Questions'!$A$2:$A$23,"Q3",'3 Hazed Questions'!$C$2:$C$23,K50)+SUMIFS('3 Hazed Questions'!$G$2:$G$23,'3 Hazed Questions'!$A$2:$A$23,"Q4",'3 Hazed Questions'!$C$2:$C$23,L50))</f>
        <v/>
      </c>
      <c r="Q50" s="14" t="str">
        <f aca="false">IF(COUNTA(I50:L50)=0,"",SUMIFS('3 Hazed Questions'!$H$2:$H$23,'3 Hazed Questions'!$A$2:$A$23,"Q1",'3 Hazed Questions'!$C$2:$C$23,I50)+SUMIFS('3 Hazed Questions'!$H$2:$H$23,'3 Hazed Questions'!$A$2:$A$23,"Q2",'3 Hazed Questions'!$C$2:$C$23,J50)+SUMIFS('3 Hazed Questions'!$H$2:$H$23,'3 Hazed Questions'!$A$2:$A$23,"Q3",'3 Hazed Questions'!$C$2:$C$23,K50)+SUMIFS('3 Hazed Questions'!$H$2:$H$23,'3 Hazed Questions'!$A$2:$A$23,"Q4",'3 Hazed Questions'!$C$2:$C$23,L50))</f>
        <v/>
      </c>
      <c r="R50" s="14" t="str">
        <f aca="false">IF(COUNTA(I50:L50)=0,"",SUMIFS('3 Hazed Questions'!$I$2:$I$23,'3 Hazed Questions'!$A$2:$A$23,"Q1",'3 Hazed Questions'!$C$2:$C$23,I50)+SUMIFS('3 Hazed Questions'!$I$2:$I$23,'3 Hazed Questions'!$A$2:$A$23,"Q2",'3 Hazed Questions'!$C$2:$C$23,J50)+SUMIFS('3 Hazed Questions'!$I$2:$I$23,'3 Hazed Questions'!$A$2:$A$23,"Q3",'3 Hazed Questions'!$C$2:$C$23,K50)+SUMIFS('3 Hazed Questions'!$I$2:$I$23,'3 Hazed Questions'!$A$2:$A$23,"Q4",'3 Hazed Questions'!$C$2:$C$23,L50))</f>
        <v/>
      </c>
      <c r="S50" s="14" t="str">
        <f aca="false">IF(COUNTA(I50:L50)=0,"",SUMIFS('3 Hazed Questions'!$J$2:$J$23,'3 Hazed Questions'!$A$2:$A$23,"Q1",'3 Hazed Questions'!$C$2:$C$23,I50)+SUMIFS('3 Hazed Questions'!$J$2:$J$23,'3 Hazed Questions'!$A$2:$A$23,"Q2",'3 Hazed Questions'!$C$2:$C$23,J50)+SUMIFS('3 Hazed Questions'!$J$2:$J$23,'3 Hazed Questions'!$A$2:$A$23,"Q3",'3 Hazed Questions'!$C$2:$C$23,K50)+SUMIFS('3 Hazed Questions'!$J$2:$J$23,'3 Hazed Questions'!$A$2:$A$23,"Q4",'3 Hazed Questions'!$C$2:$C$23,L50))</f>
        <v/>
      </c>
      <c r="T50" s="14" t="str">
        <f aca="false">IF(COUNTA(I50:L50)=0,"",SUMIFS('3 Hazed Questions'!$K$2:$K$23,'3 Hazed Questions'!$A$2:$A$23,"Q1",'3 Hazed Questions'!$C$2:$C$23,I50)+SUMIFS('3 Hazed Questions'!$K$2:$K$23,'3 Hazed Questions'!$A$2:$A$23,"Q2",'3 Hazed Questions'!$C$2:$C$23,J50)+SUMIFS('3 Hazed Questions'!$K$2:$K$23,'3 Hazed Questions'!$A$2:$A$23,"Q3",'3 Hazed Questions'!$C$2:$C$23,K50)+SUMIFS('3 Hazed Questions'!$K$2:$K$23,'3 Hazed Questions'!$A$2:$A$23,"Q4",'3 Hazed Questions'!$C$2:$C$23,L50))</f>
        <v/>
      </c>
      <c r="U50" s="14" t="str">
        <f aca="false">IF(COUNTA(I50:L50)=0,"",SUMIFS('3 Hazed Questions'!$L$2:$L$23,'3 Hazed Questions'!$A$2:$A$23,"Q1",'3 Hazed Questions'!$C$2:$C$23,I50)+SUMIFS('3 Hazed Questions'!$L$2:$L$23,'3 Hazed Questions'!$A$2:$A$23,"Q2",'3 Hazed Questions'!$C$2:$C$23,J50)+SUMIFS('3 Hazed Questions'!$L$2:$L$23,'3 Hazed Questions'!$A$2:$A$23,"Q3",'3 Hazed Questions'!$C$2:$C$23,K50)+SUMIFS('3 Hazed Questions'!$L$2:$L$23,'3 Hazed Questions'!$A$2:$A$23,"Q4",'3 Hazed Questions'!$C$2:$C$23,L50))</f>
        <v/>
      </c>
      <c r="V50" s="14" t="str">
        <f aca="false">IF(COUNTA(I50:L50)=0,"",SUMIFS('3 Hazed Questions'!$M$2:$M$23,'3 Hazed Questions'!$A$2:$A$23,"Q1",'3 Hazed Questions'!$C$2:$C$23,I50)+SUMIFS('3 Hazed Questions'!$M$2:$M$23,'3 Hazed Questions'!$A$2:$A$23,"Q2",'3 Hazed Questions'!$C$2:$C$23,J50)+SUMIFS('3 Hazed Questions'!$M$2:$M$23,'3 Hazed Questions'!$A$2:$A$23,"Q3",'3 Hazed Questions'!$C$2:$C$23,K50)+SUMIFS('3 Hazed Questions'!$M$2:$M$23,'3 Hazed Questions'!$A$2:$A$23,"Q4",'3 Hazed Questions'!$C$2:$C$23,L50))</f>
        <v/>
      </c>
      <c r="W50" s="14" t="str">
        <f aca="false">IF(COUNTA(I50:L50)=0,"",SUMIFS('3 Hazed Questions'!$N$2:$N$23,'3 Hazed Questions'!$A$2:$A$23,"Q1",'3 Hazed Questions'!$C$2:$C$23,I50)+SUMIFS('3 Hazed Questions'!$N$2:$N$23,'3 Hazed Questions'!$A$2:$A$23,"Q2",'3 Hazed Questions'!$C$2:$C$23,J50)+SUMIFS('3 Hazed Questions'!$N$2:$N$23,'3 Hazed Questions'!$A$2:$A$23,"Q3",'3 Hazed Questions'!$C$2:$C$23,K50)+SUMIFS('3 Hazed Questions'!$N$2:$N$23,'3 Hazed Questions'!$A$2:$A$23,"Q4",'3 Hazed Questions'!$C$2:$C$23,L50))</f>
        <v/>
      </c>
      <c r="X50" s="14" t="str">
        <f aca="false">IF(COUNTA(I50:L50)=0,"",INDEX(Fields!$B$2:$B$50,MATCH(SUBSTITUTE(INDEX($N$1:$W$1,MATCH(MAX($N50:$W50),$N50:$W50,0)),"Score: ",""),Fields!$A$2:$A$50,0)))</f>
        <v/>
      </c>
      <c r="Y50" s="14" t="str">
        <f aca="true">IF(COUNTA(I50:L50)=0,"",IF(LARGE($N50:$W50,2)=0,"-",INDEX(Fields!$B$2:$B$50,MATCH(SUBSTITUTE(INDEX($N$1:$W$1,IF(LARGE($N50:$W50,2)=MAX($N50:$W50),MATCH(MAX($N50:$W50),OFFSET($N50:$W50,0,MATCH(MAX($N50:$W50),$N50:$W50,0),1,10-MATCH(MAX($N50:$W50),$N50:$W50,0)),0)+MATCH(MAX($N50:$W50),$N50:$W50,0),MATCH(LARGE($N50:$W50,2),$N50:$W50,0))),"Score: ",""),Fields!$A$2:$A$50,0))))</f>
        <v/>
      </c>
      <c r="Z50" s="14" t="str">
        <f aca="false">IF(M50="","",IFERROR(INDEX('3 Hazed Questions'!$O$2:$O$23,MATCH(1,INDEX(('3 Hazed Questions'!$A$2:$A$23="Q5")*('3 Hazed Questions'!$C$2:$C$23=M50),0),0))&amp;"",""))</f>
        <v/>
      </c>
      <c r="AA50" s="18"/>
      <c r="AB50" s="18"/>
      <c r="AC50" s="19"/>
      <c r="AD50" s="19"/>
      <c r="AE50" s="18"/>
      <c r="AF50" s="18"/>
      <c r="AG50" s="18"/>
    </row>
    <row r="51" customFormat="false" ht="15" hidden="false" customHeight="false" outlineLevel="0" collapsed="false">
      <c r="A51" s="18"/>
      <c r="B51" s="19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4" t="str">
        <f aca="false">IF(COUNTA(I51:L51)=0,"",SUMIFS('3 Hazed Questions'!$E$2:$E$23,'3 Hazed Questions'!$A$2:$A$23,"Q1",'3 Hazed Questions'!$C$2:$C$23,I51)+SUMIFS('3 Hazed Questions'!$E$2:$E$23,'3 Hazed Questions'!$A$2:$A$23,"Q2",'3 Hazed Questions'!$C$2:$C$23,J51)+SUMIFS('3 Hazed Questions'!$E$2:$E$23,'3 Hazed Questions'!$A$2:$A$23,"Q3",'3 Hazed Questions'!$C$2:$C$23,K51)+SUMIFS('3 Hazed Questions'!$E$2:$E$23,'3 Hazed Questions'!$A$2:$A$23,"Q4",'3 Hazed Questions'!$C$2:$C$23,L51))</f>
        <v/>
      </c>
      <c r="O51" s="14" t="str">
        <f aca="false">IF(COUNTA(I51:L51)=0,"",SUMIFS('3 Hazed Questions'!$F$2:$F$23,'3 Hazed Questions'!$A$2:$A$23,"Q1",'3 Hazed Questions'!$C$2:$C$23,I51)+SUMIFS('3 Hazed Questions'!$F$2:$F$23,'3 Hazed Questions'!$A$2:$A$23,"Q2",'3 Hazed Questions'!$C$2:$C$23,J51)+SUMIFS('3 Hazed Questions'!$F$2:$F$23,'3 Hazed Questions'!$A$2:$A$23,"Q3",'3 Hazed Questions'!$C$2:$C$23,K51)+SUMIFS('3 Hazed Questions'!$F$2:$F$23,'3 Hazed Questions'!$A$2:$A$23,"Q4",'3 Hazed Questions'!$C$2:$C$23,L51))</f>
        <v/>
      </c>
      <c r="P51" s="14" t="str">
        <f aca="false">IF(COUNTA(I51:L51)=0,"",SUMIFS('3 Hazed Questions'!$G$2:$G$23,'3 Hazed Questions'!$A$2:$A$23,"Q1",'3 Hazed Questions'!$C$2:$C$23,I51)+SUMIFS('3 Hazed Questions'!$G$2:$G$23,'3 Hazed Questions'!$A$2:$A$23,"Q2",'3 Hazed Questions'!$C$2:$C$23,J51)+SUMIFS('3 Hazed Questions'!$G$2:$G$23,'3 Hazed Questions'!$A$2:$A$23,"Q3",'3 Hazed Questions'!$C$2:$C$23,K51)+SUMIFS('3 Hazed Questions'!$G$2:$G$23,'3 Hazed Questions'!$A$2:$A$23,"Q4",'3 Hazed Questions'!$C$2:$C$23,L51))</f>
        <v/>
      </c>
      <c r="Q51" s="14" t="str">
        <f aca="false">IF(COUNTA(I51:L51)=0,"",SUMIFS('3 Hazed Questions'!$H$2:$H$23,'3 Hazed Questions'!$A$2:$A$23,"Q1",'3 Hazed Questions'!$C$2:$C$23,I51)+SUMIFS('3 Hazed Questions'!$H$2:$H$23,'3 Hazed Questions'!$A$2:$A$23,"Q2",'3 Hazed Questions'!$C$2:$C$23,J51)+SUMIFS('3 Hazed Questions'!$H$2:$H$23,'3 Hazed Questions'!$A$2:$A$23,"Q3",'3 Hazed Questions'!$C$2:$C$23,K51)+SUMIFS('3 Hazed Questions'!$H$2:$H$23,'3 Hazed Questions'!$A$2:$A$23,"Q4",'3 Hazed Questions'!$C$2:$C$23,L51))</f>
        <v/>
      </c>
      <c r="R51" s="14" t="str">
        <f aca="false">IF(COUNTA(I51:L51)=0,"",SUMIFS('3 Hazed Questions'!$I$2:$I$23,'3 Hazed Questions'!$A$2:$A$23,"Q1",'3 Hazed Questions'!$C$2:$C$23,I51)+SUMIFS('3 Hazed Questions'!$I$2:$I$23,'3 Hazed Questions'!$A$2:$A$23,"Q2",'3 Hazed Questions'!$C$2:$C$23,J51)+SUMIFS('3 Hazed Questions'!$I$2:$I$23,'3 Hazed Questions'!$A$2:$A$23,"Q3",'3 Hazed Questions'!$C$2:$C$23,K51)+SUMIFS('3 Hazed Questions'!$I$2:$I$23,'3 Hazed Questions'!$A$2:$A$23,"Q4",'3 Hazed Questions'!$C$2:$C$23,L51))</f>
        <v/>
      </c>
      <c r="S51" s="14" t="str">
        <f aca="false">IF(COUNTA(I51:L51)=0,"",SUMIFS('3 Hazed Questions'!$J$2:$J$23,'3 Hazed Questions'!$A$2:$A$23,"Q1",'3 Hazed Questions'!$C$2:$C$23,I51)+SUMIFS('3 Hazed Questions'!$J$2:$J$23,'3 Hazed Questions'!$A$2:$A$23,"Q2",'3 Hazed Questions'!$C$2:$C$23,J51)+SUMIFS('3 Hazed Questions'!$J$2:$J$23,'3 Hazed Questions'!$A$2:$A$23,"Q3",'3 Hazed Questions'!$C$2:$C$23,K51)+SUMIFS('3 Hazed Questions'!$J$2:$J$23,'3 Hazed Questions'!$A$2:$A$23,"Q4",'3 Hazed Questions'!$C$2:$C$23,L51))</f>
        <v/>
      </c>
      <c r="T51" s="14" t="str">
        <f aca="false">IF(COUNTA(I51:L51)=0,"",SUMIFS('3 Hazed Questions'!$K$2:$K$23,'3 Hazed Questions'!$A$2:$A$23,"Q1",'3 Hazed Questions'!$C$2:$C$23,I51)+SUMIFS('3 Hazed Questions'!$K$2:$K$23,'3 Hazed Questions'!$A$2:$A$23,"Q2",'3 Hazed Questions'!$C$2:$C$23,J51)+SUMIFS('3 Hazed Questions'!$K$2:$K$23,'3 Hazed Questions'!$A$2:$A$23,"Q3",'3 Hazed Questions'!$C$2:$C$23,K51)+SUMIFS('3 Hazed Questions'!$K$2:$K$23,'3 Hazed Questions'!$A$2:$A$23,"Q4",'3 Hazed Questions'!$C$2:$C$23,L51))</f>
        <v/>
      </c>
      <c r="U51" s="14" t="str">
        <f aca="false">IF(COUNTA(I51:L51)=0,"",SUMIFS('3 Hazed Questions'!$L$2:$L$23,'3 Hazed Questions'!$A$2:$A$23,"Q1",'3 Hazed Questions'!$C$2:$C$23,I51)+SUMIFS('3 Hazed Questions'!$L$2:$L$23,'3 Hazed Questions'!$A$2:$A$23,"Q2",'3 Hazed Questions'!$C$2:$C$23,J51)+SUMIFS('3 Hazed Questions'!$L$2:$L$23,'3 Hazed Questions'!$A$2:$A$23,"Q3",'3 Hazed Questions'!$C$2:$C$23,K51)+SUMIFS('3 Hazed Questions'!$L$2:$L$23,'3 Hazed Questions'!$A$2:$A$23,"Q4",'3 Hazed Questions'!$C$2:$C$23,L51))</f>
        <v/>
      </c>
      <c r="V51" s="14" t="str">
        <f aca="false">IF(COUNTA(I51:L51)=0,"",SUMIFS('3 Hazed Questions'!$M$2:$M$23,'3 Hazed Questions'!$A$2:$A$23,"Q1",'3 Hazed Questions'!$C$2:$C$23,I51)+SUMIFS('3 Hazed Questions'!$M$2:$M$23,'3 Hazed Questions'!$A$2:$A$23,"Q2",'3 Hazed Questions'!$C$2:$C$23,J51)+SUMIFS('3 Hazed Questions'!$M$2:$M$23,'3 Hazed Questions'!$A$2:$A$23,"Q3",'3 Hazed Questions'!$C$2:$C$23,K51)+SUMIFS('3 Hazed Questions'!$M$2:$M$23,'3 Hazed Questions'!$A$2:$A$23,"Q4",'3 Hazed Questions'!$C$2:$C$23,L51))</f>
        <v/>
      </c>
      <c r="W51" s="14" t="str">
        <f aca="false">IF(COUNTA(I51:L51)=0,"",SUMIFS('3 Hazed Questions'!$N$2:$N$23,'3 Hazed Questions'!$A$2:$A$23,"Q1",'3 Hazed Questions'!$C$2:$C$23,I51)+SUMIFS('3 Hazed Questions'!$N$2:$N$23,'3 Hazed Questions'!$A$2:$A$23,"Q2",'3 Hazed Questions'!$C$2:$C$23,J51)+SUMIFS('3 Hazed Questions'!$N$2:$N$23,'3 Hazed Questions'!$A$2:$A$23,"Q3",'3 Hazed Questions'!$C$2:$C$23,K51)+SUMIFS('3 Hazed Questions'!$N$2:$N$23,'3 Hazed Questions'!$A$2:$A$23,"Q4",'3 Hazed Questions'!$C$2:$C$23,L51))</f>
        <v/>
      </c>
      <c r="X51" s="14" t="str">
        <f aca="false">IF(COUNTA(I51:L51)=0,"",INDEX(Fields!$B$2:$B$50,MATCH(SUBSTITUTE(INDEX($N$1:$W$1,MATCH(MAX($N51:$W51),$N51:$W51,0)),"Score: ",""),Fields!$A$2:$A$50,0)))</f>
        <v/>
      </c>
      <c r="Y51" s="14" t="str">
        <f aca="true">IF(COUNTA(I51:L51)=0,"",IF(LARGE($N51:$W51,2)=0,"-",INDEX(Fields!$B$2:$B$50,MATCH(SUBSTITUTE(INDEX($N$1:$W$1,IF(LARGE($N51:$W51,2)=MAX($N51:$W51),MATCH(MAX($N51:$W51),OFFSET($N51:$W51,0,MATCH(MAX($N51:$W51),$N51:$W51,0),1,10-MATCH(MAX($N51:$W51),$N51:$W51,0)),0)+MATCH(MAX($N51:$W51),$N51:$W51,0),MATCH(LARGE($N51:$W51,2),$N51:$W51,0))),"Score: ",""),Fields!$A$2:$A$50,0))))</f>
        <v/>
      </c>
      <c r="Z51" s="14" t="str">
        <f aca="false">IF(M51="","",IFERROR(INDEX('3 Hazed Questions'!$O$2:$O$23,MATCH(1,INDEX(('3 Hazed Questions'!$A$2:$A$23="Q5")*('3 Hazed Questions'!$C$2:$C$23=M51),0),0))&amp;"",""))</f>
        <v/>
      </c>
      <c r="AA51" s="18"/>
      <c r="AB51" s="18"/>
      <c r="AC51" s="19"/>
      <c r="AD51" s="19"/>
      <c r="AE51" s="18"/>
      <c r="AF51" s="18"/>
      <c r="AG51" s="18"/>
    </row>
    <row r="52" customFormat="false" ht="15" hidden="false" customHeight="false" outlineLevel="0" collapsed="false">
      <c r="A52" s="18"/>
      <c r="B52" s="19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4" t="str">
        <f aca="false">IF(COUNTA(I52:L52)=0,"",SUMIFS('3 Hazed Questions'!$E$2:$E$23,'3 Hazed Questions'!$A$2:$A$23,"Q1",'3 Hazed Questions'!$C$2:$C$23,I52)+SUMIFS('3 Hazed Questions'!$E$2:$E$23,'3 Hazed Questions'!$A$2:$A$23,"Q2",'3 Hazed Questions'!$C$2:$C$23,J52)+SUMIFS('3 Hazed Questions'!$E$2:$E$23,'3 Hazed Questions'!$A$2:$A$23,"Q3",'3 Hazed Questions'!$C$2:$C$23,K52)+SUMIFS('3 Hazed Questions'!$E$2:$E$23,'3 Hazed Questions'!$A$2:$A$23,"Q4",'3 Hazed Questions'!$C$2:$C$23,L52))</f>
        <v/>
      </c>
      <c r="O52" s="14" t="str">
        <f aca="false">IF(COUNTA(I52:L52)=0,"",SUMIFS('3 Hazed Questions'!$F$2:$F$23,'3 Hazed Questions'!$A$2:$A$23,"Q1",'3 Hazed Questions'!$C$2:$C$23,I52)+SUMIFS('3 Hazed Questions'!$F$2:$F$23,'3 Hazed Questions'!$A$2:$A$23,"Q2",'3 Hazed Questions'!$C$2:$C$23,J52)+SUMIFS('3 Hazed Questions'!$F$2:$F$23,'3 Hazed Questions'!$A$2:$A$23,"Q3",'3 Hazed Questions'!$C$2:$C$23,K52)+SUMIFS('3 Hazed Questions'!$F$2:$F$23,'3 Hazed Questions'!$A$2:$A$23,"Q4",'3 Hazed Questions'!$C$2:$C$23,L52))</f>
        <v/>
      </c>
      <c r="P52" s="14" t="str">
        <f aca="false">IF(COUNTA(I52:L52)=0,"",SUMIFS('3 Hazed Questions'!$G$2:$G$23,'3 Hazed Questions'!$A$2:$A$23,"Q1",'3 Hazed Questions'!$C$2:$C$23,I52)+SUMIFS('3 Hazed Questions'!$G$2:$G$23,'3 Hazed Questions'!$A$2:$A$23,"Q2",'3 Hazed Questions'!$C$2:$C$23,J52)+SUMIFS('3 Hazed Questions'!$G$2:$G$23,'3 Hazed Questions'!$A$2:$A$23,"Q3",'3 Hazed Questions'!$C$2:$C$23,K52)+SUMIFS('3 Hazed Questions'!$G$2:$G$23,'3 Hazed Questions'!$A$2:$A$23,"Q4",'3 Hazed Questions'!$C$2:$C$23,L52))</f>
        <v/>
      </c>
      <c r="Q52" s="14" t="str">
        <f aca="false">IF(COUNTA(I52:L52)=0,"",SUMIFS('3 Hazed Questions'!$H$2:$H$23,'3 Hazed Questions'!$A$2:$A$23,"Q1",'3 Hazed Questions'!$C$2:$C$23,I52)+SUMIFS('3 Hazed Questions'!$H$2:$H$23,'3 Hazed Questions'!$A$2:$A$23,"Q2",'3 Hazed Questions'!$C$2:$C$23,J52)+SUMIFS('3 Hazed Questions'!$H$2:$H$23,'3 Hazed Questions'!$A$2:$A$23,"Q3",'3 Hazed Questions'!$C$2:$C$23,K52)+SUMIFS('3 Hazed Questions'!$H$2:$H$23,'3 Hazed Questions'!$A$2:$A$23,"Q4",'3 Hazed Questions'!$C$2:$C$23,L52))</f>
        <v/>
      </c>
      <c r="R52" s="14" t="str">
        <f aca="false">IF(COUNTA(I52:L52)=0,"",SUMIFS('3 Hazed Questions'!$I$2:$I$23,'3 Hazed Questions'!$A$2:$A$23,"Q1",'3 Hazed Questions'!$C$2:$C$23,I52)+SUMIFS('3 Hazed Questions'!$I$2:$I$23,'3 Hazed Questions'!$A$2:$A$23,"Q2",'3 Hazed Questions'!$C$2:$C$23,J52)+SUMIFS('3 Hazed Questions'!$I$2:$I$23,'3 Hazed Questions'!$A$2:$A$23,"Q3",'3 Hazed Questions'!$C$2:$C$23,K52)+SUMIFS('3 Hazed Questions'!$I$2:$I$23,'3 Hazed Questions'!$A$2:$A$23,"Q4",'3 Hazed Questions'!$C$2:$C$23,L52))</f>
        <v/>
      </c>
      <c r="S52" s="14" t="str">
        <f aca="false">IF(COUNTA(I52:L52)=0,"",SUMIFS('3 Hazed Questions'!$J$2:$J$23,'3 Hazed Questions'!$A$2:$A$23,"Q1",'3 Hazed Questions'!$C$2:$C$23,I52)+SUMIFS('3 Hazed Questions'!$J$2:$J$23,'3 Hazed Questions'!$A$2:$A$23,"Q2",'3 Hazed Questions'!$C$2:$C$23,J52)+SUMIFS('3 Hazed Questions'!$J$2:$J$23,'3 Hazed Questions'!$A$2:$A$23,"Q3",'3 Hazed Questions'!$C$2:$C$23,K52)+SUMIFS('3 Hazed Questions'!$J$2:$J$23,'3 Hazed Questions'!$A$2:$A$23,"Q4",'3 Hazed Questions'!$C$2:$C$23,L52))</f>
        <v/>
      </c>
      <c r="T52" s="14" t="str">
        <f aca="false">IF(COUNTA(I52:L52)=0,"",SUMIFS('3 Hazed Questions'!$K$2:$K$23,'3 Hazed Questions'!$A$2:$A$23,"Q1",'3 Hazed Questions'!$C$2:$C$23,I52)+SUMIFS('3 Hazed Questions'!$K$2:$K$23,'3 Hazed Questions'!$A$2:$A$23,"Q2",'3 Hazed Questions'!$C$2:$C$23,J52)+SUMIFS('3 Hazed Questions'!$K$2:$K$23,'3 Hazed Questions'!$A$2:$A$23,"Q3",'3 Hazed Questions'!$C$2:$C$23,K52)+SUMIFS('3 Hazed Questions'!$K$2:$K$23,'3 Hazed Questions'!$A$2:$A$23,"Q4",'3 Hazed Questions'!$C$2:$C$23,L52))</f>
        <v/>
      </c>
      <c r="U52" s="14" t="str">
        <f aca="false">IF(COUNTA(I52:L52)=0,"",SUMIFS('3 Hazed Questions'!$L$2:$L$23,'3 Hazed Questions'!$A$2:$A$23,"Q1",'3 Hazed Questions'!$C$2:$C$23,I52)+SUMIFS('3 Hazed Questions'!$L$2:$L$23,'3 Hazed Questions'!$A$2:$A$23,"Q2",'3 Hazed Questions'!$C$2:$C$23,J52)+SUMIFS('3 Hazed Questions'!$L$2:$L$23,'3 Hazed Questions'!$A$2:$A$23,"Q3",'3 Hazed Questions'!$C$2:$C$23,K52)+SUMIFS('3 Hazed Questions'!$L$2:$L$23,'3 Hazed Questions'!$A$2:$A$23,"Q4",'3 Hazed Questions'!$C$2:$C$23,L52))</f>
        <v/>
      </c>
      <c r="V52" s="14" t="str">
        <f aca="false">IF(COUNTA(I52:L52)=0,"",SUMIFS('3 Hazed Questions'!$M$2:$M$23,'3 Hazed Questions'!$A$2:$A$23,"Q1",'3 Hazed Questions'!$C$2:$C$23,I52)+SUMIFS('3 Hazed Questions'!$M$2:$M$23,'3 Hazed Questions'!$A$2:$A$23,"Q2",'3 Hazed Questions'!$C$2:$C$23,J52)+SUMIFS('3 Hazed Questions'!$M$2:$M$23,'3 Hazed Questions'!$A$2:$A$23,"Q3",'3 Hazed Questions'!$C$2:$C$23,K52)+SUMIFS('3 Hazed Questions'!$M$2:$M$23,'3 Hazed Questions'!$A$2:$A$23,"Q4",'3 Hazed Questions'!$C$2:$C$23,L52))</f>
        <v/>
      </c>
      <c r="W52" s="14" t="str">
        <f aca="false">IF(COUNTA(I52:L52)=0,"",SUMIFS('3 Hazed Questions'!$N$2:$N$23,'3 Hazed Questions'!$A$2:$A$23,"Q1",'3 Hazed Questions'!$C$2:$C$23,I52)+SUMIFS('3 Hazed Questions'!$N$2:$N$23,'3 Hazed Questions'!$A$2:$A$23,"Q2",'3 Hazed Questions'!$C$2:$C$23,J52)+SUMIFS('3 Hazed Questions'!$N$2:$N$23,'3 Hazed Questions'!$A$2:$A$23,"Q3",'3 Hazed Questions'!$C$2:$C$23,K52)+SUMIFS('3 Hazed Questions'!$N$2:$N$23,'3 Hazed Questions'!$A$2:$A$23,"Q4",'3 Hazed Questions'!$C$2:$C$23,L52))</f>
        <v/>
      </c>
      <c r="X52" s="14" t="str">
        <f aca="false">IF(COUNTA(I52:L52)=0,"",INDEX(Fields!$B$2:$B$50,MATCH(SUBSTITUTE(INDEX($N$1:$W$1,MATCH(MAX($N52:$W52),$N52:$W52,0)),"Score: ",""),Fields!$A$2:$A$50,0)))</f>
        <v/>
      </c>
      <c r="Y52" s="14" t="str">
        <f aca="true">IF(COUNTA(I52:L52)=0,"",IF(LARGE($N52:$W52,2)=0,"-",INDEX(Fields!$B$2:$B$50,MATCH(SUBSTITUTE(INDEX($N$1:$W$1,IF(LARGE($N52:$W52,2)=MAX($N52:$W52),MATCH(MAX($N52:$W52),OFFSET($N52:$W52,0,MATCH(MAX($N52:$W52),$N52:$W52,0),1,10-MATCH(MAX($N52:$W52),$N52:$W52,0)),0)+MATCH(MAX($N52:$W52),$N52:$W52,0),MATCH(LARGE($N52:$W52,2),$N52:$W52,0))),"Score: ",""),Fields!$A$2:$A$50,0))))</f>
        <v/>
      </c>
      <c r="Z52" s="14" t="str">
        <f aca="false">IF(M52="","",IFERROR(INDEX('3 Hazed Questions'!$O$2:$O$23,MATCH(1,INDEX(('3 Hazed Questions'!$A$2:$A$23="Q5")*('3 Hazed Questions'!$C$2:$C$23=M52),0),0))&amp;"",""))</f>
        <v/>
      </c>
      <c r="AA52" s="18"/>
      <c r="AB52" s="18"/>
      <c r="AC52" s="19"/>
      <c r="AD52" s="19"/>
      <c r="AE52" s="18"/>
      <c r="AF52" s="18"/>
      <c r="AG52" s="18"/>
    </row>
    <row r="53" customFormat="false" ht="15" hidden="false" customHeight="false" outlineLevel="0" collapsed="false">
      <c r="A53" s="18"/>
      <c r="B53" s="19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4" t="str">
        <f aca="false">IF(COUNTA(I53:L53)=0,"",SUMIFS('3 Hazed Questions'!$E$2:$E$23,'3 Hazed Questions'!$A$2:$A$23,"Q1",'3 Hazed Questions'!$C$2:$C$23,I53)+SUMIFS('3 Hazed Questions'!$E$2:$E$23,'3 Hazed Questions'!$A$2:$A$23,"Q2",'3 Hazed Questions'!$C$2:$C$23,J53)+SUMIFS('3 Hazed Questions'!$E$2:$E$23,'3 Hazed Questions'!$A$2:$A$23,"Q3",'3 Hazed Questions'!$C$2:$C$23,K53)+SUMIFS('3 Hazed Questions'!$E$2:$E$23,'3 Hazed Questions'!$A$2:$A$23,"Q4",'3 Hazed Questions'!$C$2:$C$23,L53))</f>
        <v/>
      </c>
      <c r="O53" s="14" t="str">
        <f aca="false">IF(COUNTA(I53:L53)=0,"",SUMIFS('3 Hazed Questions'!$F$2:$F$23,'3 Hazed Questions'!$A$2:$A$23,"Q1",'3 Hazed Questions'!$C$2:$C$23,I53)+SUMIFS('3 Hazed Questions'!$F$2:$F$23,'3 Hazed Questions'!$A$2:$A$23,"Q2",'3 Hazed Questions'!$C$2:$C$23,J53)+SUMIFS('3 Hazed Questions'!$F$2:$F$23,'3 Hazed Questions'!$A$2:$A$23,"Q3",'3 Hazed Questions'!$C$2:$C$23,K53)+SUMIFS('3 Hazed Questions'!$F$2:$F$23,'3 Hazed Questions'!$A$2:$A$23,"Q4",'3 Hazed Questions'!$C$2:$C$23,L53))</f>
        <v/>
      </c>
      <c r="P53" s="14" t="str">
        <f aca="false">IF(COUNTA(I53:L53)=0,"",SUMIFS('3 Hazed Questions'!$G$2:$G$23,'3 Hazed Questions'!$A$2:$A$23,"Q1",'3 Hazed Questions'!$C$2:$C$23,I53)+SUMIFS('3 Hazed Questions'!$G$2:$G$23,'3 Hazed Questions'!$A$2:$A$23,"Q2",'3 Hazed Questions'!$C$2:$C$23,J53)+SUMIFS('3 Hazed Questions'!$G$2:$G$23,'3 Hazed Questions'!$A$2:$A$23,"Q3",'3 Hazed Questions'!$C$2:$C$23,K53)+SUMIFS('3 Hazed Questions'!$G$2:$G$23,'3 Hazed Questions'!$A$2:$A$23,"Q4",'3 Hazed Questions'!$C$2:$C$23,L53))</f>
        <v/>
      </c>
      <c r="Q53" s="14" t="str">
        <f aca="false">IF(COUNTA(I53:L53)=0,"",SUMIFS('3 Hazed Questions'!$H$2:$H$23,'3 Hazed Questions'!$A$2:$A$23,"Q1",'3 Hazed Questions'!$C$2:$C$23,I53)+SUMIFS('3 Hazed Questions'!$H$2:$H$23,'3 Hazed Questions'!$A$2:$A$23,"Q2",'3 Hazed Questions'!$C$2:$C$23,J53)+SUMIFS('3 Hazed Questions'!$H$2:$H$23,'3 Hazed Questions'!$A$2:$A$23,"Q3",'3 Hazed Questions'!$C$2:$C$23,K53)+SUMIFS('3 Hazed Questions'!$H$2:$H$23,'3 Hazed Questions'!$A$2:$A$23,"Q4",'3 Hazed Questions'!$C$2:$C$23,L53))</f>
        <v/>
      </c>
      <c r="R53" s="14" t="str">
        <f aca="false">IF(COUNTA(I53:L53)=0,"",SUMIFS('3 Hazed Questions'!$I$2:$I$23,'3 Hazed Questions'!$A$2:$A$23,"Q1",'3 Hazed Questions'!$C$2:$C$23,I53)+SUMIFS('3 Hazed Questions'!$I$2:$I$23,'3 Hazed Questions'!$A$2:$A$23,"Q2",'3 Hazed Questions'!$C$2:$C$23,J53)+SUMIFS('3 Hazed Questions'!$I$2:$I$23,'3 Hazed Questions'!$A$2:$A$23,"Q3",'3 Hazed Questions'!$C$2:$C$23,K53)+SUMIFS('3 Hazed Questions'!$I$2:$I$23,'3 Hazed Questions'!$A$2:$A$23,"Q4",'3 Hazed Questions'!$C$2:$C$23,L53))</f>
        <v/>
      </c>
      <c r="S53" s="14" t="str">
        <f aca="false">IF(COUNTA(I53:L53)=0,"",SUMIFS('3 Hazed Questions'!$J$2:$J$23,'3 Hazed Questions'!$A$2:$A$23,"Q1",'3 Hazed Questions'!$C$2:$C$23,I53)+SUMIFS('3 Hazed Questions'!$J$2:$J$23,'3 Hazed Questions'!$A$2:$A$23,"Q2",'3 Hazed Questions'!$C$2:$C$23,J53)+SUMIFS('3 Hazed Questions'!$J$2:$J$23,'3 Hazed Questions'!$A$2:$A$23,"Q3",'3 Hazed Questions'!$C$2:$C$23,K53)+SUMIFS('3 Hazed Questions'!$J$2:$J$23,'3 Hazed Questions'!$A$2:$A$23,"Q4",'3 Hazed Questions'!$C$2:$C$23,L53))</f>
        <v/>
      </c>
      <c r="T53" s="14" t="str">
        <f aca="false">IF(COUNTA(I53:L53)=0,"",SUMIFS('3 Hazed Questions'!$K$2:$K$23,'3 Hazed Questions'!$A$2:$A$23,"Q1",'3 Hazed Questions'!$C$2:$C$23,I53)+SUMIFS('3 Hazed Questions'!$K$2:$K$23,'3 Hazed Questions'!$A$2:$A$23,"Q2",'3 Hazed Questions'!$C$2:$C$23,J53)+SUMIFS('3 Hazed Questions'!$K$2:$K$23,'3 Hazed Questions'!$A$2:$A$23,"Q3",'3 Hazed Questions'!$C$2:$C$23,K53)+SUMIFS('3 Hazed Questions'!$K$2:$K$23,'3 Hazed Questions'!$A$2:$A$23,"Q4",'3 Hazed Questions'!$C$2:$C$23,L53))</f>
        <v/>
      </c>
      <c r="U53" s="14" t="str">
        <f aca="false">IF(COUNTA(I53:L53)=0,"",SUMIFS('3 Hazed Questions'!$L$2:$L$23,'3 Hazed Questions'!$A$2:$A$23,"Q1",'3 Hazed Questions'!$C$2:$C$23,I53)+SUMIFS('3 Hazed Questions'!$L$2:$L$23,'3 Hazed Questions'!$A$2:$A$23,"Q2",'3 Hazed Questions'!$C$2:$C$23,J53)+SUMIFS('3 Hazed Questions'!$L$2:$L$23,'3 Hazed Questions'!$A$2:$A$23,"Q3",'3 Hazed Questions'!$C$2:$C$23,K53)+SUMIFS('3 Hazed Questions'!$L$2:$L$23,'3 Hazed Questions'!$A$2:$A$23,"Q4",'3 Hazed Questions'!$C$2:$C$23,L53))</f>
        <v/>
      </c>
      <c r="V53" s="14" t="str">
        <f aca="false">IF(COUNTA(I53:L53)=0,"",SUMIFS('3 Hazed Questions'!$M$2:$M$23,'3 Hazed Questions'!$A$2:$A$23,"Q1",'3 Hazed Questions'!$C$2:$C$23,I53)+SUMIFS('3 Hazed Questions'!$M$2:$M$23,'3 Hazed Questions'!$A$2:$A$23,"Q2",'3 Hazed Questions'!$C$2:$C$23,J53)+SUMIFS('3 Hazed Questions'!$M$2:$M$23,'3 Hazed Questions'!$A$2:$A$23,"Q3",'3 Hazed Questions'!$C$2:$C$23,K53)+SUMIFS('3 Hazed Questions'!$M$2:$M$23,'3 Hazed Questions'!$A$2:$A$23,"Q4",'3 Hazed Questions'!$C$2:$C$23,L53))</f>
        <v/>
      </c>
      <c r="W53" s="14" t="str">
        <f aca="false">IF(COUNTA(I53:L53)=0,"",SUMIFS('3 Hazed Questions'!$N$2:$N$23,'3 Hazed Questions'!$A$2:$A$23,"Q1",'3 Hazed Questions'!$C$2:$C$23,I53)+SUMIFS('3 Hazed Questions'!$N$2:$N$23,'3 Hazed Questions'!$A$2:$A$23,"Q2",'3 Hazed Questions'!$C$2:$C$23,J53)+SUMIFS('3 Hazed Questions'!$N$2:$N$23,'3 Hazed Questions'!$A$2:$A$23,"Q3",'3 Hazed Questions'!$C$2:$C$23,K53)+SUMIFS('3 Hazed Questions'!$N$2:$N$23,'3 Hazed Questions'!$A$2:$A$23,"Q4",'3 Hazed Questions'!$C$2:$C$23,L53))</f>
        <v/>
      </c>
      <c r="X53" s="14" t="str">
        <f aca="false">IF(COUNTA(I53:L53)=0,"",INDEX(Fields!$B$2:$B$50,MATCH(SUBSTITUTE(INDEX($N$1:$W$1,MATCH(MAX($N53:$W53),$N53:$W53,0)),"Score: ",""),Fields!$A$2:$A$50,0)))</f>
        <v/>
      </c>
      <c r="Y53" s="14" t="str">
        <f aca="true">IF(COUNTA(I53:L53)=0,"",IF(LARGE($N53:$W53,2)=0,"-",INDEX(Fields!$B$2:$B$50,MATCH(SUBSTITUTE(INDEX($N$1:$W$1,IF(LARGE($N53:$W53,2)=MAX($N53:$W53),MATCH(MAX($N53:$W53),OFFSET($N53:$W53,0,MATCH(MAX($N53:$W53),$N53:$W53,0),1,10-MATCH(MAX($N53:$W53),$N53:$W53,0)),0)+MATCH(MAX($N53:$W53),$N53:$W53,0),MATCH(LARGE($N53:$W53,2),$N53:$W53,0))),"Score: ",""),Fields!$A$2:$A$50,0))))</f>
        <v/>
      </c>
      <c r="Z53" s="14" t="str">
        <f aca="false">IF(M53="","",IFERROR(INDEX('3 Hazed Questions'!$O$2:$O$23,MATCH(1,INDEX(('3 Hazed Questions'!$A$2:$A$23="Q5")*('3 Hazed Questions'!$C$2:$C$23=M53),0),0))&amp;"",""))</f>
        <v/>
      </c>
      <c r="AA53" s="18"/>
      <c r="AB53" s="18"/>
      <c r="AC53" s="19"/>
      <c r="AD53" s="19"/>
      <c r="AE53" s="18"/>
      <c r="AF53" s="18"/>
      <c r="AG53" s="18"/>
    </row>
    <row r="54" customFormat="false" ht="15" hidden="false" customHeight="false" outlineLevel="0" collapsed="false">
      <c r="A54" s="18"/>
      <c r="B54" s="19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4" t="str">
        <f aca="false">IF(COUNTA(I54:L54)=0,"",SUMIFS('3 Hazed Questions'!$E$2:$E$23,'3 Hazed Questions'!$A$2:$A$23,"Q1",'3 Hazed Questions'!$C$2:$C$23,I54)+SUMIFS('3 Hazed Questions'!$E$2:$E$23,'3 Hazed Questions'!$A$2:$A$23,"Q2",'3 Hazed Questions'!$C$2:$C$23,J54)+SUMIFS('3 Hazed Questions'!$E$2:$E$23,'3 Hazed Questions'!$A$2:$A$23,"Q3",'3 Hazed Questions'!$C$2:$C$23,K54)+SUMIFS('3 Hazed Questions'!$E$2:$E$23,'3 Hazed Questions'!$A$2:$A$23,"Q4",'3 Hazed Questions'!$C$2:$C$23,L54))</f>
        <v/>
      </c>
      <c r="O54" s="14" t="str">
        <f aca="false">IF(COUNTA(I54:L54)=0,"",SUMIFS('3 Hazed Questions'!$F$2:$F$23,'3 Hazed Questions'!$A$2:$A$23,"Q1",'3 Hazed Questions'!$C$2:$C$23,I54)+SUMIFS('3 Hazed Questions'!$F$2:$F$23,'3 Hazed Questions'!$A$2:$A$23,"Q2",'3 Hazed Questions'!$C$2:$C$23,J54)+SUMIFS('3 Hazed Questions'!$F$2:$F$23,'3 Hazed Questions'!$A$2:$A$23,"Q3",'3 Hazed Questions'!$C$2:$C$23,K54)+SUMIFS('3 Hazed Questions'!$F$2:$F$23,'3 Hazed Questions'!$A$2:$A$23,"Q4",'3 Hazed Questions'!$C$2:$C$23,L54))</f>
        <v/>
      </c>
      <c r="P54" s="14" t="str">
        <f aca="false">IF(COUNTA(I54:L54)=0,"",SUMIFS('3 Hazed Questions'!$G$2:$G$23,'3 Hazed Questions'!$A$2:$A$23,"Q1",'3 Hazed Questions'!$C$2:$C$23,I54)+SUMIFS('3 Hazed Questions'!$G$2:$G$23,'3 Hazed Questions'!$A$2:$A$23,"Q2",'3 Hazed Questions'!$C$2:$C$23,J54)+SUMIFS('3 Hazed Questions'!$G$2:$G$23,'3 Hazed Questions'!$A$2:$A$23,"Q3",'3 Hazed Questions'!$C$2:$C$23,K54)+SUMIFS('3 Hazed Questions'!$G$2:$G$23,'3 Hazed Questions'!$A$2:$A$23,"Q4",'3 Hazed Questions'!$C$2:$C$23,L54))</f>
        <v/>
      </c>
      <c r="Q54" s="14" t="str">
        <f aca="false">IF(COUNTA(I54:L54)=0,"",SUMIFS('3 Hazed Questions'!$H$2:$H$23,'3 Hazed Questions'!$A$2:$A$23,"Q1",'3 Hazed Questions'!$C$2:$C$23,I54)+SUMIFS('3 Hazed Questions'!$H$2:$H$23,'3 Hazed Questions'!$A$2:$A$23,"Q2",'3 Hazed Questions'!$C$2:$C$23,J54)+SUMIFS('3 Hazed Questions'!$H$2:$H$23,'3 Hazed Questions'!$A$2:$A$23,"Q3",'3 Hazed Questions'!$C$2:$C$23,K54)+SUMIFS('3 Hazed Questions'!$H$2:$H$23,'3 Hazed Questions'!$A$2:$A$23,"Q4",'3 Hazed Questions'!$C$2:$C$23,L54))</f>
        <v/>
      </c>
      <c r="R54" s="14" t="str">
        <f aca="false">IF(COUNTA(I54:L54)=0,"",SUMIFS('3 Hazed Questions'!$I$2:$I$23,'3 Hazed Questions'!$A$2:$A$23,"Q1",'3 Hazed Questions'!$C$2:$C$23,I54)+SUMIFS('3 Hazed Questions'!$I$2:$I$23,'3 Hazed Questions'!$A$2:$A$23,"Q2",'3 Hazed Questions'!$C$2:$C$23,J54)+SUMIFS('3 Hazed Questions'!$I$2:$I$23,'3 Hazed Questions'!$A$2:$A$23,"Q3",'3 Hazed Questions'!$C$2:$C$23,K54)+SUMIFS('3 Hazed Questions'!$I$2:$I$23,'3 Hazed Questions'!$A$2:$A$23,"Q4",'3 Hazed Questions'!$C$2:$C$23,L54))</f>
        <v/>
      </c>
      <c r="S54" s="14" t="str">
        <f aca="false">IF(COUNTA(I54:L54)=0,"",SUMIFS('3 Hazed Questions'!$J$2:$J$23,'3 Hazed Questions'!$A$2:$A$23,"Q1",'3 Hazed Questions'!$C$2:$C$23,I54)+SUMIFS('3 Hazed Questions'!$J$2:$J$23,'3 Hazed Questions'!$A$2:$A$23,"Q2",'3 Hazed Questions'!$C$2:$C$23,J54)+SUMIFS('3 Hazed Questions'!$J$2:$J$23,'3 Hazed Questions'!$A$2:$A$23,"Q3",'3 Hazed Questions'!$C$2:$C$23,K54)+SUMIFS('3 Hazed Questions'!$J$2:$J$23,'3 Hazed Questions'!$A$2:$A$23,"Q4",'3 Hazed Questions'!$C$2:$C$23,L54))</f>
        <v/>
      </c>
      <c r="T54" s="14" t="str">
        <f aca="false">IF(COUNTA(I54:L54)=0,"",SUMIFS('3 Hazed Questions'!$K$2:$K$23,'3 Hazed Questions'!$A$2:$A$23,"Q1",'3 Hazed Questions'!$C$2:$C$23,I54)+SUMIFS('3 Hazed Questions'!$K$2:$K$23,'3 Hazed Questions'!$A$2:$A$23,"Q2",'3 Hazed Questions'!$C$2:$C$23,J54)+SUMIFS('3 Hazed Questions'!$K$2:$K$23,'3 Hazed Questions'!$A$2:$A$23,"Q3",'3 Hazed Questions'!$C$2:$C$23,K54)+SUMIFS('3 Hazed Questions'!$K$2:$K$23,'3 Hazed Questions'!$A$2:$A$23,"Q4",'3 Hazed Questions'!$C$2:$C$23,L54))</f>
        <v/>
      </c>
      <c r="U54" s="14" t="str">
        <f aca="false">IF(COUNTA(I54:L54)=0,"",SUMIFS('3 Hazed Questions'!$L$2:$L$23,'3 Hazed Questions'!$A$2:$A$23,"Q1",'3 Hazed Questions'!$C$2:$C$23,I54)+SUMIFS('3 Hazed Questions'!$L$2:$L$23,'3 Hazed Questions'!$A$2:$A$23,"Q2",'3 Hazed Questions'!$C$2:$C$23,J54)+SUMIFS('3 Hazed Questions'!$L$2:$L$23,'3 Hazed Questions'!$A$2:$A$23,"Q3",'3 Hazed Questions'!$C$2:$C$23,K54)+SUMIFS('3 Hazed Questions'!$L$2:$L$23,'3 Hazed Questions'!$A$2:$A$23,"Q4",'3 Hazed Questions'!$C$2:$C$23,L54))</f>
        <v/>
      </c>
      <c r="V54" s="14" t="str">
        <f aca="false">IF(COUNTA(I54:L54)=0,"",SUMIFS('3 Hazed Questions'!$M$2:$M$23,'3 Hazed Questions'!$A$2:$A$23,"Q1",'3 Hazed Questions'!$C$2:$C$23,I54)+SUMIFS('3 Hazed Questions'!$M$2:$M$23,'3 Hazed Questions'!$A$2:$A$23,"Q2",'3 Hazed Questions'!$C$2:$C$23,J54)+SUMIFS('3 Hazed Questions'!$M$2:$M$23,'3 Hazed Questions'!$A$2:$A$23,"Q3",'3 Hazed Questions'!$C$2:$C$23,K54)+SUMIFS('3 Hazed Questions'!$M$2:$M$23,'3 Hazed Questions'!$A$2:$A$23,"Q4",'3 Hazed Questions'!$C$2:$C$23,L54))</f>
        <v/>
      </c>
      <c r="W54" s="14" t="str">
        <f aca="false">IF(COUNTA(I54:L54)=0,"",SUMIFS('3 Hazed Questions'!$N$2:$N$23,'3 Hazed Questions'!$A$2:$A$23,"Q1",'3 Hazed Questions'!$C$2:$C$23,I54)+SUMIFS('3 Hazed Questions'!$N$2:$N$23,'3 Hazed Questions'!$A$2:$A$23,"Q2",'3 Hazed Questions'!$C$2:$C$23,J54)+SUMIFS('3 Hazed Questions'!$N$2:$N$23,'3 Hazed Questions'!$A$2:$A$23,"Q3",'3 Hazed Questions'!$C$2:$C$23,K54)+SUMIFS('3 Hazed Questions'!$N$2:$N$23,'3 Hazed Questions'!$A$2:$A$23,"Q4",'3 Hazed Questions'!$C$2:$C$23,L54))</f>
        <v/>
      </c>
      <c r="X54" s="14" t="str">
        <f aca="false">IF(COUNTA(I54:L54)=0,"",INDEX(Fields!$B$2:$B$50,MATCH(SUBSTITUTE(INDEX($N$1:$W$1,MATCH(MAX($N54:$W54),$N54:$W54,0)),"Score: ",""),Fields!$A$2:$A$50,0)))</f>
        <v/>
      </c>
      <c r="Y54" s="14" t="str">
        <f aca="true">IF(COUNTA(I54:L54)=0,"",IF(LARGE($N54:$W54,2)=0,"-",INDEX(Fields!$B$2:$B$50,MATCH(SUBSTITUTE(INDEX($N$1:$W$1,IF(LARGE($N54:$W54,2)=MAX($N54:$W54),MATCH(MAX($N54:$W54),OFFSET($N54:$W54,0,MATCH(MAX($N54:$W54),$N54:$W54,0),1,10-MATCH(MAX($N54:$W54),$N54:$W54,0)),0)+MATCH(MAX($N54:$W54),$N54:$W54,0),MATCH(LARGE($N54:$W54,2),$N54:$W54,0))),"Score: ",""),Fields!$A$2:$A$50,0))))</f>
        <v/>
      </c>
      <c r="Z54" s="14" t="str">
        <f aca="false">IF(M54="","",IFERROR(INDEX('3 Hazed Questions'!$O$2:$O$23,MATCH(1,INDEX(('3 Hazed Questions'!$A$2:$A$23="Q5")*('3 Hazed Questions'!$C$2:$C$23=M54),0),0))&amp;"",""))</f>
        <v/>
      </c>
      <c r="AA54" s="18"/>
      <c r="AB54" s="18"/>
      <c r="AC54" s="19"/>
      <c r="AD54" s="19"/>
      <c r="AE54" s="18"/>
      <c r="AF54" s="18"/>
      <c r="AG54" s="18"/>
    </row>
    <row r="55" customFormat="false" ht="15" hidden="false" customHeight="false" outlineLevel="0" collapsed="false">
      <c r="A55" s="18"/>
      <c r="B55" s="19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4" t="str">
        <f aca="false">IF(COUNTA(I55:L55)=0,"",SUMIFS('3 Hazed Questions'!$E$2:$E$23,'3 Hazed Questions'!$A$2:$A$23,"Q1",'3 Hazed Questions'!$C$2:$C$23,I55)+SUMIFS('3 Hazed Questions'!$E$2:$E$23,'3 Hazed Questions'!$A$2:$A$23,"Q2",'3 Hazed Questions'!$C$2:$C$23,J55)+SUMIFS('3 Hazed Questions'!$E$2:$E$23,'3 Hazed Questions'!$A$2:$A$23,"Q3",'3 Hazed Questions'!$C$2:$C$23,K55)+SUMIFS('3 Hazed Questions'!$E$2:$E$23,'3 Hazed Questions'!$A$2:$A$23,"Q4",'3 Hazed Questions'!$C$2:$C$23,L55))</f>
        <v/>
      </c>
      <c r="O55" s="14" t="str">
        <f aca="false">IF(COUNTA(I55:L55)=0,"",SUMIFS('3 Hazed Questions'!$F$2:$F$23,'3 Hazed Questions'!$A$2:$A$23,"Q1",'3 Hazed Questions'!$C$2:$C$23,I55)+SUMIFS('3 Hazed Questions'!$F$2:$F$23,'3 Hazed Questions'!$A$2:$A$23,"Q2",'3 Hazed Questions'!$C$2:$C$23,J55)+SUMIFS('3 Hazed Questions'!$F$2:$F$23,'3 Hazed Questions'!$A$2:$A$23,"Q3",'3 Hazed Questions'!$C$2:$C$23,K55)+SUMIFS('3 Hazed Questions'!$F$2:$F$23,'3 Hazed Questions'!$A$2:$A$23,"Q4",'3 Hazed Questions'!$C$2:$C$23,L55))</f>
        <v/>
      </c>
      <c r="P55" s="14" t="str">
        <f aca="false">IF(COUNTA(I55:L55)=0,"",SUMIFS('3 Hazed Questions'!$G$2:$G$23,'3 Hazed Questions'!$A$2:$A$23,"Q1",'3 Hazed Questions'!$C$2:$C$23,I55)+SUMIFS('3 Hazed Questions'!$G$2:$G$23,'3 Hazed Questions'!$A$2:$A$23,"Q2",'3 Hazed Questions'!$C$2:$C$23,J55)+SUMIFS('3 Hazed Questions'!$G$2:$G$23,'3 Hazed Questions'!$A$2:$A$23,"Q3",'3 Hazed Questions'!$C$2:$C$23,K55)+SUMIFS('3 Hazed Questions'!$G$2:$G$23,'3 Hazed Questions'!$A$2:$A$23,"Q4",'3 Hazed Questions'!$C$2:$C$23,L55))</f>
        <v/>
      </c>
      <c r="Q55" s="14" t="str">
        <f aca="false">IF(COUNTA(I55:L55)=0,"",SUMIFS('3 Hazed Questions'!$H$2:$H$23,'3 Hazed Questions'!$A$2:$A$23,"Q1",'3 Hazed Questions'!$C$2:$C$23,I55)+SUMIFS('3 Hazed Questions'!$H$2:$H$23,'3 Hazed Questions'!$A$2:$A$23,"Q2",'3 Hazed Questions'!$C$2:$C$23,J55)+SUMIFS('3 Hazed Questions'!$H$2:$H$23,'3 Hazed Questions'!$A$2:$A$23,"Q3",'3 Hazed Questions'!$C$2:$C$23,K55)+SUMIFS('3 Hazed Questions'!$H$2:$H$23,'3 Hazed Questions'!$A$2:$A$23,"Q4",'3 Hazed Questions'!$C$2:$C$23,L55))</f>
        <v/>
      </c>
      <c r="R55" s="14" t="str">
        <f aca="false">IF(COUNTA(I55:L55)=0,"",SUMIFS('3 Hazed Questions'!$I$2:$I$23,'3 Hazed Questions'!$A$2:$A$23,"Q1",'3 Hazed Questions'!$C$2:$C$23,I55)+SUMIFS('3 Hazed Questions'!$I$2:$I$23,'3 Hazed Questions'!$A$2:$A$23,"Q2",'3 Hazed Questions'!$C$2:$C$23,J55)+SUMIFS('3 Hazed Questions'!$I$2:$I$23,'3 Hazed Questions'!$A$2:$A$23,"Q3",'3 Hazed Questions'!$C$2:$C$23,K55)+SUMIFS('3 Hazed Questions'!$I$2:$I$23,'3 Hazed Questions'!$A$2:$A$23,"Q4",'3 Hazed Questions'!$C$2:$C$23,L55))</f>
        <v/>
      </c>
      <c r="S55" s="14" t="str">
        <f aca="false">IF(COUNTA(I55:L55)=0,"",SUMIFS('3 Hazed Questions'!$J$2:$J$23,'3 Hazed Questions'!$A$2:$A$23,"Q1",'3 Hazed Questions'!$C$2:$C$23,I55)+SUMIFS('3 Hazed Questions'!$J$2:$J$23,'3 Hazed Questions'!$A$2:$A$23,"Q2",'3 Hazed Questions'!$C$2:$C$23,J55)+SUMIFS('3 Hazed Questions'!$J$2:$J$23,'3 Hazed Questions'!$A$2:$A$23,"Q3",'3 Hazed Questions'!$C$2:$C$23,K55)+SUMIFS('3 Hazed Questions'!$J$2:$J$23,'3 Hazed Questions'!$A$2:$A$23,"Q4",'3 Hazed Questions'!$C$2:$C$23,L55))</f>
        <v/>
      </c>
      <c r="T55" s="14" t="str">
        <f aca="false">IF(COUNTA(I55:L55)=0,"",SUMIFS('3 Hazed Questions'!$K$2:$K$23,'3 Hazed Questions'!$A$2:$A$23,"Q1",'3 Hazed Questions'!$C$2:$C$23,I55)+SUMIFS('3 Hazed Questions'!$K$2:$K$23,'3 Hazed Questions'!$A$2:$A$23,"Q2",'3 Hazed Questions'!$C$2:$C$23,J55)+SUMIFS('3 Hazed Questions'!$K$2:$K$23,'3 Hazed Questions'!$A$2:$A$23,"Q3",'3 Hazed Questions'!$C$2:$C$23,K55)+SUMIFS('3 Hazed Questions'!$K$2:$K$23,'3 Hazed Questions'!$A$2:$A$23,"Q4",'3 Hazed Questions'!$C$2:$C$23,L55))</f>
        <v/>
      </c>
      <c r="U55" s="14" t="str">
        <f aca="false">IF(COUNTA(I55:L55)=0,"",SUMIFS('3 Hazed Questions'!$L$2:$L$23,'3 Hazed Questions'!$A$2:$A$23,"Q1",'3 Hazed Questions'!$C$2:$C$23,I55)+SUMIFS('3 Hazed Questions'!$L$2:$L$23,'3 Hazed Questions'!$A$2:$A$23,"Q2",'3 Hazed Questions'!$C$2:$C$23,J55)+SUMIFS('3 Hazed Questions'!$L$2:$L$23,'3 Hazed Questions'!$A$2:$A$23,"Q3",'3 Hazed Questions'!$C$2:$C$23,K55)+SUMIFS('3 Hazed Questions'!$L$2:$L$23,'3 Hazed Questions'!$A$2:$A$23,"Q4",'3 Hazed Questions'!$C$2:$C$23,L55))</f>
        <v/>
      </c>
      <c r="V55" s="14" t="str">
        <f aca="false">IF(COUNTA(I55:L55)=0,"",SUMIFS('3 Hazed Questions'!$M$2:$M$23,'3 Hazed Questions'!$A$2:$A$23,"Q1",'3 Hazed Questions'!$C$2:$C$23,I55)+SUMIFS('3 Hazed Questions'!$M$2:$M$23,'3 Hazed Questions'!$A$2:$A$23,"Q2",'3 Hazed Questions'!$C$2:$C$23,J55)+SUMIFS('3 Hazed Questions'!$M$2:$M$23,'3 Hazed Questions'!$A$2:$A$23,"Q3",'3 Hazed Questions'!$C$2:$C$23,K55)+SUMIFS('3 Hazed Questions'!$M$2:$M$23,'3 Hazed Questions'!$A$2:$A$23,"Q4",'3 Hazed Questions'!$C$2:$C$23,L55))</f>
        <v/>
      </c>
      <c r="W55" s="14" t="str">
        <f aca="false">IF(COUNTA(I55:L55)=0,"",SUMIFS('3 Hazed Questions'!$N$2:$N$23,'3 Hazed Questions'!$A$2:$A$23,"Q1",'3 Hazed Questions'!$C$2:$C$23,I55)+SUMIFS('3 Hazed Questions'!$N$2:$N$23,'3 Hazed Questions'!$A$2:$A$23,"Q2",'3 Hazed Questions'!$C$2:$C$23,J55)+SUMIFS('3 Hazed Questions'!$N$2:$N$23,'3 Hazed Questions'!$A$2:$A$23,"Q3",'3 Hazed Questions'!$C$2:$C$23,K55)+SUMIFS('3 Hazed Questions'!$N$2:$N$23,'3 Hazed Questions'!$A$2:$A$23,"Q4",'3 Hazed Questions'!$C$2:$C$23,L55))</f>
        <v/>
      </c>
      <c r="X55" s="14" t="str">
        <f aca="false">IF(COUNTA(I55:L55)=0,"",INDEX(Fields!$B$2:$B$50,MATCH(SUBSTITUTE(INDEX($N$1:$W$1,MATCH(MAX($N55:$W55),$N55:$W55,0)),"Score: ",""),Fields!$A$2:$A$50,0)))</f>
        <v/>
      </c>
      <c r="Y55" s="14" t="str">
        <f aca="true">IF(COUNTA(I55:L55)=0,"",IF(LARGE($N55:$W55,2)=0,"-",INDEX(Fields!$B$2:$B$50,MATCH(SUBSTITUTE(INDEX($N$1:$W$1,IF(LARGE($N55:$W55,2)=MAX($N55:$W55),MATCH(MAX($N55:$W55),OFFSET($N55:$W55,0,MATCH(MAX($N55:$W55),$N55:$W55,0),1,10-MATCH(MAX($N55:$W55),$N55:$W55,0)),0)+MATCH(MAX($N55:$W55),$N55:$W55,0),MATCH(LARGE($N55:$W55,2),$N55:$W55,0))),"Score: ",""),Fields!$A$2:$A$50,0))))</f>
        <v/>
      </c>
      <c r="Z55" s="14" t="str">
        <f aca="false">IF(M55="","",IFERROR(INDEX('3 Hazed Questions'!$O$2:$O$23,MATCH(1,INDEX(('3 Hazed Questions'!$A$2:$A$23="Q5")*('3 Hazed Questions'!$C$2:$C$23=M55),0),0))&amp;"",""))</f>
        <v/>
      </c>
      <c r="AA55" s="18"/>
      <c r="AB55" s="18"/>
      <c r="AC55" s="19"/>
      <c r="AD55" s="19"/>
      <c r="AE55" s="18"/>
      <c r="AF55" s="18"/>
      <c r="AG55" s="18"/>
    </row>
    <row r="56" customFormat="false" ht="15" hidden="false" customHeight="false" outlineLevel="0" collapsed="false">
      <c r="A56" s="18"/>
      <c r="B56" s="19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4" t="str">
        <f aca="false">IF(COUNTA(I56:L56)=0,"",SUMIFS('3 Hazed Questions'!$E$2:$E$23,'3 Hazed Questions'!$A$2:$A$23,"Q1",'3 Hazed Questions'!$C$2:$C$23,I56)+SUMIFS('3 Hazed Questions'!$E$2:$E$23,'3 Hazed Questions'!$A$2:$A$23,"Q2",'3 Hazed Questions'!$C$2:$C$23,J56)+SUMIFS('3 Hazed Questions'!$E$2:$E$23,'3 Hazed Questions'!$A$2:$A$23,"Q3",'3 Hazed Questions'!$C$2:$C$23,K56)+SUMIFS('3 Hazed Questions'!$E$2:$E$23,'3 Hazed Questions'!$A$2:$A$23,"Q4",'3 Hazed Questions'!$C$2:$C$23,L56))</f>
        <v/>
      </c>
      <c r="O56" s="14" t="str">
        <f aca="false">IF(COUNTA(I56:L56)=0,"",SUMIFS('3 Hazed Questions'!$F$2:$F$23,'3 Hazed Questions'!$A$2:$A$23,"Q1",'3 Hazed Questions'!$C$2:$C$23,I56)+SUMIFS('3 Hazed Questions'!$F$2:$F$23,'3 Hazed Questions'!$A$2:$A$23,"Q2",'3 Hazed Questions'!$C$2:$C$23,J56)+SUMIFS('3 Hazed Questions'!$F$2:$F$23,'3 Hazed Questions'!$A$2:$A$23,"Q3",'3 Hazed Questions'!$C$2:$C$23,K56)+SUMIFS('3 Hazed Questions'!$F$2:$F$23,'3 Hazed Questions'!$A$2:$A$23,"Q4",'3 Hazed Questions'!$C$2:$C$23,L56))</f>
        <v/>
      </c>
      <c r="P56" s="14" t="str">
        <f aca="false">IF(COUNTA(I56:L56)=0,"",SUMIFS('3 Hazed Questions'!$G$2:$G$23,'3 Hazed Questions'!$A$2:$A$23,"Q1",'3 Hazed Questions'!$C$2:$C$23,I56)+SUMIFS('3 Hazed Questions'!$G$2:$G$23,'3 Hazed Questions'!$A$2:$A$23,"Q2",'3 Hazed Questions'!$C$2:$C$23,J56)+SUMIFS('3 Hazed Questions'!$G$2:$G$23,'3 Hazed Questions'!$A$2:$A$23,"Q3",'3 Hazed Questions'!$C$2:$C$23,K56)+SUMIFS('3 Hazed Questions'!$G$2:$G$23,'3 Hazed Questions'!$A$2:$A$23,"Q4",'3 Hazed Questions'!$C$2:$C$23,L56))</f>
        <v/>
      </c>
      <c r="Q56" s="14" t="str">
        <f aca="false">IF(COUNTA(I56:L56)=0,"",SUMIFS('3 Hazed Questions'!$H$2:$H$23,'3 Hazed Questions'!$A$2:$A$23,"Q1",'3 Hazed Questions'!$C$2:$C$23,I56)+SUMIFS('3 Hazed Questions'!$H$2:$H$23,'3 Hazed Questions'!$A$2:$A$23,"Q2",'3 Hazed Questions'!$C$2:$C$23,J56)+SUMIFS('3 Hazed Questions'!$H$2:$H$23,'3 Hazed Questions'!$A$2:$A$23,"Q3",'3 Hazed Questions'!$C$2:$C$23,K56)+SUMIFS('3 Hazed Questions'!$H$2:$H$23,'3 Hazed Questions'!$A$2:$A$23,"Q4",'3 Hazed Questions'!$C$2:$C$23,L56))</f>
        <v/>
      </c>
      <c r="R56" s="14" t="str">
        <f aca="false">IF(COUNTA(I56:L56)=0,"",SUMIFS('3 Hazed Questions'!$I$2:$I$23,'3 Hazed Questions'!$A$2:$A$23,"Q1",'3 Hazed Questions'!$C$2:$C$23,I56)+SUMIFS('3 Hazed Questions'!$I$2:$I$23,'3 Hazed Questions'!$A$2:$A$23,"Q2",'3 Hazed Questions'!$C$2:$C$23,J56)+SUMIFS('3 Hazed Questions'!$I$2:$I$23,'3 Hazed Questions'!$A$2:$A$23,"Q3",'3 Hazed Questions'!$C$2:$C$23,K56)+SUMIFS('3 Hazed Questions'!$I$2:$I$23,'3 Hazed Questions'!$A$2:$A$23,"Q4",'3 Hazed Questions'!$C$2:$C$23,L56))</f>
        <v/>
      </c>
      <c r="S56" s="14" t="str">
        <f aca="false">IF(COUNTA(I56:L56)=0,"",SUMIFS('3 Hazed Questions'!$J$2:$J$23,'3 Hazed Questions'!$A$2:$A$23,"Q1",'3 Hazed Questions'!$C$2:$C$23,I56)+SUMIFS('3 Hazed Questions'!$J$2:$J$23,'3 Hazed Questions'!$A$2:$A$23,"Q2",'3 Hazed Questions'!$C$2:$C$23,J56)+SUMIFS('3 Hazed Questions'!$J$2:$J$23,'3 Hazed Questions'!$A$2:$A$23,"Q3",'3 Hazed Questions'!$C$2:$C$23,K56)+SUMIFS('3 Hazed Questions'!$J$2:$J$23,'3 Hazed Questions'!$A$2:$A$23,"Q4",'3 Hazed Questions'!$C$2:$C$23,L56))</f>
        <v/>
      </c>
      <c r="T56" s="14" t="str">
        <f aca="false">IF(COUNTA(I56:L56)=0,"",SUMIFS('3 Hazed Questions'!$K$2:$K$23,'3 Hazed Questions'!$A$2:$A$23,"Q1",'3 Hazed Questions'!$C$2:$C$23,I56)+SUMIFS('3 Hazed Questions'!$K$2:$K$23,'3 Hazed Questions'!$A$2:$A$23,"Q2",'3 Hazed Questions'!$C$2:$C$23,J56)+SUMIFS('3 Hazed Questions'!$K$2:$K$23,'3 Hazed Questions'!$A$2:$A$23,"Q3",'3 Hazed Questions'!$C$2:$C$23,K56)+SUMIFS('3 Hazed Questions'!$K$2:$K$23,'3 Hazed Questions'!$A$2:$A$23,"Q4",'3 Hazed Questions'!$C$2:$C$23,L56))</f>
        <v/>
      </c>
      <c r="U56" s="14" t="str">
        <f aca="false">IF(COUNTA(I56:L56)=0,"",SUMIFS('3 Hazed Questions'!$L$2:$L$23,'3 Hazed Questions'!$A$2:$A$23,"Q1",'3 Hazed Questions'!$C$2:$C$23,I56)+SUMIFS('3 Hazed Questions'!$L$2:$L$23,'3 Hazed Questions'!$A$2:$A$23,"Q2",'3 Hazed Questions'!$C$2:$C$23,J56)+SUMIFS('3 Hazed Questions'!$L$2:$L$23,'3 Hazed Questions'!$A$2:$A$23,"Q3",'3 Hazed Questions'!$C$2:$C$23,K56)+SUMIFS('3 Hazed Questions'!$L$2:$L$23,'3 Hazed Questions'!$A$2:$A$23,"Q4",'3 Hazed Questions'!$C$2:$C$23,L56))</f>
        <v/>
      </c>
      <c r="V56" s="14" t="str">
        <f aca="false">IF(COUNTA(I56:L56)=0,"",SUMIFS('3 Hazed Questions'!$M$2:$M$23,'3 Hazed Questions'!$A$2:$A$23,"Q1",'3 Hazed Questions'!$C$2:$C$23,I56)+SUMIFS('3 Hazed Questions'!$M$2:$M$23,'3 Hazed Questions'!$A$2:$A$23,"Q2",'3 Hazed Questions'!$C$2:$C$23,J56)+SUMIFS('3 Hazed Questions'!$M$2:$M$23,'3 Hazed Questions'!$A$2:$A$23,"Q3",'3 Hazed Questions'!$C$2:$C$23,K56)+SUMIFS('3 Hazed Questions'!$M$2:$M$23,'3 Hazed Questions'!$A$2:$A$23,"Q4",'3 Hazed Questions'!$C$2:$C$23,L56))</f>
        <v/>
      </c>
      <c r="W56" s="14" t="str">
        <f aca="false">IF(COUNTA(I56:L56)=0,"",SUMIFS('3 Hazed Questions'!$N$2:$N$23,'3 Hazed Questions'!$A$2:$A$23,"Q1",'3 Hazed Questions'!$C$2:$C$23,I56)+SUMIFS('3 Hazed Questions'!$N$2:$N$23,'3 Hazed Questions'!$A$2:$A$23,"Q2",'3 Hazed Questions'!$C$2:$C$23,J56)+SUMIFS('3 Hazed Questions'!$N$2:$N$23,'3 Hazed Questions'!$A$2:$A$23,"Q3",'3 Hazed Questions'!$C$2:$C$23,K56)+SUMIFS('3 Hazed Questions'!$N$2:$N$23,'3 Hazed Questions'!$A$2:$A$23,"Q4",'3 Hazed Questions'!$C$2:$C$23,L56))</f>
        <v/>
      </c>
      <c r="X56" s="14" t="str">
        <f aca="false">IF(COUNTA(I56:L56)=0,"",INDEX(Fields!$B$2:$B$50,MATCH(SUBSTITUTE(INDEX($N$1:$W$1,MATCH(MAX($N56:$W56),$N56:$W56,0)),"Score: ",""),Fields!$A$2:$A$50,0)))</f>
        <v/>
      </c>
      <c r="Y56" s="14" t="str">
        <f aca="true">IF(COUNTA(I56:L56)=0,"",IF(LARGE($N56:$W56,2)=0,"-",INDEX(Fields!$B$2:$B$50,MATCH(SUBSTITUTE(INDEX($N$1:$W$1,IF(LARGE($N56:$W56,2)=MAX($N56:$W56),MATCH(MAX($N56:$W56),OFFSET($N56:$W56,0,MATCH(MAX($N56:$W56),$N56:$W56,0),1,10-MATCH(MAX($N56:$W56),$N56:$W56,0)),0)+MATCH(MAX($N56:$W56),$N56:$W56,0),MATCH(LARGE($N56:$W56,2),$N56:$W56,0))),"Score: ",""),Fields!$A$2:$A$50,0))))</f>
        <v/>
      </c>
      <c r="Z56" s="14" t="str">
        <f aca="false">IF(M56="","",IFERROR(INDEX('3 Hazed Questions'!$O$2:$O$23,MATCH(1,INDEX(('3 Hazed Questions'!$A$2:$A$23="Q5")*('3 Hazed Questions'!$C$2:$C$23=M56),0),0))&amp;"",""))</f>
        <v/>
      </c>
      <c r="AA56" s="18"/>
      <c r="AB56" s="18"/>
      <c r="AC56" s="19"/>
      <c r="AD56" s="19"/>
      <c r="AE56" s="18"/>
      <c r="AF56" s="18"/>
      <c r="AG56" s="18"/>
    </row>
    <row r="57" customFormat="false" ht="15" hidden="false" customHeight="false" outlineLevel="0" collapsed="false">
      <c r="A57" s="18"/>
      <c r="B57" s="19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4" t="str">
        <f aca="false">IF(COUNTA(I57:L57)=0,"",SUMIFS('3 Hazed Questions'!$E$2:$E$23,'3 Hazed Questions'!$A$2:$A$23,"Q1",'3 Hazed Questions'!$C$2:$C$23,I57)+SUMIFS('3 Hazed Questions'!$E$2:$E$23,'3 Hazed Questions'!$A$2:$A$23,"Q2",'3 Hazed Questions'!$C$2:$C$23,J57)+SUMIFS('3 Hazed Questions'!$E$2:$E$23,'3 Hazed Questions'!$A$2:$A$23,"Q3",'3 Hazed Questions'!$C$2:$C$23,K57)+SUMIFS('3 Hazed Questions'!$E$2:$E$23,'3 Hazed Questions'!$A$2:$A$23,"Q4",'3 Hazed Questions'!$C$2:$C$23,L57))</f>
        <v/>
      </c>
      <c r="O57" s="14" t="str">
        <f aca="false">IF(COUNTA(I57:L57)=0,"",SUMIFS('3 Hazed Questions'!$F$2:$F$23,'3 Hazed Questions'!$A$2:$A$23,"Q1",'3 Hazed Questions'!$C$2:$C$23,I57)+SUMIFS('3 Hazed Questions'!$F$2:$F$23,'3 Hazed Questions'!$A$2:$A$23,"Q2",'3 Hazed Questions'!$C$2:$C$23,J57)+SUMIFS('3 Hazed Questions'!$F$2:$F$23,'3 Hazed Questions'!$A$2:$A$23,"Q3",'3 Hazed Questions'!$C$2:$C$23,K57)+SUMIFS('3 Hazed Questions'!$F$2:$F$23,'3 Hazed Questions'!$A$2:$A$23,"Q4",'3 Hazed Questions'!$C$2:$C$23,L57))</f>
        <v/>
      </c>
      <c r="P57" s="14" t="str">
        <f aca="false">IF(COUNTA(I57:L57)=0,"",SUMIFS('3 Hazed Questions'!$G$2:$G$23,'3 Hazed Questions'!$A$2:$A$23,"Q1",'3 Hazed Questions'!$C$2:$C$23,I57)+SUMIFS('3 Hazed Questions'!$G$2:$G$23,'3 Hazed Questions'!$A$2:$A$23,"Q2",'3 Hazed Questions'!$C$2:$C$23,J57)+SUMIFS('3 Hazed Questions'!$G$2:$G$23,'3 Hazed Questions'!$A$2:$A$23,"Q3",'3 Hazed Questions'!$C$2:$C$23,K57)+SUMIFS('3 Hazed Questions'!$G$2:$G$23,'3 Hazed Questions'!$A$2:$A$23,"Q4",'3 Hazed Questions'!$C$2:$C$23,L57))</f>
        <v/>
      </c>
      <c r="Q57" s="14" t="str">
        <f aca="false">IF(COUNTA(I57:L57)=0,"",SUMIFS('3 Hazed Questions'!$H$2:$H$23,'3 Hazed Questions'!$A$2:$A$23,"Q1",'3 Hazed Questions'!$C$2:$C$23,I57)+SUMIFS('3 Hazed Questions'!$H$2:$H$23,'3 Hazed Questions'!$A$2:$A$23,"Q2",'3 Hazed Questions'!$C$2:$C$23,J57)+SUMIFS('3 Hazed Questions'!$H$2:$H$23,'3 Hazed Questions'!$A$2:$A$23,"Q3",'3 Hazed Questions'!$C$2:$C$23,K57)+SUMIFS('3 Hazed Questions'!$H$2:$H$23,'3 Hazed Questions'!$A$2:$A$23,"Q4",'3 Hazed Questions'!$C$2:$C$23,L57))</f>
        <v/>
      </c>
      <c r="R57" s="14" t="str">
        <f aca="false">IF(COUNTA(I57:L57)=0,"",SUMIFS('3 Hazed Questions'!$I$2:$I$23,'3 Hazed Questions'!$A$2:$A$23,"Q1",'3 Hazed Questions'!$C$2:$C$23,I57)+SUMIFS('3 Hazed Questions'!$I$2:$I$23,'3 Hazed Questions'!$A$2:$A$23,"Q2",'3 Hazed Questions'!$C$2:$C$23,J57)+SUMIFS('3 Hazed Questions'!$I$2:$I$23,'3 Hazed Questions'!$A$2:$A$23,"Q3",'3 Hazed Questions'!$C$2:$C$23,K57)+SUMIFS('3 Hazed Questions'!$I$2:$I$23,'3 Hazed Questions'!$A$2:$A$23,"Q4",'3 Hazed Questions'!$C$2:$C$23,L57))</f>
        <v/>
      </c>
      <c r="S57" s="14" t="str">
        <f aca="false">IF(COUNTA(I57:L57)=0,"",SUMIFS('3 Hazed Questions'!$J$2:$J$23,'3 Hazed Questions'!$A$2:$A$23,"Q1",'3 Hazed Questions'!$C$2:$C$23,I57)+SUMIFS('3 Hazed Questions'!$J$2:$J$23,'3 Hazed Questions'!$A$2:$A$23,"Q2",'3 Hazed Questions'!$C$2:$C$23,J57)+SUMIFS('3 Hazed Questions'!$J$2:$J$23,'3 Hazed Questions'!$A$2:$A$23,"Q3",'3 Hazed Questions'!$C$2:$C$23,K57)+SUMIFS('3 Hazed Questions'!$J$2:$J$23,'3 Hazed Questions'!$A$2:$A$23,"Q4",'3 Hazed Questions'!$C$2:$C$23,L57))</f>
        <v/>
      </c>
      <c r="T57" s="14" t="str">
        <f aca="false">IF(COUNTA(I57:L57)=0,"",SUMIFS('3 Hazed Questions'!$K$2:$K$23,'3 Hazed Questions'!$A$2:$A$23,"Q1",'3 Hazed Questions'!$C$2:$C$23,I57)+SUMIFS('3 Hazed Questions'!$K$2:$K$23,'3 Hazed Questions'!$A$2:$A$23,"Q2",'3 Hazed Questions'!$C$2:$C$23,J57)+SUMIFS('3 Hazed Questions'!$K$2:$K$23,'3 Hazed Questions'!$A$2:$A$23,"Q3",'3 Hazed Questions'!$C$2:$C$23,K57)+SUMIFS('3 Hazed Questions'!$K$2:$K$23,'3 Hazed Questions'!$A$2:$A$23,"Q4",'3 Hazed Questions'!$C$2:$C$23,L57))</f>
        <v/>
      </c>
      <c r="U57" s="14" t="str">
        <f aca="false">IF(COUNTA(I57:L57)=0,"",SUMIFS('3 Hazed Questions'!$L$2:$L$23,'3 Hazed Questions'!$A$2:$A$23,"Q1",'3 Hazed Questions'!$C$2:$C$23,I57)+SUMIFS('3 Hazed Questions'!$L$2:$L$23,'3 Hazed Questions'!$A$2:$A$23,"Q2",'3 Hazed Questions'!$C$2:$C$23,J57)+SUMIFS('3 Hazed Questions'!$L$2:$L$23,'3 Hazed Questions'!$A$2:$A$23,"Q3",'3 Hazed Questions'!$C$2:$C$23,K57)+SUMIFS('3 Hazed Questions'!$L$2:$L$23,'3 Hazed Questions'!$A$2:$A$23,"Q4",'3 Hazed Questions'!$C$2:$C$23,L57))</f>
        <v/>
      </c>
      <c r="V57" s="14" t="str">
        <f aca="false">IF(COUNTA(I57:L57)=0,"",SUMIFS('3 Hazed Questions'!$M$2:$M$23,'3 Hazed Questions'!$A$2:$A$23,"Q1",'3 Hazed Questions'!$C$2:$C$23,I57)+SUMIFS('3 Hazed Questions'!$M$2:$M$23,'3 Hazed Questions'!$A$2:$A$23,"Q2",'3 Hazed Questions'!$C$2:$C$23,J57)+SUMIFS('3 Hazed Questions'!$M$2:$M$23,'3 Hazed Questions'!$A$2:$A$23,"Q3",'3 Hazed Questions'!$C$2:$C$23,K57)+SUMIFS('3 Hazed Questions'!$M$2:$M$23,'3 Hazed Questions'!$A$2:$A$23,"Q4",'3 Hazed Questions'!$C$2:$C$23,L57))</f>
        <v/>
      </c>
      <c r="W57" s="14" t="str">
        <f aca="false">IF(COUNTA(I57:L57)=0,"",SUMIFS('3 Hazed Questions'!$N$2:$N$23,'3 Hazed Questions'!$A$2:$A$23,"Q1",'3 Hazed Questions'!$C$2:$C$23,I57)+SUMIFS('3 Hazed Questions'!$N$2:$N$23,'3 Hazed Questions'!$A$2:$A$23,"Q2",'3 Hazed Questions'!$C$2:$C$23,J57)+SUMIFS('3 Hazed Questions'!$N$2:$N$23,'3 Hazed Questions'!$A$2:$A$23,"Q3",'3 Hazed Questions'!$C$2:$C$23,K57)+SUMIFS('3 Hazed Questions'!$N$2:$N$23,'3 Hazed Questions'!$A$2:$A$23,"Q4",'3 Hazed Questions'!$C$2:$C$23,L57))</f>
        <v/>
      </c>
      <c r="X57" s="14" t="str">
        <f aca="false">IF(COUNTA(I57:L57)=0,"",INDEX(Fields!$B$2:$B$50,MATCH(SUBSTITUTE(INDEX($N$1:$W$1,MATCH(MAX($N57:$W57),$N57:$W57,0)),"Score: ",""),Fields!$A$2:$A$50,0)))</f>
        <v/>
      </c>
      <c r="Y57" s="14" t="str">
        <f aca="true">IF(COUNTA(I57:L57)=0,"",IF(LARGE($N57:$W57,2)=0,"-",INDEX(Fields!$B$2:$B$50,MATCH(SUBSTITUTE(INDEX($N$1:$W$1,IF(LARGE($N57:$W57,2)=MAX($N57:$W57),MATCH(MAX($N57:$W57),OFFSET($N57:$W57,0,MATCH(MAX($N57:$W57),$N57:$W57,0),1,10-MATCH(MAX($N57:$W57),$N57:$W57,0)),0)+MATCH(MAX($N57:$W57),$N57:$W57,0),MATCH(LARGE($N57:$W57,2),$N57:$W57,0))),"Score: ",""),Fields!$A$2:$A$50,0))))</f>
        <v/>
      </c>
      <c r="Z57" s="14" t="str">
        <f aca="false">IF(M57="","",IFERROR(INDEX('3 Hazed Questions'!$O$2:$O$23,MATCH(1,INDEX(('3 Hazed Questions'!$A$2:$A$23="Q5")*('3 Hazed Questions'!$C$2:$C$23=M57),0),0))&amp;"",""))</f>
        <v/>
      </c>
      <c r="AA57" s="18"/>
      <c r="AB57" s="18"/>
      <c r="AC57" s="19"/>
      <c r="AD57" s="19"/>
      <c r="AE57" s="18"/>
      <c r="AF57" s="18"/>
      <c r="AG57" s="18"/>
    </row>
    <row r="58" customFormat="false" ht="15" hidden="false" customHeight="false" outlineLevel="0" collapsed="false">
      <c r="A58" s="18"/>
      <c r="B58" s="19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4" t="str">
        <f aca="false">IF(COUNTA(I58:L58)=0,"",SUMIFS('3 Hazed Questions'!$E$2:$E$23,'3 Hazed Questions'!$A$2:$A$23,"Q1",'3 Hazed Questions'!$C$2:$C$23,I58)+SUMIFS('3 Hazed Questions'!$E$2:$E$23,'3 Hazed Questions'!$A$2:$A$23,"Q2",'3 Hazed Questions'!$C$2:$C$23,J58)+SUMIFS('3 Hazed Questions'!$E$2:$E$23,'3 Hazed Questions'!$A$2:$A$23,"Q3",'3 Hazed Questions'!$C$2:$C$23,K58)+SUMIFS('3 Hazed Questions'!$E$2:$E$23,'3 Hazed Questions'!$A$2:$A$23,"Q4",'3 Hazed Questions'!$C$2:$C$23,L58))</f>
        <v/>
      </c>
      <c r="O58" s="14" t="str">
        <f aca="false">IF(COUNTA(I58:L58)=0,"",SUMIFS('3 Hazed Questions'!$F$2:$F$23,'3 Hazed Questions'!$A$2:$A$23,"Q1",'3 Hazed Questions'!$C$2:$C$23,I58)+SUMIFS('3 Hazed Questions'!$F$2:$F$23,'3 Hazed Questions'!$A$2:$A$23,"Q2",'3 Hazed Questions'!$C$2:$C$23,J58)+SUMIFS('3 Hazed Questions'!$F$2:$F$23,'3 Hazed Questions'!$A$2:$A$23,"Q3",'3 Hazed Questions'!$C$2:$C$23,K58)+SUMIFS('3 Hazed Questions'!$F$2:$F$23,'3 Hazed Questions'!$A$2:$A$23,"Q4",'3 Hazed Questions'!$C$2:$C$23,L58))</f>
        <v/>
      </c>
      <c r="P58" s="14" t="str">
        <f aca="false">IF(COUNTA(I58:L58)=0,"",SUMIFS('3 Hazed Questions'!$G$2:$G$23,'3 Hazed Questions'!$A$2:$A$23,"Q1",'3 Hazed Questions'!$C$2:$C$23,I58)+SUMIFS('3 Hazed Questions'!$G$2:$G$23,'3 Hazed Questions'!$A$2:$A$23,"Q2",'3 Hazed Questions'!$C$2:$C$23,J58)+SUMIFS('3 Hazed Questions'!$G$2:$G$23,'3 Hazed Questions'!$A$2:$A$23,"Q3",'3 Hazed Questions'!$C$2:$C$23,K58)+SUMIFS('3 Hazed Questions'!$G$2:$G$23,'3 Hazed Questions'!$A$2:$A$23,"Q4",'3 Hazed Questions'!$C$2:$C$23,L58))</f>
        <v/>
      </c>
      <c r="Q58" s="14" t="str">
        <f aca="false">IF(COUNTA(I58:L58)=0,"",SUMIFS('3 Hazed Questions'!$H$2:$H$23,'3 Hazed Questions'!$A$2:$A$23,"Q1",'3 Hazed Questions'!$C$2:$C$23,I58)+SUMIFS('3 Hazed Questions'!$H$2:$H$23,'3 Hazed Questions'!$A$2:$A$23,"Q2",'3 Hazed Questions'!$C$2:$C$23,J58)+SUMIFS('3 Hazed Questions'!$H$2:$H$23,'3 Hazed Questions'!$A$2:$A$23,"Q3",'3 Hazed Questions'!$C$2:$C$23,K58)+SUMIFS('3 Hazed Questions'!$H$2:$H$23,'3 Hazed Questions'!$A$2:$A$23,"Q4",'3 Hazed Questions'!$C$2:$C$23,L58))</f>
        <v/>
      </c>
      <c r="R58" s="14" t="str">
        <f aca="false">IF(COUNTA(I58:L58)=0,"",SUMIFS('3 Hazed Questions'!$I$2:$I$23,'3 Hazed Questions'!$A$2:$A$23,"Q1",'3 Hazed Questions'!$C$2:$C$23,I58)+SUMIFS('3 Hazed Questions'!$I$2:$I$23,'3 Hazed Questions'!$A$2:$A$23,"Q2",'3 Hazed Questions'!$C$2:$C$23,J58)+SUMIFS('3 Hazed Questions'!$I$2:$I$23,'3 Hazed Questions'!$A$2:$A$23,"Q3",'3 Hazed Questions'!$C$2:$C$23,K58)+SUMIFS('3 Hazed Questions'!$I$2:$I$23,'3 Hazed Questions'!$A$2:$A$23,"Q4",'3 Hazed Questions'!$C$2:$C$23,L58))</f>
        <v/>
      </c>
      <c r="S58" s="14" t="str">
        <f aca="false">IF(COUNTA(I58:L58)=0,"",SUMIFS('3 Hazed Questions'!$J$2:$J$23,'3 Hazed Questions'!$A$2:$A$23,"Q1",'3 Hazed Questions'!$C$2:$C$23,I58)+SUMIFS('3 Hazed Questions'!$J$2:$J$23,'3 Hazed Questions'!$A$2:$A$23,"Q2",'3 Hazed Questions'!$C$2:$C$23,J58)+SUMIFS('3 Hazed Questions'!$J$2:$J$23,'3 Hazed Questions'!$A$2:$A$23,"Q3",'3 Hazed Questions'!$C$2:$C$23,K58)+SUMIFS('3 Hazed Questions'!$J$2:$J$23,'3 Hazed Questions'!$A$2:$A$23,"Q4",'3 Hazed Questions'!$C$2:$C$23,L58))</f>
        <v/>
      </c>
      <c r="T58" s="14" t="str">
        <f aca="false">IF(COUNTA(I58:L58)=0,"",SUMIFS('3 Hazed Questions'!$K$2:$K$23,'3 Hazed Questions'!$A$2:$A$23,"Q1",'3 Hazed Questions'!$C$2:$C$23,I58)+SUMIFS('3 Hazed Questions'!$K$2:$K$23,'3 Hazed Questions'!$A$2:$A$23,"Q2",'3 Hazed Questions'!$C$2:$C$23,J58)+SUMIFS('3 Hazed Questions'!$K$2:$K$23,'3 Hazed Questions'!$A$2:$A$23,"Q3",'3 Hazed Questions'!$C$2:$C$23,K58)+SUMIFS('3 Hazed Questions'!$K$2:$K$23,'3 Hazed Questions'!$A$2:$A$23,"Q4",'3 Hazed Questions'!$C$2:$C$23,L58))</f>
        <v/>
      </c>
      <c r="U58" s="14" t="str">
        <f aca="false">IF(COUNTA(I58:L58)=0,"",SUMIFS('3 Hazed Questions'!$L$2:$L$23,'3 Hazed Questions'!$A$2:$A$23,"Q1",'3 Hazed Questions'!$C$2:$C$23,I58)+SUMIFS('3 Hazed Questions'!$L$2:$L$23,'3 Hazed Questions'!$A$2:$A$23,"Q2",'3 Hazed Questions'!$C$2:$C$23,J58)+SUMIFS('3 Hazed Questions'!$L$2:$L$23,'3 Hazed Questions'!$A$2:$A$23,"Q3",'3 Hazed Questions'!$C$2:$C$23,K58)+SUMIFS('3 Hazed Questions'!$L$2:$L$23,'3 Hazed Questions'!$A$2:$A$23,"Q4",'3 Hazed Questions'!$C$2:$C$23,L58))</f>
        <v/>
      </c>
      <c r="V58" s="14" t="str">
        <f aca="false">IF(COUNTA(I58:L58)=0,"",SUMIFS('3 Hazed Questions'!$M$2:$M$23,'3 Hazed Questions'!$A$2:$A$23,"Q1",'3 Hazed Questions'!$C$2:$C$23,I58)+SUMIFS('3 Hazed Questions'!$M$2:$M$23,'3 Hazed Questions'!$A$2:$A$23,"Q2",'3 Hazed Questions'!$C$2:$C$23,J58)+SUMIFS('3 Hazed Questions'!$M$2:$M$23,'3 Hazed Questions'!$A$2:$A$23,"Q3",'3 Hazed Questions'!$C$2:$C$23,K58)+SUMIFS('3 Hazed Questions'!$M$2:$M$23,'3 Hazed Questions'!$A$2:$A$23,"Q4",'3 Hazed Questions'!$C$2:$C$23,L58))</f>
        <v/>
      </c>
      <c r="W58" s="14" t="str">
        <f aca="false">IF(COUNTA(I58:L58)=0,"",SUMIFS('3 Hazed Questions'!$N$2:$N$23,'3 Hazed Questions'!$A$2:$A$23,"Q1",'3 Hazed Questions'!$C$2:$C$23,I58)+SUMIFS('3 Hazed Questions'!$N$2:$N$23,'3 Hazed Questions'!$A$2:$A$23,"Q2",'3 Hazed Questions'!$C$2:$C$23,J58)+SUMIFS('3 Hazed Questions'!$N$2:$N$23,'3 Hazed Questions'!$A$2:$A$23,"Q3",'3 Hazed Questions'!$C$2:$C$23,K58)+SUMIFS('3 Hazed Questions'!$N$2:$N$23,'3 Hazed Questions'!$A$2:$A$23,"Q4",'3 Hazed Questions'!$C$2:$C$23,L58))</f>
        <v/>
      </c>
      <c r="X58" s="14" t="str">
        <f aca="false">IF(COUNTA(I58:L58)=0,"",INDEX(Fields!$B$2:$B$50,MATCH(SUBSTITUTE(INDEX($N$1:$W$1,MATCH(MAX($N58:$W58),$N58:$W58,0)),"Score: ",""),Fields!$A$2:$A$50,0)))</f>
        <v/>
      </c>
      <c r="Y58" s="14" t="str">
        <f aca="true">IF(COUNTA(I58:L58)=0,"",IF(LARGE($N58:$W58,2)=0,"-",INDEX(Fields!$B$2:$B$50,MATCH(SUBSTITUTE(INDEX($N$1:$W$1,IF(LARGE($N58:$W58,2)=MAX($N58:$W58),MATCH(MAX($N58:$W58),OFFSET($N58:$W58,0,MATCH(MAX($N58:$W58),$N58:$W58,0),1,10-MATCH(MAX($N58:$W58),$N58:$W58,0)),0)+MATCH(MAX($N58:$W58),$N58:$W58,0),MATCH(LARGE($N58:$W58,2),$N58:$W58,0))),"Score: ",""),Fields!$A$2:$A$50,0))))</f>
        <v/>
      </c>
      <c r="Z58" s="14" t="str">
        <f aca="false">IF(M58="","",IFERROR(INDEX('3 Hazed Questions'!$O$2:$O$23,MATCH(1,INDEX(('3 Hazed Questions'!$A$2:$A$23="Q5")*('3 Hazed Questions'!$C$2:$C$23=M58),0),0))&amp;"",""))</f>
        <v/>
      </c>
      <c r="AA58" s="18"/>
      <c r="AB58" s="18"/>
      <c r="AC58" s="19"/>
      <c r="AD58" s="19"/>
      <c r="AE58" s="18"/>
      <c r="AF58" s="18"/>
      <c r="AG58" s="18"/>
    </row>
    <row r="59" customFormat="false" ht="15" hidden="false" customHeight="false" outlineLevel="0" collapsed="false">
      <c r="A59" s="18"/>
      <c r="B59" s="19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4" t="str">
        <f aca="false">IF(COUNTA(I59:L59)=0,"",SUMIFS('3 Hazed Questions'!$E$2:$E$23,'3 Hazed Questions'!$A$2:$A$23,"Q1",'3 Hazed Questions'!$C$2:$C$23,I59)+SUMIFS('3 Hazed Questions'!$E$2:$E$23,'3 Hazed Questions'!$A$2:$A$23,"Q2",'3 Hazed Questions'!$C$2:$C$23,J59)+SUMIFS('3 Hazed Questions'!$E$2:$E$23,'3 Hazed Questions'!$A$2:$A$23,"Q3",'3 Hazed Questions'!$C$2:$C$23,K59)+SUMIFS('3 Hazed Questions'!$E$2:$E$23,'3 Hazed Questions'!$A$2:$A$23,"Q4",'3 Hazed Questions'!$C$2:$C$23,L59))</f>
        <v/>
      </c>
      <c r="O59" s="14" t="str">
        <f aca="false">IF(COUNTA(I59:L59)=0,"",SUMIFS('3 Hazed Questions'!$F$2:$F$23,'3 Hazed Questions'!$A$2:$A$23,"Q1",'3 Hazed Questions'!$C$2:$C$23,I59)+SUMIFS('3 Hazed Questions'!$F$2:$F$23,'3 Hazed Questions'!$A$2:$A$23,"Q2",'3 Hazed Questions'!$C$2:$C$23,J59)+SUMIFS('3 Hazed Questions'!$F$2:$F$23,'3 Hazed Questions'!$A$2:$A$23,"Q3",'3 Hazed Questions'!$C$2:$C$23,K59)+SUMIFS('3 Hazed Questions'!$F$2:$F$23,'3 Hazed Questions'!$A$2:$A$23,"Q4",'3 Hazed Questions'!$C$2:$C$23,L59))</f>
        <v/>
      </c>
      <c r="P59" s="14" t="str">
        <f aca="false">IF(COUNTA(I59:L59)=0,"",SUMIFS('3 Hazed Questions'!$G$2:$G$23,'3 Hazed Questions'!$A$2:$A$23,"Q1",'3 Hazed Questions'!$C$2:$C$23,I59)+SUMIFS('3 Hazed Questions'!$G$2:$G$23,'3 Hazed Questions'!$A$2:$A$23,"Q2",'3 Hazed Questions'!$C$2:$C$23,J59)+SUMIFS('3 Hazed Questions'!$G$2:$G$23,'3 Hazed Questions'!$A$2:$A$23,"Q3",'3 Hazed Questions'!$C$2:$C$23,K59)+SUMIFS('3 Hazed Questions'!$G$2:$G$23,'3 Hazed Questions'!$A$2:$A$23,"Q4",'3 Hazed Questions'!$C$2:$C$23,L59))</f>
        <v/>
      </c>
      <c r="Q59" s="14" t="str">
        <f aca="false">IF(COUNTA(I59:L59)=0,"",SUMIFS('3 Hazed Questions'!$H$2:$H$23,'3 Hazed Questions'!$A$2:$A$23,"Q1",'3 Hazed Questions'!$C$2:$C$23,I59)+SUMIFS('3 Hazed Questions'!$H$2:$H$23,'3 Hazed Questions'!$A$2:$A$23,"Q2",'3 Hazed Questions'!$C$2:$C$23,J59)+SUMIFS('3 Hazed Questions'!$H$2:$H$23,'3 Hazed Questions'!$A$2:$A$23,"Q3",'3 Hazed Questions'!$C$2:$C$23,K59)+SUMIFS('3 Hazed Questions'!$H$2:$H$23,'3 Hazed Questions'!$A$2:$A$23,"Q4",'3 Hazed Questions'!$C$2:$C$23,L59))</f>
        <v/>
      </c>
      <c r="R59" s="14" t="str">
        <f aca="false">IF(COUNTA(I59:L59)=0,"",SUMIFS('3 Hazed Questions'!$I$2:$I$23,'3 Hazed Questions'!$A$2:$A$23,"Q1",'3 Hazed Questions'!$C$2:$C$23,I59)+SUMIFS('3 Hazed Questions'!$I$2:$I$23,'3 Hazed Questions'!$A$2:$A$23,"Q2",'3 Hazed Questions'!$C$2:$C$23,J59)+SUMIFS('3 Hazed Questions'!$I$2:$I$23,'3 Hazed Questions'!$A$2:$A$23,"Q3",'3 Hazed Questions'!$C$2:$C$23,K59)+SUMIFS('3 Hazed Questions'!$I$2:$I$23,'3 Hazed Questions'!$A$2:$A$23,"Q4",'3 Hazed Questions'!$C$2:$C$23,L59))</f>
        <v/>
      </c>
      <c r="S59" s="14" t="str">
        <f aca="false">IF(COUNTA(I59:L59)=0,"",SUMIFS('3 Hazed Questions'!$J$2:$J$23,'3 Hazed Questions'!$A$2:$A$23,"Q1",'3 Hazed Questions'!$C$2:$C$23,I59)+SUMIFS('3 Hazed Questions'!$J$2:$J$23,'3 Hazed Questions'!$A$2:$A$23,"Q2",'3 Hazed Questions'!$C$2:$C$23,J59)+SUMIFS('3 Hazed Questions'!$J$2:$J$23,'3 Hazed Questions'!$A$2:$A$23,"Q3",'3 Hazed Questions'!$C$2:$C$23,K59)+SUMIFS('3 Hazed Questions'!$J$2:$J$23,'3 Hazed Questions'!$A$2:$A$23,"Q4",'3 Hazed Questions'!$C$2:$C$23,L59))</f>
        <v/>
      </c>
      <c r="T59" s="14" t="str">
        <f aca="false">IF(COUNTA(I59:L59)=0,"",SUMIFS('3 Hazed Questions'!$K$2:$K$23,'3 Hazed Questions'!$A$2:$A$23,"Q1",'3 Hazed Questions'!$C$2:$C$23,I59)+SUMIFS('3 Hazed Questions'!$K$2:$K$23,'3 Hazed Questions'!$A$2:$A$23,"Q2",'3 Hazed Questions'!$C$2:$C$23,J59)+SUMIFS('3 Hazed Questions'!$K$2:$K$23,'3 Hazed Questions'!$A$2:$A$23,"Q3",'3 Hazed Questions'!$C$2:$C$23,K59)+SUMIFS('3 Hazed Questions'!$K$2:$K$23,'3 Hazed Questions'!$A$2:$A$23,"Q4",'3 Hazed Questions'!$C$2:$C$23,L59))</f>
        <v/>
      </c>
      <c r="U59" s="14" t="str">
        <f aca="false">IF(COUNTA(I59:L59)=0,"",SUMIFS('3 Hazed Questions'!$L$2:$L$23,'3 Hazed Questions'!$A$2:$A$23,"Q1",'3 Hazed Questions'!$C$2:$C$23,I59)+SUMIFS('3 Hazed Questions'!$L$2:$L$23,'3 Hazed Questions'!$A$2:$A$23,"Q2",'3 Hazed Questions'!$C$2:$C$23,J59)+SUMIFS('3 Hazed Questions'!$L$2:$L$23,'3 Hazed Questions'!$A$2:$A$23,"Q3",'3 Hazed Questions'!$C$2:$C$23,K59)+SUMIFS('3 Hazed Questions'!$L$2:$L$23,'3 Hazed Questions'!$A$2:$A$23,"Q4",'3 Hazed Questions'!$C$2:$C$23,L59))</f>
        <v/>
      </c>
      <c r="V59" s="14" t="str">
        <f aca="false">IF(COUNTA(I59:L59)=0,"",SUMIFS('3 Hazed Questions'!$M$2:$M$23,'3 Hazed Questions'!$A$2:$A$23,"Q1",'3 Hazed Questions'!$C$2:$C$23,I59)+SUMIFS('3 Hazed Questions'!$M$2:$M$23,'3 Hazed Questions'!$A$2:$A$23,"Q2",'3 Hazed Questions'!$C$2:$C$23,J59)+SUMIFS('3 Hazed Questions'!$M$2:$M$23,'3 Hazed Questions'!$A$2:$A$23,"Q3",'3 Hazed Questions'!$C$2:$C$23,K59)+SUMIFS('3 Hazed Questions'!$M$2:$M$23,'3 Hazed Questions'!$A$2:$A$23,"Q4",'3 Hazed Questions'!$C$2:$C$23,L59))</f>
        <v/>
      </c>
      <c r="W59" s="14" t="str">
        <f aca="false">IF(COUNTA(I59:L59)=0,"",SUMIFS('3 Hazed Questions'!$N$2:$N$23,'3 Hazed Questions'!$A$2:$A$23,"Q1",'3 Hazed Questions'!$C$2:$C$23,I59)+SUMIFS('3 Hazed Questions'!$N$2:$N$23,'3 Hazed Questions'!$A$2:$A$23,"Q2",'3 Hazed Questions'!$C$2:$C$23,J59)+SUMIFS('3 Hazed Questions'!$N$2:$N$23,'3 Hazed Questions'!$A$2:$A$23,"Q3",'3 Hazed Questions'!$C$2:$C$23,K59)+SUMIFS('3 Hazed Questions'!$N$2:$N$23,'3 Hazed Questions'!$A$2:$A$23,"Q4",'3 Hazed Questions'!$C$2:$C$23,L59))</f>
        <v/>
      </c>
      <c r="X59" s="14" t="str">
        <f aca="false">IF(COUNTA(I59:L59)=0,"",INDEX(Fields!$B$2:$B$50,MATCH(SUBSTITUTE(INDEX($N$1:$W$1,MATCH(MAX($N59:$W59),$N59:$W59,0)),"Score: ",""),Fields!$A$2:$A$50,0)))</f>
        <v/>
      </c>
      <c r="Y59" s="14" t="str">
        <f aca="true">IF(COUNTA(I59:L59)=0,"",IF(LARGE($N59:$W59,2)=0,"-",INDEX(Fields!$B$2:$B$50,MATCH(SUBSTITUTE(INDEX($N$1:$W$1,IF(LARGE($N59:$W59,2)=MAX($N59:$W59),MATCH(MAX($N59:$W59),OFFSET($N59:$W59,0,MATCH(MAX($N59:$W59),$N59:$W59,0),1,10-MATCH(MAX($N59:$W59),$N59:$W59,0)),0)+MATCH(MAX($N59:$W59),$N59:$W59,0),MATCH(LARGE($N59:$W59,2),$N59:$W59,0))),"Score: ",""),Fields!$A$2:$A$50,0))))</f>
        <v/>
      </c>
      <c r="Z59" s="14" t="str">
        <f aca="false">IF(M59="","",IFERROR(INDEX('3 Hazed Questions'!$O$2:$O$23,MATCH(1,INDEX(('3 Hazed Questions'!$A$2:$A$23="Q5")*('3 Hazed Questions'!$C$2:$C$23=M59),0),0))&amp;"",""))</f>
        <v/>
      </c>
      <c r="AA59" s="18"/>
      <c r="AB59" s="18"/>
      <c r="AC59" s="19"/>
      <c r="AD59" s="19"/>
      <c r="AE59" s="18"/>
      <c r="AF59" s="18"/>
      <c r="AG59" s="18"/>
    </row>
    <row r="60" customFormat="false" ht="15" hidden="false" customHeight="false" outlineLevel="0" collapsed="false">
      <c r="A60" s="18"/>
      <c r="B60" s="19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4" t="str">
        <f aca="false">IF(COUNTA(I60:L60)=0,"",SUMIFS('3 Hazed Questions'!$E$2:$E$23,'3 Hazed Questions'!$A$2:$A$23,"Q1",'3 Hazed Questions'!$C$2:$C$23,I60)+SUMIFS('3 Hazed Questions'!$E$2:$E$23,'3 Hazed Questions'!$A$2:$A$23,"Q2",'3 Hazed Questions'!$C$2:$C$23,J60)+SUMIFS('3 Hazed Questions'!$E$2:$E$23,'3 Hazed Questions'!$A$2:$A$23,"Q3",'3 Hazed Questions'!$C$2:$C$23,K60)+SUMIFS('3 Hazed Questions'!$E$2:$E$23,'3 Hazed Questions'!$A$2:$A$23,"Q4",'3 Hazed Questions'!$C$2:$C$23,L60))</f>
        <v/>
      </c>
      <c r="O60" s="14" t="str">
        <f aca="false">IF(COUNTA(I60:L60)=0,"",SUMIFS('3 Hazed Questions'!$F$2:$F$23,'3 Hazed Questions'!$A$2:$A$23,"Q1",'3 Hazed Questions'!$C$2:$C$23,I60)+SUMIFS('3 Hazed Questions'!$F$2:$F$23,'3 Hazed Questions'!$A$2:$A$23,"Q2",'3 Hazed Questions'!$C$2:$C$23,J60)+SUMIFS('3 Hazed Questions'!$F$2:$F$23,'3 Hazed Questions'!$A$2:$A$23,"Q3",'3 Hazed Questions'!$C$2:$C$23,K60)+SUMIFS('3 Hazed Questions'!$F$2:$F$23,'3 Hazed Questions'!$A$2:$A$23,"Q4",'3 Hazed Questions'!$C$2:$C$23,L60))</f>
        <v/>
      </c>
      <c r="P60" s="14" t="str">
        <f aca="false">IF(COUNTA(I60:L60)=0,"",SUMIFS('3 Hazed Questions'!$G$2:$G$23,'3 Hazed Questions'!$A$2:$A$23,"Q1",'3 Hazed Questions'!$C$2:$C$23,I60)+SUMIFS('3 Hazed Questions'!$G$2:$G$23,'3 Hazed Questions'!$A$2:$A$23,"Q2",'3 Hazed Questions'!$C$2:$C$23,J60)+SUMIFS('3 Hazed Questions'!$G$2:$G$23,'3 Hazed Questions'!$A$2:$A$23,"Q3",'3 Hazed Questions'!$C$2:$C$23,K60)+SUMIFS('3 Hazed Questions'!$G$2:$G$23,'3 Hazed Questions'!$A$2:$A$23,"Q4",'3 Hazed Questions'!$C$2:$C$23,L60))</f>
        <v/>
      </c>
      <c r="Q60" s="14" t="str">
        <f aca="false">IF(COUNTA(I60:L60)=0,"",SUMIFS('3 Hazed Questions'!$H$2:$H$23,'3 Hazed Questions'!$A$2:$A$23,"Q1",'3 Hazed Questions'!$C$2:$C$23,I60)+SUMIFS('3 Hazed Questions'!$H$2:$H$23,'3 Hazed Questions'!$A$2:$A$23,"Q2",'3 Hazed Questions'!$C$2:$C$23,J60)+SUMIFS('3 Hazed Questions'!$H$2:$H$23,'3 Hazed Questions'!$A$2:$A$23,"Q3",'3 Hazed Questions'!$C$2:$C$23,K60)+SUMIFS('3 Hazed Questions'!$H$2:$H$23,'3 Hazed Questions'!$A$2:$A$23,"Q4",'3 Hazed Questions'!$C$2:$C$23,L60))</f>
        <v/>
      </c>
      <c r="R60" s="14" t="str">
        <f aca="false">IF(COUNTA(I60:L60)=0,"",SUMIFS('3 Hazed Questions'!$I$2:$I$23,'3 Hazed Questions'!$A$2:$A$23,"Q1",'3 Hazed Questions'!$C$2:$C$23,I60)+SUMIFS('3 Hazed Questions'!$I$2:$I$23,'3 Hazed Questions'!$A$2:$A$23,"Q2",'3 Hazed Questions'!$C$2:$C$23,J60)+SUMIFS('3 Hazed Questions'!$I$2:$I$23,'3 Hazed Questions'!$A$2:$A$23,"Q3",'3 Hazed Questions'!$C$2:$C$23,K60)+SUMIFS('3 Hazed Questions'!$I$2:$I$23,'3 Hazed Questions'!$A$2:$A$23,"Q4",'3 Hazed Questions'!$C$2:$C$23,L60))</f>
        <v/>
      </c>
      <c r="S60" s="14" t="str">
        <f aca="false">IF(COUNTA(I60:L60)=0,"",SUMIFS('3 Hazed Questions'!$J$2:$J$23,'3 Hazed Questions'!$A$2:$A$23,"Q1",'3 Hazed Questions'!$C$2:$C$23,I60)+SUMIFS('3 Hazed Questions'!$J$2:$J$23,'3 Hazed Questions'!$A$2:$A$23,"Q2",'3 Hazed Questions'!$C$2:$C$23,J60)+SUMIFS('3 Hazed Questions'!$J$2:$J$23,'3 Hazed Questions'!$A$2:$A$23,"Q3",'3 Hazed Questions'!$C$2:$C$23,K60)+SUMIFS('3 Hazed Questions'!$J$2:$J$23,'3 Hazed Questions'!$A$2:$A$23,"Q4",'3 Hazed Questions'!$C$2:$C$23,L60))</f>
        <v/>
      </c>
      <c r="T60" s="14" t="str">
        <f aca="false">IF(COUNTA(I60:L60)=0,"",SUMIFS('3 Hazed Questions'!$K$2:$K$23,'3 Hazed Questions'!$A$2:$A$23,"Q1",'3 Hazed Questions'!$C$2:$C$23,I60)+SUMIFS('3 Hazed Questions'!$K$2:$K$23,'3 Hazed Questions'!$A$2:$A$23,"Q2",'3 Hazed Questions'!$C$2:$C$23,J60)+SUMIFS('3 Hazed Questions'!$K$2:$K$23,'3 Hazed Questions'!$A$2:$A$23,"Q3",'3 Hazed Questions'!$C$2:$C$23,K60)+SUMIFS('3 Hazed Questions'!$K$2:$K$23,'3 Hazed Questions'!$A$2:$A$23,"Q4",'3 Hazed Questions'!$C$2:$C$23,L60))</f>
        <v/>
      </c>
      <c r="U60" s="14" t="str">
        <f aca="false">IF(COUNTA(I60:L60)=0,"",SUMIFS('3 Hazed Questions'!$L$2:$L$23,'3 Hazed Questions'!$A$2:$A$23,"Q1",'3 Hazed Questions'!$C$2:$C$23,I60)+SUMIFS('3 Hazed Questions'!$L$2:$L$23,'3 Hazed Questions'!$A$2:$A$23,"Q2",'3 Hazed Questions'!$C$2:$C$23,J60)+SUMIFS('3 Hazed Questions'!$L$2:$L$23,'3 Hazed Questions'!$A$2:$A$23,"Q3",'3 Hazed Questions'!$C$2:$C$23,K60)+SUMIFS('3 Hazed Questions'!$L$2:$L$23,'3 Hazed Questions'!$A$2:$A$23,"Q4",'3 Hazed Questions'!$C$2:$C$23,L60))</f>
        <v/>
      </c>
      <c r="V60" s="14" t="str">
        <f aca="false">IF(COUNTA(I60:L60)=0,"",SUMIFS('3 Hazed Questions'!$M$2:$M$23,'3 Hazed Questions'!$A$2:$A$23,"Q1",'3 Hazed Questions'!$C$2:$C$23,I60)+SUMIFS('3 Hazed Questions'!$M$2:$M$23,'3 Hazed Questions'!$A$2:$A$23,"Q2",'3 Hazed Questions'!$C$2:$C$23,J60)+SUMIFS('3 Hazed Questions'!$M$2:$M$23,'3 Hazed Questions'!$A$2:$A$23,"Q3",'3 Hazed Questions'!$C$2:$C$23,K60)+SUMIFS('3 Hazed Questions'!$M$2:$M$23,'3 Hazed Questions'!$A$2:$A$23,"Q4",'3 Hazed Questions'!$C$2:$C$23,L60))</f>
        <v/>
      </c>
      <c r="W60" s="14" t="str">
        <f aca="false">IF(COUNTA(I60:L60)=0,"",SUMIFS('3 Hazed Questions'!$N$2:$N$23,'3 Hazed Questions'!$A$2:$A$23,"Q1",'3 Hazed Questions'!$C$2:$C$23,I60)+SUMIFS('3 Hazed Questions'!$N$2:$N$23,'3 Hazed Questions'!$A$2:$A$23,"Q2",'3 Hazed Questions'!$C$2:$C$23,J60)+SUMIFS('3 Hazed Questions'!$N$2:$N$23,'3 Hazed Questions'!$A$2:$A$23,"Q3",'3 Hazed Questions'!$C$2:$C$23,K60)+SUMIFS('3 Hazed Questions'!$N$2:$N$23,'3 Hazed Questions'!$A$2:$A$23,"Q4",'3 Hazed Questions'!$C$2:$C$23,L60))</f>
        <v/>
      </c>
      <c r="X60" s="14" t="str">
        <f aca="false">IF(COUNTA(I60:L60)=0,"",INDEX(Fields!$B$2:$B$50,MATCH(SUBSTITUTE(INDEX($N$1:$W$1,MATCH(MAX($N60:$W60),$N60:$W60,0)),"Score: ",""),Fields!$A$2:$A$50,0)))</f>
        <v/>
      </c>
      <c r="Y60" s="14" t="str">
        <f aca="true">IF(COUNTA(I60:L60)=0,"",IF(LARGE($N60:$W60,2)=0,"-",INDEX(Fields!$B$2:$B$50,MATCH(SUBSTITUTE(INDEX($N$1:$W$1,IF(LARGE($N60:$W60,2)=MAX($N60:$W60),MATCH(MAX($N60:$W60),OFFSET($N60:$W60,0,MATCH(MAX($N60:$W60),$N60:$W60,0),1,10-MATCH(MAX($N60:$W60),$N60:$W60,0)),0)+MATCH(MAX($N60:$W60),$N60:$W60,0),MATCH(LARGE($N60:$W60,2),$N60:$W60,0))),"Score: ",""),Fields!$A$2:$A$50,0))))</f>
        <v/>
      </c>
      <c r="Z60" s="14" t="str">
        <f aca="false">IF(M60="","",IFERROR(INDEX('3 Hazed Questions'!$O$2:$O$23,MATCH(1,INDEX(('3 Hazed Questions'!$A$2:$A$23="Q5")*('3 Hazed Questions'!$C$2:$C$23=M60),0),0))&amp;"",""))</f>
        <v/>
      </c>
      <c r="AA60" s="18"/>
      <c r="AB60" s="18"/>
      <c r="AC60" s="19"/>
      <c r="AD60" s="19"/>
      <c r="AE60" s="18"/>
      <c r="AF60" s="18"/>
      <c r="AG60" s="18"/>
    </row>
    <row r="61" customFormat="false" ht="15" hidden="false" customHeight="false" outlineLevel="0" collapsed="false">
      <c r="A61" s="18"/>
      <c r="B61" s="19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4" t="str">
        <f aca="false">IF(COUNTA(I61:L61)=0,"",SUMIFS('3 Hazed Questions'!$E$2:$E$23,'3 Hazed Questions'!$A$2:$A$23,"Q1",'3 Hazed Questions'!$C$2:$C$23,I61)+SUMIFS('3 Hazed Questions'!$E$2:$E$23,'3 Hazed Questions'!$A$2:$A$23,"Q2",'3 Hazed Questions'!$C$2:$C$23,J61)+SUMIFS('3 Hazed Questions'!$E$2:$E$23,'3 Hazed Questions'!$A$2:$A$23,"Q3",'3 Hazed Questions'!$C$2:$C$23,K61)+SUMIFS('3 Hazed Questions'!$E$2:$E$23,'3 Hazed Questions'!$A$2:$A$23,"Q4",'3 Hazed Questions'!$C$2:$C$23,L61))</f>
        <v/>
      </c>
      <c r="O61" s="14" t="str">
        <f aca="false">IF(COUNTA(I61:L61)=0,"",SUMIFS('3 Hazed Questions'!$F$2:$F$23,'3 Hazed Questions'!$A$2:$A$23,"Q1",'3 Hazed Questions'!$C$2:$C$23,I61)+SUMIFS('3 Hazed Questions'!$F$2:$F$23,'3 Hazed Questions'!$A$2:$A$23,"Q2",'3 Hazed Questions'!$C$2:$C$23,J61)+SUMIFS('3 Hazed Questions'!$F$2:$F$23,'3 Hazed Questions'!$A$2:$A$23,"Q3",'3 Hazed Questions'!$C$2:$C$23,K61)+SUMIFS('3 Hazed Questions'!$F$2:$F$23,'3 Hazed Questions'!$A$2:$A$23,"Q4",'3 Hazed Questions'!$C$2:$C$23,L61))</f>
        <v/>
      </c>
      <c r="P61" s="14" t="str">
        <f aca="false">IF(COUNTA(I61:L61)=0,"",SUMIFS('3 Hazed Questions'!$G$2:$G$23,'3 Hazed Questions'!$A$2:$A$23,"Q1",'3 Hazed Questions'!$C$2:$C$23,I61)+SUMIFS('3 Hazed Questions'!$G$2:$G$23,'3 Hazed Questions'!$A$2:$A$23,"Q2",'3 Hazed Questions'!$C$2:$C$23,J61)+SUMIFS('3 Hazed Questions'!$G$2:$G$23,'3 Hazed Questions'!$A$2:$A$23,"Q3",'3 Hazed Questions'!$C$2:$C$23,K61)+SUMIFS('3 Hazed Questions'!$G$2:$G$23,'3 Hazed Questions'!$A$2:$A$23,"Q4",'3 Hazed Questions'!$C$2:$C$23,L61))</f>
        <v/>
      </c>
      <c r="Q61" s="14" t="str">
        <f aca="false">IF(COUNTA(I61:L61)=0,"",SUMIFS('3 Hazed Questions'!$H$2:$H$23,'3 Hazed Questions'!$A$2:$A$23,"Q1",'3 Hazed Questions'!$C$2:$C$23,I61)+SUMIFS('3 Hazed Questions'!$H$2:$H$23,'3 Hazed Questions'!$A$2:$A$23,"Q2",'3 Hazed Questions'!$C$2:$C$23,J61)+SUMIFS('3 Hazed Questions'!$H$2:$H$23,'3 Hazed Questions'!$A$2:$A$23,"Q3",'3 Hazed Questions'!$C$2:$C$23,K61)+SUMIFS('3 Hazed Questions'!$H$2:$H$23,'3 Hazed Questions'!$A$2:$A$23,"Q4",'3 Hazed Questions'!$C$2:$C$23,L61))</f>
        <v/>
      </c>
      <c r="R61" s="14" t="str">
        <f aca="false">IF(COUNTA(I61:L61)=0,"",SUMIFS('3 Hazed Questions'!$I$2:$I$23,'3 Hazed Questions'!$A$2:$A$23,"Q1",'3 Hazed Questions'!$C$2:$C$23,I61)+SUMIFS('3 Hazed Questions'!$I$2:$I$23,'3 Hazed Questions'!$A$2:$A$23,"Q2",'3 Hazed Questions'!$C$2:$C$23,J61)+SUMIFS('3 Hazed Questions'!$I$2:$I$23,'3 Hazed Questions'!$A$2:$A$23,"Q3",'3 Hazed Questions'!$C$2:$C$23,K61)+SUMIFS('3 Hazed Questions'!$I$2:$I$23,'3 Hazed Questions'!$A$2:$A$23,"Q4",'3 Hazed Questions'!$C$2:$C$23,L61))</f>
        <v/>
      </c>
      <c r="S61" s="14" t="str">
        <f aca="false">IF(COUNTA(I61:L61)=0,"",SUMIFS('3 Hazed Questions'!$J$2:$J$23,'3 Hazed Questions'!$A$2:$A$23,"Q1",'3 Hazed Questions'!$C$2:$C$23,I61)+SUMIFS('3 Hazed Questions'!$J$2:$J$23,'3 Hazed Questions'!$A$2:$A$23,"Q2",'3 Hazed Questions'!$C$2:$C$23,J61)+SUMIFS('3 Hazed Questions'!$J$2:$J$23,'3 Hazed Questions'!$A$2:$A$23,"Q3",'3 Hazed Questions'!$C$2:$C$23,K61)+SUMIFS('3 Hazed Questions'!$J$2:$J$23,'3 Hazed Questions'!$A$2:$A$23,"Q4",'3 Hazed Questions'!$C$2:$C$23,L61))</f>
        <v/>
      </c>
      <c r="T61" s="14" t="str">
        <f aca="false">IF(COUNTA(I61:L61)=0,"",SUMIFS('3 Hazed Questions'!$K$2:$K$23,'3 Hazed Questions'!$A$2:$A$23,"Q1",'3 Hazed Questions'!$C$2:$C$23,I61)+SUMIFS('3 Hazed Questions'!$K$2:$K$23,'3 Hazed Questions'!$A$2:$A$23,"Q2",'3 Hazed Questions'!$C$2:$C$23,J61)+SUMIFS('3 Hazed Questions'!$K$2:$K$23,'3 Hazed Questions'!$A$2:$A$23,"Q3",'3 Hazed Questions'!$C$2:$C$23,K61)+SUMIFS('3 Hazed Questions'!$K$2:$K$23,'3 Hazed Questions'!$A$2:$A$23,"Q4",'3 Hazed Questions'!$C$2:$C$23,L61))</f>
        <v/>
      </c>
      <c r="U61" s="14" t="str">
        <f aca="false">IF(COUNTA(I61:L61)=0,"",SUMIFS('3 Hazed Questions'!$L$2:$L$23,'3 Hazed Questions'!$A$2:$A$23,"Q1",'3 Hazed Questions'!$C$2:$C$23,I61)+SUMIFS('3 Hazed Questions'!$L$2:$L$23,'3 Hazed Questions'!$A$2:$A$23,"Q2",'3 Hazed Questions'!$C$2:$C$23,J61)+SUMIFS('3 Hazed Questions'!$L$2:$L$23,'3 Hazed Questions'!$A$2:$A$23,"Q3",'3 Hazed Questions'!$C$2:$C$23,K61)+SUMIFS('3 Hazed Questions'!$L$2:$L$23,'3 Hazed Questions'!$A$2:$A$23,"Q4",'3 Hazed Questions'!$C$2:$C$23,L61))</f>
        <v/>
      </c>
      <c r="V61" s="14" t="str">
        <f aca="false">IF(COUNTA(I61:L61)=0,"",SUMIFS('3 Hazed Questions'!$M$2:$M$23,'3 Hazed Questions'!$A$2:$A$23,"Q1",'3 Hazed Questions'!$C$2:$C$23,I61)+SUMIFS('3 Hazed Questions'!$M$2:$M$23,'3 Hazed Questions'!$A$2:$A$23,"Q2",'3 Hazed Questions'!$C$2:$C$23,J61)+SUMIFS('3 Hazed Questions'!$M$2:$M$23,'3 Hazed Questions'!$A$2:$A$23,"Q3",'3 Hazed Questions'!$C$2:$C$23,K61)+SUMIFS('3 Hazed Questions'!$M$2:$M$23,'3 Hazed Questions'!$A$2:$A$23,"Q4",'3 Hazed Questions'!$C$2:$C$23,L61))</f>
        <v/>
      </c>
      <c r="W61" s="14" t="str">
        <f aca="false">IF(COUNTA(I61:L61)=0,"",SUMIFS('3 Hazed Questions'!$N$2:$N$23,'3 Hazed Questions'!$A$2:$A$23,"Q1",'3 Hazed Questions'!$C$2:$C$23,I61)+SUMIFS('3 Hazed Questions'!$N$2:$N$23,'3 Hazed Questions'!$A$2:$A$23,"Q2",'3 Hazed Questions'!$C$2:$C$23,J61)+SUMIFS('3 Hazed Questions'!$N$2:$N$23,'3 Hazed Questions'!$A$2:$A$23,"Q3",'3 Hazed Questions'!$C$2:$C$23,K61)+SUMIFS('3 Hazed Questions'!$N$2:$N$23,'3 Hazed Questions'!$A$2:$A$23,"Q4",'3 Hazed Questions'!$C$2:$C$23,L61))</f>
        <v/>
      </c>
      <c r="X61" s="14" t="str">
        <f aca="false">IF(COUNTA(I61:L61)=0,"",INDEX(Fields!$B$2:$B$50,MATCH(SUBSTITUTE(INDEX($N$1:$W$1,MATCH(MAX($N61:$W61),$N61:$W61,0)),"Score: ",""),Fields!$A$2:$A$50,0)))</f>
        <v/>
      </c>
      <c r="Y61" s="14" t="str">
        <f aca="true">IF(COUNTA(I61:L61)=0,"",IF(LARGE($N61:$W61,2)=0,"-",INDEX(Fields!$B$2:$B$50,MATCH(SUBSTITUTE(INDEX($N$1:$W$1,IF(LARGE($N61:$W61,2)=MAX($N61:$W61),MATCH(MAX($N61:$W61),OFFSET($N61:$W61,0,MATCH(MAX($N61:$W61),$N61:$W61,0),1,10-MATCH(MAX($N61:$W61),$N61:$W61,0)),0)+MATCH(MAX($N61:$W61),$N61:$W61,0),MATCH(LARGE($N61:$W61,2),$N61:$W61,0))),"Score: ",""),Fields!$A$2:$A$50,0))))</f>
        <v/>
      </c>
      <c r="Z61" s="14" t="str">
        <f aca="false">IF(M61="","",IFERROR(INDEX('3 Hazed Questions'!$O$2:$O$23,MATCH(1,INDEX(('3 Hazed Questions'!$A$2:$A$23="Q5")*('3 Hazed Questions'!$C$2:$C$23=M61),0),0))&amp;"",""))</f>
        <v/>
      </c>
      <c r="AA61" s="18"/>
      <c r="AB61" s="18"/>
      <c r="AC61" s="19"/>
      <c r="AD61" s="19"/>
      <c r="AE61" s="18"/>
      <c r="AF61" s="18"/>
      <c r="AG61" s="18"/>
    </row>
    <row r="62" customFormat="false" ht="15" hidden="false" customHeight="false" outlineLevel="0" collapsed="false">
      <c r="A62" s="18"/>
      <c r="B62" s="19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4" t="str">
        <f aca="false">IF(COUNTA(I62:L62)=0,"",SUMIFS('3 Hazed Questions'!$E$2:$E$23,'3 Hazed Questions'!$A$2:$A$23,"Q1",'3 Hazed Questions'!$C$2:$C$23,I62)+SUMIFS('3 Hazed Questions'!$E$2:$E$23,'3 Hazed Questions'!$A$2:$A$23,"Q2",'3 Hazed Questions'!$C$2:$C$23,J62)+SUMIFS('3 Hazed Questions'!$E$2:$E$23,'3 Hazed Questions'!$A$2:$A$23,"Q3",'3 Hazed Questions'!$C$2:$C$23,K62)+SUMIFS('3 Hazed Questions'!$E$2:$E$23,'3 Hazed Questions'!$A$2:$A$23,"Q4",'3 Hazed Questions'!$C$2:$C$23,L62))</f>
        <v/>
      </c>
      <c r="O62" s="14" t="str">
        <f aca="false">IF(COUNTA(I62:L62)=0,"",SUMIFS('3 Hazed Questions'!$F$2:$F$23,'3 Hazed Questions'!$A$2:$A$23,"Q1",'3 Hazed Questions'!$C$2:$C$23,I62)+SUMIFS('3 Hazed Questions'!$F$2:$F$23,'3 Hazed Questions'!$A$2:$A$23,"Q2",'3 Hazed Questions'!$C$2:$C$23,J62)+SUMIFS('3 Hazed Questions'!$F$2:$F$23,'3 Hazed Questions'!$A$2:$A$23,"Q3",'3 Hazed Questions'!$C$2:$C$23,K62)+SUMIFS('3 Hazed Questions'!$F$2:$F$23,'3 Hazed Questions'!$A$2:$A$23,"Q4",'3 Hazed Questions'!$C$2:$C$23,L62))</f>
        <v/>
      </c>
      <c r="P62" s="14" t="str">
        <f aca="false">IF(COUNTA(I62:L62)=0,"",SUMIFS('3 Hazed Questions'!$G$2:$G$23,'3 Hazed Questions'!$A$2:$A$23,"Q1",'3 Hazed Questions'!$C$2:$C$23,I62)+SUMIFS('3 Hazed Questions'!$G$2:$G$23,'3 Hazed Questions'!$A$2:$A$23,"Q2",'3 Hazed Questions'!$C$2:$C$23,J62)+SUMIFS('3 Hazed Questions'!$G$2:$G$23,'3 Hazed Questions'!$A$2:$A$23,"Q3",'3 Hazed Questions'!$C$2:$C$23,K62)+SUMIFS('3 Hazed Questions'!$G$2:$G$23,'3 Hazed Questions'!$A$2:$A$23,"Q4",'3 Hazed Questions'!$C$2:$C$23,L62))</f>
        <v/>
      </c>
      <c r="Q62" s="14" t="str">
        <f aca="false">IF(COUNTA(I62:L62)=0,"",SUMIFS('3 Hazed Questions'!$H$2:$H$23,'3 Hazed Questions'!$A$2:$A$23,"Q1",'3 Hazed Questions'!$C$2:$C$23,I62)+SUMIFS('3 Hazed Questions'!$H$2:$H$23,'3 Hazed Questions'!$A$2:$A$23,"Q2",'3 Hazed Questions'!$C$2:$C$23,J62)+SUMIFS('3 Hazed Questions'!$H$2:$H$23,'3 Hazed Questions'!$A$2:$A$23,"Q3",'3 Hazed Questions'!$C$2:$C$23,K62)+SUMIFS('3 Hazed Questions'!$H$2:$H$23,'3 Hazed Questions'!$A$2:$A$23,"Q4",'3 Hazed Questions'!$C$2:$C$23,L62))</f>
        <v/>
      </c>
      <c r="R62" s="14" t="str">
        <f aca="false">IF(COUNTA(I62:L62)=0,"",SUMIFS('3 Hazed Questions'!$I$2:$I$23,'3 Hazed Questions'!$A$2:$A$23,"Q1",'3 Hazed Questions'!$C$2:$C$23,I62)+SUMIFS('3 Hazed Questions'!$I$2:$I$23,'3 Hazed Questions'!$A$2:$A$23,"Q2",'3 Hazed Questions'!$C$2:$C$23,J62)+SUMIFS('3 Hazed Questions'!$I$2:$I$23,'3 Hazed Questions'!$A$2:$A$23,"Q3",'3 Hazed Questions'!$C$2:$C$23,K62)+SUMIFS('3 Hazed Questions'!$I$2:$I$23,'3 Hazed Questions'!$A$2:$A$23,"Q4",'3 Hazed Questions'!$C$2:$C$23,L62))</f>
        <v/>
      </c>
      <c r="S62" s="14" t="str">
        <f aca="false">IF(COUNTA(I62:L62)=0,"",SUMIFS('3 Hazed Questions'!$J$2:$J$23,'3 Hazed Questions'!$A$2:$A$23,"Q1",'3 Hazed Questions'!$C$2:$C$23,I62)+SUMIFS('3 Hazed Questions'!$J$2:$J$23,'3 Hazed Questions'!$A$2:$A$23,"Q2",'3 Hazed Questions'!$C$2:$C$23,J62)+SUMIFS('3 Hazed Questions'!$J$2:$J$23,'3 Hazed Questions'!$A$2:$A$23,"Q3",'3 Hazed Questions'!$C$2:$C$23,K62)+SUMIFS('3 Hazed Questions'!$J$2:$J$23,'3 Hazed Questions'!$A$2:$A$23,"Q4",'3 Hazed Questions'!$C$2:$C$23,L62))</f>
        <v/>
      </c>
      <c r="T62" s="14" t="str">
        <f aca="false">IF(COUNTA(I62:L62)=0,"",SUMIFS('3 Hazed Questions'!$K$2:$K$23,'3 Hazed Questions'!$A$2:$A$23,"Q1",'3 Hazed Questions'!$C$2:$C$23,I62)+SUMIFS('3 Hazed Questions'!$K$2:$K$23,'3 Hazed Questions'!$A$2:$A$23,"Q2",'3 Hazed Questions'!$C$2:$C$23,J62)+SUMIFS('3 Hazed Questions'!$K$2:$K$23,'3 Hazed Questions'!$A$2:$A$23,"Q3",'3 Hazed Questions'!$C$2:$C$23,K62)+SUMIFS('3 Hazed Questions'!$K$2:$K$23,'3 Hazed Questions'!$A$2:$A$23,"Q4",'3 Hazed Questions'!$C$2:$C$23,L62))</f>
        <v/>
      </c>
      <c r="U62" s="14" t="str">
        <f aca="false">IF(COUNTA(I62:L62)=0,"",SUMIFS('3 Hazed Questions'!$L$2:$L$23,'3 Hazed Questions'!$A$2:$A$23,"Q1",'3 Hazed Questions'!$C$2:$C$23,I62)+SUMIFS('3 Hazed Questions'!$L$2:$L$23,'3 Hazed Questions'!$A$2:$A$23,"Q2",'3 Hazed Questions'!$C$2:$C$23,J62)+SUMIFS('3 Hazed Questions'!$L$2:$L$23,'3 Hazed Questions'!$A$2:$A$23,"Q3",'3 Hazed Questions'!$C$2:$C$23,K62)+SUMIFS('3 Hazed Questions'!$L$2:$L$23,'3 Hazed Questions'!$A$2:$A$23,"Q4",'3 Hazed Questions'!$C$2:$C$23,L62))</f>
        <v/>
      </c>
      <c r="V62" s="14" t="str">
        <f aca="false">IF(COUNTA(I62:L62)=0,"",SUMIFS('3 Hazed Questions'!$M$2:$M$23,'3 Hazed Questions'!$A$2:$A$23,"Q1",'3 Hazed Questions'!$C$2:$C$23,I62)+SUMIFS('3 Hazed Questions'!$M$2:$M$23,'3 Hazed Questions'!$A$2:$A$23,"Q2",'3 Hazed Questions'!$C$2:$C$23,J62)+SUMIFS('3 Hazed Questions'!$M$2:$M$23,'3 Hazed Questions'!$A$2:$A$23,"Q3",'3 Hazed Questions'!$C$2:$C$23,K62)+SUMIFS('3 Hazed Questions'!$M$2:$M$23,'3 Hazed Questions'!$A$2:$A$23,"Q4",'3 Hazed Questions'!$C$2:$C$23,L62))</f>
        <v/>
      </c>
      <c r="W62" s="14" t="str">
        <f aca="false">IF(COUNTA(I62:L62)=0,"",SUMIFS('3 Hazed Questions'!$N$2:$N$23,'3 Hazed Questions'!$A$2:$A$23,"Q1",'3 Hazed Questions'!$C$2:$C$23,I62)+SUMIFS('3 Hazed Questions'!$N$2:$N$23,'3 Hazed Questions'!$A$2:$A$23,"Q2",'3 Hazed Questions'!$C$2:$C$23,J62)+SUMIFS('3 Hazed Questions'!$N$2:$N$23,'3 Hazed Questions'!$A$2:$A$23,"Q3",'3 Hazed Questions'!$C$2:$C$23,K62)+SUMIFS('3 Hazed Questions'!$N$2:$N$23,'3 Hazed Questions'!$A$2:$A$23,"Q4",'3 Hazed Questions'!$C$2:$C$23,L62))</f>
        <v/>
      </c>
      <c r="X62" s="14" t="str">
        <f aca="false">IF(COUNTA(I62:L62)=0,"",INDEX(Fields!$B$2:$B$50,MATCH(SUBSTITUTE(INDEX($N$1:$W$1,MATCH(MAX($N62:$W62),$N62:$W62,0)),"Score: ",""),Fields!$A$2:$A$50,0)))</f>
        <v/>
      </c>
      <c r="Y62" s="14" t="str">
        <f aca="true">IF(COUNTA(I62:L62)=0,"",IF(LARGE($N62:$W62,2)=0,"-",INDEX(Fields!$B$2:$B$50,MATCH(SUBSTITUTE(INDEX($N$1:$W$1,IF(LARGE($N62:$W62,2)=MAX($N62:$W62),MATCH(MAX($N62:$W62),OFFSET($N62:$W62,0,MATCH(MAX($N62:$W62),$N62:$W62,0),1,10-MATCH(MAX($N62:$W62),$N62:$W62,0)),0)+MATCH(MAX($N62:$W62),$N62:$W62,0),MATCH(LARGE($N62:$W62,2),$N62:$W62,0))),"Score: ",""),Fields!$A$2:$A$50,0))))</f>
        <v/>
      </c>
      <c r="Z62" s="14" t="str">
        <f aca="false">IF(M62="","",IFERROR(INDEX('3 Hazed Questions'!$O$2:$O$23,MATCH(1,INDEX(('3 Hazed Questions'!$A$2:$A$23="Q5")*('3 Hazed Questions'!$C$2:$C$23=M62),0),0))&amp;"",""))</f>
        <v/>
      </c>
      <c r="AA62" s="18"/>
      <c r="AB62" s="18"/>
      <c r="AC62" s="19"/>
      <c r="AD62" s="19"/>
      <c r="AE62" s="18"/>
      <c r="AF62" s="18"/>
      <c r="AG62" s="18"/>
    </row>
    <row r="63" customFormat="false" ht="15" hidden="false" customHeight="false" outlineLevel="0" collapsed="false">
      <c r="A63" s="18"/>
      <c r="B63" s="19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4" t="str">
        <f aca="false">IF(COUNTA(I63:L63)=0,"",SUMIFS('3 Hazed Questions'!$E$2:$E$23,'3 Hazed Questions'!$A$2:$A$23,"Q1",'3 Hazed Questions'!$C$2:$C$23,I63)+SUMIFS('3 Hazed Questions'!$E$2:$E$23,'3 Hazed Questions'!$A$2:$A$23,"Q2",'3 Hazed Questions'!$C$2:$C$23,J63)+SUMIFS('3 Hazed Questions'!$E$2:$E$23,'3 Hazed Questions'!$A$2:$A$23,"Q3",'3 Hazed Questions'!$C$2:$C$23,K63)+SUMIFS('3 Hazed Questions'!$E$2:$E$23,'3 Hazed Questions'!$A$2:$A$23,"Q4",'3 Hazed Questions'!$C$2:$C$23,L63))</f>
        <v/>
      </c>
      <c r="O63" s="14" t="str">
        <f aca="false">IF(COUNTA(I63:L63)=0,"",SUMIFS('3 Hazed Questions'!$F$2:$F$23,'3 Hazed Questions'!$A$2:$A$23,"Q1",'3 Hazed Questions'!$C$2:$C$23,I63)+SUMIFS('3 Hazed Questions'!$F$2:$F$23,'3 Hazed Questions'!$A$2:$A$23,"Q2",'3 Hazed Questions'!$C$2:$C$23,J63)+SUMIFS('3 Hazed Questions'!$F$2:$F$23,'3 Hazed Questions'!$A$2:$A$23,"Q3",'3 Hazed Questions'!$C$2:$C$23,K63)+SUMIFS('3 Hazed Questions'!$F$2:$F$23,'3 Hazed Questions'!$A$2:$A$23,"Q4",'3 Hazed Questions'!$C$2:$C$23,L63))</f>
        <v/>
      </c>
      <c r="P63" s="14" t="str">
        <f aca="false">IF(COUNTA(I63:L63)=0,"",SUMIFS('3 Hazed Questions'!$G$2:$G$23,'3 Hazed Questions'!$A$2:$A$23,"Q1",'3 Hazed Questions'!$C$2:$C$23,I63)+SUMIFS('3 Hazed Questions'!$G$2:$G$23,'3 Hazed Questions'!$A$2:$A$23,"Q2",'3 Hazed Questions'!$C$2:$C$23,J63)+SUMIFS('3 Hazed Questions'!$G$2:$G$23,'3 Hazed Questions'!$A$2:$A$23,"Q3",'3 Hazed Questions'!$C$2:$C$23,K63)+SUMIFS('3 Hazed Questions'!$G$2:$G$23,'3 Hazed Questions'!$A$2:$A$23,"Q4",'3 Hazed Questions'!$C$2:$C$23,L63))</f>
        <v/>
      </c>
      <c r="Q63" s="14" t="str">
        <f aca="false">IF(COUNTA(I63:L63)=0,"",SUMIFS('3 Hazed Questions'!$H$2:$H$23,'3 Hazed Questions'!$A$2:$A$23,"Q1",'3 Hazed Questions'!$C$2:$C$23,I63)+SUMIFS('3 Hazed Questions'!$H$2:$H$23,'3 Hazed Questions'!$A$2:$A$23,"Q2",'3 Hazed Questions'!$C$2:$C$23,J63)+SUMIFS('3 Hazed Questions'!$H$2:$H$23,'3 Hazed Questions'!$A$2:$A$23,"Q3",'3 Hazed Questions'!$C$2:$C$23,K63)+SUMIFS('3 Hazed Questions'!$H$2:$H$23,'3 Hazed Questions'!$A$2:$A$23,"Q4",'3 Hazed Questions'!$C$2:$C$23,L63))</f>
        <v/>
      </c>
      <c r="R63" s="14" t="str">
        <f aca="false">IF(COUNTA(I63:L63)=0,"",SUMIFS('3 Hazed Questions'!$I$2:$I$23,'3 Hazed Questions'!$A$2:$A$23,"Q1",'3 Hazed Questions'!$C$2:$C$23,I63)+SUMIFS('3 Hazed Questions'!$I$2:$I$23,'3 Hazed Questions'!$A$2:$A$23,"Q2",'3 Hazed Questions'!$C$2:$C$23,J63)+SUMIFS('3 Hazed Questions'!$I$2:$I$23,'3 Hazed Questions'!$A$2:$A$23,"Q3",'3 Hazed Questions'!$C$2:$C$23,K63)+SUMIFS('3 Hazed Questions'!$I$2:$I$23,'3 Hazed Questions'!$A$2:$A$23,"Q4",'3 Hazed Questions'!$C$2:$C$23,L63))</f>
        <v/>
      </c>
      <c r="S63" s="14" t="str">
        <f aca="false">IF(COUNTA(I63:L63)=0,"",SUMIFS('3 Hazed Questions'!$J$2:$J$23,'3 Hazed Questions'!$A$2:$A$23,"Q1",'3 Hazed Questions'!$C$2:$C$23,I63)+SUMIFS('3 Hazed Questions'!$J$2:$J$23,'3 Hazed Questions'!$A$2:$A$23,"Q2",'3 Hazed Questions'!$C$2:$C$23,J63)+SUMIFS('3 Hazed Questions'!$J$2:$J$23,'3 Hazed Questions'!$A$2:$A$23,"Q3",'3 Hazed Questions'!$C$2:$C$23,K63)+SUMIFS('3 Hazed Questions'!$J$2:$J$23,'3 Hazed Questions'!$A$2:$A$23,"Q4",'3 Hazed Questions'!$C$2:$C$23,L63))</f>
        <v/>
      </c>
      <c r="T63" s="14" t="str">
        <f aca="false">IF(COUNTA(I63:L63)=0,"",SUMIFS('3 Hazed Questions'!$K$2:$K$23,'3 Hazed Questions'!$A$2:$A$23,"Q1",'3 Hazed Questions'!$C$2:$C$23,I63)+SUMIFS('3 Hazed Questions'!$K$2:$K$23,'3 Hazed Questions'!$A$2:$A$23,"Q2",'3 Hazed Questions'!$C$2:$C$23,J63)+SUMIFS('3 Hazed Questions'!$K$2:$K$23,'3 Hazed Questions'!$A$2:$A$23,"Q3",'3 Hazed Questions'!$C$2:$C$23,K63)+SUMIFS('3 Hazed Questions'!$K$2:$K$23,'3 Hazed Questions'!$A$2:$A$23,"Q4",'3 Hazed Questions'!$C$2:$C$23,L63))</f>
        <v/>
      </c>
      <c r="U63" s="14" t="str">
        <f aca="false">IF(COUNTA(I63:L63)=0,"",SUMIFS('3 Hazed Questions'!$L$2:$L$23,'3 Hazed Questions'!$A$2:$A$23,"Q1",'3 Hazed Questions'!$C$2:$C$23,I63)+SUMIFS('3 Hazed Questions'!$L$2:$L$23,'3 Hazed Questions'!$A$2:$A$23,"Q2",'3 Hazed Questions'!$C$2:$C$23,J63)+SUMIFS('3 Hazed Questions'!$L$2:$L$23,'3 Hazed Questions'!$A$2:$A$23,"Q3",'3 Hazed Questions'!$C$2:$C$23,K63)+SUMIFS('3 Hazed Questions'!$L$2:$L$23,'3 Hazed Questions'!$A$2:$A$23,"Q4",'3 Hazed Questions'!$C$2:$C$23,L63))</f>
        <v/>
      </c>
      <c r="V63" s="14" t="str">
        <f aca="false">IF(COUNTA(I63:L63)=0,"",SUMIFS('3 Hazed Questions'!$M$2:$M$23,'3 Hazed Questions'!$A$2:$A$23,"Q1",'3 Hazed Questions'!$C$2:$C$23,I63)+SUMIFS('3 Hazed Questions'!$M$2:$M$23,'3 Hazed Questions'!$A$2:$A$23,"Q2",'3 Hazed Questions'!$C$2:$C$23,J63)+SUMIFS('3 Hazed Questions'!$M$2:$M$23,'3 Hazed Questions'!$A$2:$A$23,"Q3",'3 Hazed Questions'!$C$2:$C$23,K63)+SUMIFS('3 Hazed Questions'!$M$2:$M$23,'3 Hazed Questions'!$A$2:$A$23,"Q4",'3 Hazed Questions'!$C$2:$C$23,L63))</f>
        <v/>
      </c>
      <c r="W63" s="14" t="str">
        <f aca="false">IF(COUNTA(I63:L63)=0,"",SUMIFS('3 Hazed Questions'!$N$2:$N$23,'3 Hazed Questions'!$A$2:$A$23,"Q1",'3 Hazed Questions'!$C$2:$C$23,I63)+SUMIFS('3 Hazed Questions'!$N$2:$N$23,'3 Hazed Questions'!$A$2:$A$23,"Q2",'3 Hazed Questions'!$C$2:$C$23,J63)+SUMIFS('3 Hazed Questions'!$N$2:$N$23,'3 Hazed Questions'!$A$2:$A$23,"Q3",'3 Hazed Questions'!$C$2:$C$23,K63)+SUMIFS('3 Hazed Questions'!$N$2:$N$23,'3 Hazed Questions'!$A$2:$A$23,"Q4",'3 Hazed Questions'!$C$2:$C$23,L63))</f>
        <v/>
      </c>
      <c r="X63" s="14" t="str">
        <f aca="false">IF(COUNTA(I63:L63)=0,"",INDEX(Fields!$B$2:$B$50,MATCH(SUBSTITUTE(INDEX($N$1:$W$1,MATCH(MAX($N63:$W63),$N63:$W63,0)),"Score: ",""),Fields!$A$2:$A$50,0)))</f>
        <v/>
      </c>
      <c r="Y63" s="14" t="str">
        <f aca="true">IF(COUNTA(I63:L63)=0,"",IF(LARGE($N63:$W63,2)=0,"-",INDEX(Fields!$B$2:$B$50,MATCH(SUBSTITUTE(INDEX($N$1:$W$1,IF(LARGE($N63:$W63,2)=MAX($N63:$W63),MATCH(MAX($N63:$W63),OFFSET($N63:$W63,0,MATCH(MAX($N63:$W63),$N63:$W63,0),1,10-MATCH(MAX($N63:$W63),$N63:$W63,0)),0)+MATCH(MAX($N63:$W63),$N63:$W63,0),MATCH(LARGE($N63:$W63,2),$N63:$W63,0))),"Score: ",""),Fields!$A$2:$A$50,0))))</f>
        <v/>
      </c>
      <c r="Z63" s="14" t="str">
        <f aca="false">IF(M63="","",IFERROR(INDEX('3 Hazed Questions'!$O$2:$O$23,MATCH(1,INDEX(('3 Hazed Questions'!$A$2:$A$23="Q5")*('3 Hazed Questions'!$C$2:$C$23=M63),0),0))&amp;"",""))</f>
        <v/>
      </c>
      <c r="AA63" s="18"/>
      <c r="AB63" s="18"/>
      <c r="AC63" s="19"/>
      <c r="AD63" s="19"/>
      <c r="AE63" s="18"/>
      <c r="AF63" s="18"/>
      <c r="AG63" s="18"/>
    </row>
    <row r="64" customFormat="false" ht="15" hidden="false" customHeight="false" outlineLevel="0" collapsed="false">
      <c r="A64" s="18"/>
      <c r="B64" s="19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4" t="str">
        <f aca="false">IF(COUNTA(I64:L64)=0,"",SUMIFS('3 Hazed Questions'!$E$2:$E$23,'3 Hazed Questions'!$A$2:$A$23,"Q1",'3 Hazed Questions'!$C$2:$C$23,I64)+SUMIFS('3 Hazed Questions'!$E$2:$E$23,'3 Hazed Questions'!$A$2:$A$23,"Q2",'3 Hazed Questions'!$C$2:$C$23,J64)+SUMIFS('3 Hazed Questions'!$E$2:$E$23,'3 Hazed Questions'!$A$2:$A$23,"Q3",'3 Hazed Questions'!$C$2:$C$23,K64)+SUMIFS('3 Hazed Questions'!$E$2:$E$23,'3 Hazed Questions'!$A$2:$A$23,"Q4",'3 Hazed Questions'!$C$2:$C$23,L64))</f>
        <v/>
      </c>
      <c r="O64" s="14" t="str">
        <f aca="false">IF(COUNTA(I64:L64)=0,"",SUMIFS('3 Hazed Questions'!$F$2:$F$23,'3 Hazed Questions'!$A$2:$A$23,"Q1",'3 Hazed Questions'!$C$2:$C$23,I64)+SUMIFS('3 Hazed Questions'!$F$2:$F$23,'3 Hazed Questions'!$A$2:$A$23,"Q2",'3 Hazed Questions'!$C$2:$C$23,J64)+SUMIFS('3 Hazed Questions'!$F$2:$F$23,'3 Hazed Questions'!$A$2:$A$23,"Q3",'3 Hazed Questions'!$C$2:$C$23,K64)+SUMIFS('3 Hazed Questions'!$F$2:$F$23,'3 Hazed Questions'!$A$2:$A$23,"Q4",'3 Hazed Questions'!$C$2:$C$23,L64))</f>
        <v/>
      </c>
      <c r="P64" s="14" t="str">
        <f aca="false">IF(COUNTA(I64:L64)=0,"",SUMIFS('3 Hazed Questions'!$G$2:$G$23,'3 Hazed Questions'!$A$2:$A$23,"Q1",'3 Hazed Questions'!$C$2:$C$23,I64)+SUMIFS('3 Hazed Questions'!$G$2:$G$23,'3 Hazed Questions'!$A$2:$A$23,"Q2",'3 Hazed Questions'!$C$2:$C$23,J64)+SUMIFS('3 Hazed Questions'!$G$2:$G$23,'3 Hazed Questions'!$A$2:$A$23,"Q3",'3 Hazed Questions'!$C$2:$C$23,K64)+SUMIFS('3 Hazed Questions'!$G$2:$G$23,'3 Hazed Questions'!$A$2:$A$23,"Q4",'3 Hazed Questions'!$C$2:$C$23,L64))</f>
        <v/>
      </c>
      <c r="Q64" s="14" t="str">
        <f aca="false">IF(COUNTA(I64:L64)=0,"",SUMIFS('3 Hazed Questions'!$H$2:$H$23,'3 Hazed Questions'!$A$2:$A$23,"Q1",'3 Hazed Questions'!$C$2:$C$23,I64)+SUMIFS('3 Hazed Questions'!$H$2:$H$23,'3 Hazed Questions'!$A$2:$A$23,"Q2",'3 Hazed Questions'!$C$2:$C$23,J64)+SUMIFS('3 Hazed Questions'!$H$2:$H$23,'3 Hazed Questions'!$A$2:$A$23,"Q3",'3 Hazed Questions'!$C$2:$C$23,K64)+SUMIFS('3 Hazed Questions'!$H$2:$H$23,'3 Hazed Questions'!$A$2:$A$23,"Q4",'3 Hazed Questions'!$C$2:$C$23,L64))</f>
        <v/>
      </c>
      <c r="R64" s="14" t="str">
        <f aca="false">IF(COUNTA(I64:L64)=0,"",SUMIFS('3 Hazed Questions'!$I$2:$I$23,'3 Hazed Questions'!$A$2:$A$23,"Q1",'3 Hazed Questions'!$C$2:$C$23,I64)+SUMIFS('3 Hazed Questions'!$I$2:$I$23,'3 Hazed Questions'!$A$2:$A$23,"Q2",'3 Hazed Questions'!$C$2:$C$23,J64)+SUMIFS('3 Hazed Questions'!$I$2:$I$23,'3 Hazed Questions'!$A$2:$A$23,"Q3",'3 Hazed Questions'!$C$2:$C$23,K64)+SUMIFS('3 Hazed Questions'!$I$2:$I$23,'3 Hazed Questions'!$A$2:$A$23,"Q4",'3 Hazed Questions'!$C$2:$C$23,L64))</f>
        <v/>
      </c>
      <c r="S64" s="14" t="str">
        <f aca="false">IF(COUNTA(I64:L64)=0,"",SUMIFS('3 Hazed Questions'!$J$2:$J$23,'3 Hazed Questions'!$A$2:$A$23,"Q1",'3 Hazed Questions'!$C$2:$C$23,I64)+SUMIFS('3 Hazed Questions'!$J$2:$J$23,'3 Hazed Questions'!$A$2:$A$23,"Q2",'3 Hazed Questions'!$C$2:$C$23,J64)+SUMIFS('3 Hazed Questions'!$J$2:$J$23,'3 Hazed Questions'!$A$2:$A$23,"Q3",'3 Hazed Questions'!$C$2:$C$23,K64)+SUMIFS('3 Hazed Questions'!$J$2:$J$23,'3 Hazed Questions'!$A$2:$A$23,"Q4",'3 Hazed Questions'!$C$2:$C$23,L64))</f>
        <v/>
      </c>
      <c r="T64" s="14" t="str">
        <f aca="false">IF(COUNTA(I64:L64)=0,"",SUMIFS('3 Hazed Questions'!$K$2:$K$23,'3 Hazed Questions'!$A$2:$A$23,"Q1",'3 Hazed Questions'!$C$2:$C$23,I64)+SUMIFS('3 Hazed Questions'!$K$2:$K$23,'3 Hazed Questions'!$A$2:$A$23,"Q2",'3 Hazed Questions'!$C$2:$C$23,J64)+SUMIFS('3 Hazed Questions'!$K$2:$K$23,'3 Hazed Questions'!$A$2:$A$23,"Q3",'3 Hazed Questions'!$C$2:$C$23,K64)+SUMIFS('3 Hazed Questions'!$K$2:$K$23,'3 Hazed Questions'!$A$2:$A$23,"Q4",'3 Hazed Questions'!$C$2:$C$23,L64))</f>
        <v/>
      </c>
      <c r="U64" s="14" t="str">
        <f aca="false">IF(COUNTA(I64:L64)=0,"",SUMIFS('3 Hazed Questions'!$L$2:$L$23,'3 Hazed Questions'!$A$2:$A$23,"Q1",'3 Hazed Questions'!$C$2:$C$23,I64)+SUMIFS('3 Hazed Questions'!$L$2:$L$23,'3 Hazed Questions'!$A$2:$A$23,"Q2",'3 Hazed Questions'!$C$2:$C$23,J64)+SUMIFS('3 Hazed Questions'!$L$2:$L$23,'3 Hazed Questions'!$A$2:$A$23,"Q3",'3 Hazed Questions'!$C$2:$C$23,K64)+SUMIFS('3 Hazed Questions'!$L$2:$L$23,'3 Hazed Questions'!$A$2:$A$23,"Q4",'3 Hazed Questions'!$C$2:$C$23,L64))</f>
        <v/>
      </c>
      <c r="V64" s="14" t="str">
        <f aca="false">IF(COUNTA(I64:L64)=0,"",SUMIFS('3 Hazed Questions'!$M$2:$M$23,'3 Hazed Questions'!$A$2:$A$23,"Q1",'3 Hazed Questions'!$C$2:$C$23,I64)+SUMIFS('3 Hazed Questions'!$M$2:$M$23,'3 Hazed Questions'!$A$2:$A$23,"Q2",'3 Hazed Questions'!$C$2:$C$23,J64)+SUMIFS('3 Hazed Questions'!$M$2:$M$23,'3 Hazed Questions'!$A$2:$A$23,"Q3",'3 Hazed Questions'!$C$2:$C$23,K64)+SUMIFS('3 Hazed Questions'!$M$2:$M$23,'3 Hazed Questions'!$A$2:$A$23,"Q4",'3 Hazed Questions'!$C$2:$C$23,L64))</f>
        <v/>
      </c>
      <c r="W64" s="14" t="str">
        <f aca="false">IF(COUNTA(I64:L64)=0,"",SUMIFS('3 Hazed Questions'!$N$2:$N$23,'3 Hazed Questions'!$A$2:$A$23,"Q1",'3 Hazed Questions'!$C$2:$C$23,I64)+SUMIFS('3 Hazed Questions'!$N$2:$N$23,'3 Hazed Questions'!$A$2:$A$23,"Q2",'3 Hazed Questions'!$C$2:$C$23,J64)+SUMIFS('3 Hazed Questions'!$N$2:$N$23,'3 Hazed Questions'!$A$2:$A$23,"Q3",'3 Hazed Questions'!$C$2:$C$23,K64)+SUMIFS('3 Hazed Questions'!$N$2:$N$23,'3 Hazed Questions'!$A$2:$A$23,"Q4",'3 Hazed Questions'!$C$2:$C$23,L64))</f>
        <v/>
      </c>
      <c r="X64" s="14" t="str">
        <f aca="false">IF(COUNTA(I64:L64)=0,"",INDEX(Fields!$B$2:$B$50,MATCH(SUBSTITUTE(INDEX($N$1:$W$1,MATCH(MAX($N64:$W64),$N64:$W64,0)),"Score: ",""),Fields!$A$2:$A$50,0)))</f>
        <v/>
      </c>
      <c r="Y64" s="14" t="str">
        <f aca="true">IF(COUNTA(I64:L64)=0,"",IF(LARGE($N64:$W64,2)=0,"-",INDEX(Fields!$B$2:$B$50,MATCH(SUBSTITUTE(INDEX($N$1:$W$1,IF(LARGE($N64:$W64,2)=MAX($N64:$W64),MATCH(MAX($N64:$W64),OFFSET($N64:$W64,0,MATCH(MAX($N64:$W64),$N64:$W64,0),1,10-MATCH(MAX($N64:$W64),$N64:$W64,0)),0)+MATCH(MAX($N64:$W64),$N64:$W64,0),MATCH(LARGE($N64:$W64,2),$N64:$W64,0))),"Score: ",""),Fields!$A$2:$A$50,0))))</f>
        <v/>
      </c>
      <c r="Z64" s="14" t="str">
        <f aca="false">IF(M64="","",IFERROR(INDEX('3 Hazed Questions'!$O$2:$O$23,MATCH(1,INDEX(('3 Hazed Questions'!$A$2:$A$23="Q5")*('3 Hazed Questions'!$C$2:$C$23=M64),0),0))&amp;"",""))</f>
        <v/>
      </c>
      <c r="AA64" s="18"/>
      <c r="AB64" s="18"/>
      <c r="AC64" s="19"/>
      <c r="AD64" s="19"/>
      <c r="AE64" s="18"/>
      <c r="AF64" s="18"/>
      <c r="AG64" s="18"/>
    </row>
    <row r="65" customFormat="false" ht="15" hidden="false" customHeight="false" outlineLevel="0" collapsed="false">
      <c r="A65" s="18"/>
      <c r="B65" s="19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4" t="str">
        <f aca="false">IF(COUNTA(I65:L65)=0,"",SUMIFS('3 Hazed Questions'!$E$2:$E$23,'3 Hazed Questions'!$A$2:$A$23,"Q1",'3 Hazed Questions'!$C$2:$C$23,I65)+SUMIFS('3 Hazed Questions'!$E$2:$E$23,'3 Hazed Questions'!$A$2:$A$23,"Q2",'3 Hazed Questions'!$C$2:$C$23,J65)+SUMIFS('3 Hazed Questions'!$E$2:$E$23,'3 Hazed Questions'!$A$2:$A$23,"Q3",'3 Hazed Questions'!$C$2:$C$23,K65)+SUMIFS('3 Hazed Questions'!$E$2:$E$23,'3 Hazed Questions'!$A$2:$A$23,"Q4",'3 Hazed Questions'!$C$2:$C$23,L65))</f>
        <v/>
      </c>
      <c r="O65" s="14" t="str">
        <f aca="false">IF(COUNTA(I65:L65)=0,"",SUMIFS('3 Hazed Questions'!$F$2:$F$23,'3 Hazed Questions'!$A$2:$A$23,"Q1",'3 Hazed Questions'!$C$2:$C$23,I65)+SUMIFS('3 Hazed Questions'!$F$2:$F$23,'3 Hazed Questions'!$A$2:$A$23,"Q2",'3 Hazed Questions'!$C$2:$C$23,J65)+SUMIFS('3 Hazed Questions'!$F$2:$F$23,'3 Hazed Questions'!$A$2:$A$23,"Q3",'3 Hazed Questions'!$C$2:$C$23,K65)+SUMIFS('3 Hazed Questions'!$F$2:$F$23,'3 Hazed Questions'!$A$2:$A$23,"Q4",'3 Hazed Questions'!$C$2:$C$23,L65))</f>
        <v/>
      </c>
      <c r="P65" s="14" t="str">
        <f aca="false">IF(COUNTA(I65:L65)=0,"",SUMIFS('3 Hazed Questions'!$G$2:$G$23,'3 Hazed Questions'!$A$2:$A$23,"Q1",'3 Hazed Questions'!$C$2:$C$23,I65)+SUMIFS('3 Hazed Questions'!$G$2:$G$23,'3 Hazed Questions'!$A$2:$A$23,"Q2",'3 Hazed Questions'!$C$2:$C$23,J65)+SUMIFS('3 Hazed Questions'!$G$2:$G$23,'3 Hazed Questions'!$A$2:$A$23,"Q3",'3 Hazed Questions'!$C$2:$C$23,K65)+SUMIFS('3 Hazed Questions'!$G$2:$G$23,'3 Hazed Questions'!$A$2:$A$23,"Q4",'3 Hazed Questions'!$C$2:$C$23,L65))</f>
        <v/>
      </c>
      <c r="Q65" s="14" t="str">
        <f aca="false">IF(COUNTA(I65:L65)=0,"",SUMIFS('3 Hazed Questions'!$H$2:$H$23,'3 Hazed Questions'!$A$2:$A$23,"Q1",'3 Hazed Questions'!$C$2:$C$23,I65)+SUMIFS('3 Hazed Questions'!$H$2:$H$23,'3 Hazed Questions'!$A$2:$A$23,"Q2",'3 Hazed Questions'!$C$2:$C$23,J65)+SUMIFS('3 Hazed Questions'!$H$2:$H$23,'3 Hazed Questions'!$A$2:$A$23,"Q3",'3 Hazed Questions'!$C$2:$C$23,K65)+SUMIFS('3 Hazed Questions'!$H$2:$H$23,'3 Hazed Questions'!$A$2:$A$23,"Q4",'3 Hazed Questions'!$C$2:$C$23,L65))</f>
        <v/>
      </c>
      <c r="R65" s="14" t="str">
        <f aca="false">IF(COUNTA(I65:L65)=0,"",SUMIFS('3 Hazed Questions'!$I$2:$I$23,'3 Hazed Questions'!$A$2:$A$23,"Q1",'3 Hazed Questions'!$C$2:$C$23,I65)+SUMIFS('3 Hazed Questions'!$I$2:$I$23,'3 Hazed Questions'!$A$2:$A$23,"Q2",'3 Hazed Questions'!$C$2:$C$23,J65)+SUMIFS('3 Hazed Questions'!$I$2:$I$23,'3 Hazed Questions'!$A$2:$A$23,"Q3",'3 Hazed Questions'!$C$2:$C$23,K65)+SUMIFS('3 Hazed Questions'!$I$2:$I$23,'3 Hazed Questions'!$A$2:$A$23,"Q4",'3 Hazed Questions'!$C$2:$C$23,L65))</f>
        <v/>
      </c>
      <c r="S65" s="14" t="str">
        <f aca="false">IF(COUNTA(I65:L65)=0,"",SUMIFS('3 Hazed Questions'!$J$2:$J$23,'3 Hazed Questions'!$A$2:$A$23,"Q1",'3 Hazed Questions'!$C$2:$C$23,I65)+SUMIFS('3 Hazed Questions'!$J$2:$J$23,'3 Hazed Questions'!$A$2:$A$23,"Q2",'3 Hazed Questions'!$C$2:$C$23,J65)+SUMIFS('3 Hazed Questions'!$J$2:$J$23,'3 Hazed Questions'!$A$2:$A$23,"Q3",'3 Hazed Questions'!$C$2:$C$23,K65)+SUMIFS('3 Hazed Questions'!$J$2:$J$23,'3 Hazed Questions'!$A$2:$A$23,"Q4",'3 Hazed Questions'!$C$2:$C$23,L65))</f>
        <v/>
      </c>
      <c r="T65" s="14" t="str">
        <f aca="false">IF(COUNTA(I65:L65)=0,"",SUMIFS('3 Hazed Questions'!$K$2:$K$23,'3 Hazed Questions'!$A$2:$A$23,"Q1",'3 Hazed Questions'!$C$2:$C$23,I65)+SUMIFS('3 Hazed Questions'!$K$2:$K$23,'3 Hazed Questions'!$A$2:$A$23,"Q2",'3 Hazed Questions'!$C$2:$C$23,J65)+SUMIFS('3 Hazed Questions'!$K$2:$K$23,'3 Hazed Questions'!$A$2:$A$23,"Q3",'3 Hazed Questions'!$C$2:$C$23,K65)+SUMIFS('3 Hazed Questions'!$K$2:$K$23,'3 Hazed Questions'!$A$2:$A$23,"Q4",'3 Hazed Questions'!$C$2:$C$23,L65))</f>
        <v/>
      </c>
      <c r="U65" s="14" t="str">
        <f aca="false">IF(COUNTA(I65:L65)=0,"",SUMIFS('3 Hazed Questions'!$L$2:$L$23,'3 Hazed Questions'!$A$2:$A$23,"Q1",'3 Hazed Questions'!$C$2:$C$23,I65)+SUMIFS('3 Hazed Questions'!$L$2:$L$23,'3 Hazed Questions'!$A$2:$A$23,"Q2",'3 Hazed Questions'!$C$2:$C$23,J65)+SUMIFS('3 Hazed Questions'!$L$2:$L$23,'3 Hazed Questions'!$A$2:$A$23,"Q3",'3 Hazed Questions'!$C$2:$C$23,K65)+SUMIFS('3 Hazed Questions'!$L$2:$L$23,'3 Hazed Questions'!$A$2:$A$23,"Q4",'3 Hazed Questions'!$C$2:$C$23,L65))</f>
        <v/>
      </c>
      <c r="V65" s="14" t="str">
        <f aca="false">IF(COUNTA(I65:L65)=0,"",SUMIFS('3 Hazed Questions'!$M$2:$M$23,'3 Hazed Questions'!$A$2:$A$23,"Q1",'3 Hazed Questions'!$C$2:$C$23,I65)+SUMIFS('3 Hazed Questions'!$M$2:$M$23,'3 Hazed Questions'!$A$2:$A$23,"Q2",'3 Hazed Questions'!$C$2:$C$23,J65)+SUMIFS('3 Hazed Questions'!$M$2:$M$23,'3 Hazed Questions'!$A$2:$A$23,"Q3",'3 Hazed Questions'!$C$2:$C$23,K65)+SUMIFS('3 Hazed Questions'!$M$2:$M$23,'3 Hazed Questions'!$A$2:$A$23,"Q4",'3 Hazed Questions'!$C$2:$C$23,L65))</f>
        <v/>
      </c>
      <c r="W65" s="14" t="str">
        <f aca="false">IF(COUNTA(I65:L65)=0,"",SUMIFS('3 Hazed Questions'!$N$2:$N$23,'3 Hazed Questions'!$A$2:$A$23,"Q1",'3 Hazed Questions'!$C$2:$C$23,I65)+SUMIFS('3 Hazed Questions'!$N$2:$N$23,'3 Hazed Questions'!$A$2:$A$23,"Q2",'3 Hazed Questions'!$C$2:$C$23,J65)+SUMIFS('3 Hazed Questions'!$N$2:$N$23,'3 Hazed Questions'!$A$2:$A$23,"Q3",'3 Hazed Questions'!$C$2:$C$23,K65)+SUMIFS('3 Hazed Questions'!$N$2:$N$23,'3 Hazed Questions'!$A$2:$A$23,"Q4",'3 Hazed Questions'!$C$2:$C$23,L65))</f>
        <v/>
      </c>
      <c r="X65" s="14" t="str">
        <f aca="false">IF(COUNTA(I65:L65)=0,"",INDEX(Fields!$B$2:$B$50,MATCH(SUBSTITUTE(INDEX($N$1:$W$1,MATCH(MAX($N65:$W65),$N65:$W65,0)),"Score: ",""),Fields!$A$2:$A$50,0)))</f>
        <v/>
      </c>
      <c r="Y65" s="14" t="str">
        <f aca="true">IF(COUNTA(I65:L65)=0,"",IF(LARGE($N65:$W65,2)=0,"-",INDEX(Fields!$B$2:$B$50,MATCH(SUBSTITUTE(INDEX($N$1:$W$1,IF(LARGE($N65:$W65,2)=MAX($N65:$W65),MATCH(MAX($N65:$W65),OFFSET($N65:$W65,0,MATCH(MAX($N65:$W65),$N65:$W65,0),1,10-MATCH(MAX($N65:$W65),$N65:$W65,0)),0)+MATCH(MAX($N65:$W65),$N65:$W65,0),MATCH(LARGE($N65:$W65,2),$N65:$W65,0))),"Score: ",""),Fields!$A$2:$A$50,0))))</f>
        <v/>
      </c>
      <c r="Z65" s="14" t="str">
        <f aca="false">IF(M65="","",IFERROR(INDEX('3 Hazed Questions'!$O$2:$O$23,MATCH(1,INDEX(('3 Hazed Questions'!$A$2:$A$23="Q5")*('3 Hazed Questions'!$C$2:$C$23=M65),0),0))&amp;"",""))</f>
        <v/>
      </c>
      <c r="AA65" s="18"/>
      <c r="AB65" s="18"/>
      <c r="AC65" s="19"/>
      <c r="AD65" s="19"/>
      <c r="AE65" s="18"/>
      <c r="AF65" s="18"/>
      <c r="AG65" s="18"/>
    </row>
    <row r="66" customFormat="false" ht="15" hidden="false" customHeight="false" outlineLevel="0" collapsed="false">
      <c r="A66" s="18"/>
      <c r="B66" s="19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4" t="str">
        <f aca="false">IF(COUNTA(I66:L66)=0,"",SUMIFS('3 Hazed Questions'!$E$2:$E$23,'3 Hazed Questions'!$A$2:$A$23,"Q1",'3 Hazed Questions'!$C$2:$C$23,I66)+SUMIFS('3 Hazed Questions'!$E$2:$E$23,'3 Hazed Questions'!$A$2:$A$23,"Q2",'3 Hazed Questions'!$C$2:$C$23,J66)+SUMIFS('3 Hazed Questions'!$E$2:$E$23,'3 Hazed Questions'!$A$2:$A$23,"Q3",'3 Hazed Questions'!$C$2:$C$23,K66)+SUMIFS('3 Hazed Questions'!$E$2:$E$23,'3 Hazed Questions'!$A$2:$A$23,"Q4",'3 Hazed Questions'!$C$2:$C$23,L66))</f>
        <v/>
      </c>
      <c r="O66" s="14" t="str">
        <f aca="false">IF(COUNTA(I66:L66)=0,"",SUMIFS('3 Hazed Questions'!$F$2:$F$23,'3 Hazed Questions'!$A$2:$A$23,"Q1",'3 Hazed Questions'!$C$2:$C$23,I66)+SUMIFS('3 Hazed Questions'!$F$2:$F$23,'3 Hazed Questions'!$A$2:$A$23,"Q2",'3 Hazed Questions'!$C$2:$C$23,J66)+SUMIFS('3 Hazed Questions'!$F$2:$F$23,'3 Hazed Questions'!$A$2:$A$23,"Q3",'3 Hazed Questions'!$C$2:$C$23,K66)+SUMIFS('3 Hazed Questions'!$F$2:$F$23,'3 Hazed Questions'!$A$2:$A$23,"Q4",'3 Hazed Questions'!$C$2:$C$23,L66))</f>
        <v/>
      </c>
      <c r="P66" s="14" t="str">
        <f aca="false">IF(COUNTA(I66:L66)=0,"",SUMIFS('3 Hazed Questions'!$G$2:$G$23,'3 Hazed Questions'!$A$2:$A$23,"Q1",'3 Hazed Questions'!$C$2:$C$23,I66)+SUMIFS('3 Hazed Questions'!$G$2:$G$23,'3 Hazed Questions'!$A$2:$A$23,"Q2",'3 Hazed Questions'!$C$2:$C$23,J66)+SUMIFS('3 Hazed Questions'!$G$2:$G$23,'3 Hazed Questions'!$A$2:$A$23,"Q3",'3 Hazed Questions'!$C$2:$C$23,K66)+SUMIFS('3 Hazed Questions'!$G$2:$G$23,'3 Hazed Questions'!$A$2:$A$23,"Q4",'3 Hazed Questions'!$C$2:$C$23,L66))</f>
        <v/>
      </c>
      <c r="Q66" s="14" t="str">
        <f aca="false">IF(COUNTA(I66:L66)=0,"",SUMIFS('3 Hazed Questions'!$H$2:$H$23,'3 Hazed Questions'!$A$2:$A$23,"Q1",'3 Hazed Questions'!$C$2:$C$23,I66)+SUMIFS('3 Hazed Questions'!$H$2:$H$23,'3 Hazed Questions'!$A$2:$A$23,"Q2",'3 Hazed Questions'!$C$2:$C$23,J66)+SUMIFS('3 Hazed Questions'!$H$2:$H$23,'3 Hazed Questions'!$A$2:$A$23,"Q3",'3 Hazed Questions'!$C$2:$C$23,K66)+SUMIFS('3 Hazed Questions'!$H$2:$H$23,'3 Hazed Questions'!$A$2:$A$23,"Q4",'3 Hazed Questions'!$C$2:$C$23,L66))</f>
        <v/>
      </c>
      <c r="R66" s="14" t="str">
        <f aca="false">IF(COUNTA(I66:L66)=0,"",SUMIFS('3 Hazed Questions'!$I$2:$I$23,'3 Hazed Questions'!$A$2:$A$23,"Q1",'3 Hazed Questions'!$C$2:$C$23,I66)+SUMIFS('3 Hazed Questions'!$I$2:$I$23,'3 Hazed Questions'!$A$2:$A$23,"Q2",'3 Hazed Questions'!$C$2:$C$23,J66)+SUMIFS('3 Hazed Questions'!$I$2:$I$23,'3 Hazed Questions'!$A$2:$A$23,"Q3",'3 Hazed Questions'!$C$2:$C$23,K66)+SUMIFS('3 Hazed Questions'!$I$2:$I$23,'3 Hazed Questions'!$A$2:$A$23,"Q4",'3 Hazed Questions'!$C$2:$C$23,L66))</f>
        <v/>
      </c>
      <c r="S66" s="14" t="str">
        <f aca="false">IF(COUNTA(I66:L66)=0,"",SUMIFS('3 Hazed Questions'!$J$2:$J$23,'3 Hazed Questions'!$A$2:$A$23,"Q1",'3 Hazed Questions'!$C$2:$C$23,I66)+SUMIFS('3 Hazed Questions'!$J$2:$J$23,'3 Hazed Questions'!$A$2:$A$23,"Q2",'3 Hazed Questions'!$C$2:$C$23,J66)+SUMIFS('3 Hazed Questions'!$J$2:$J$23,'3 Hazed Questions'!$A$2:$A$23,"Q3",'3 Hazed Questions'!$C$2:$C$23,K66)+SUMIFS('3 Hazed Questions'!$J$2:$J$23,'3 Hazed Questions'!$A$2:$A$23,"Q4",'3 Hazed Questions'!$C$2:$C$23,L66))</f>
        <v/>
      </c>
      <c r="T66" s="14" t="str">
        <f aca="false">IF(COUNTA(I66:L66)=0,"",SUMIFS('3 Hazed Questions'!$K$2:$K$23,'3 Hazed Questions'!$A$2:$A$23,"Q1",'3 Hazed Questions'!$C$2:$C$23,I66)+SUMIFS('3 Hazed Questions'!$K$2:$K$23,'3 Hazed Questions'!$A$2:$A$23,"Q2",'3 Hazed Questions'!$C$2:$C$23,J66)+SUMIFS('3 Hazed Questions'!$K$2:$K$23,'3 Hazed Questions'!$A$2:$A$23,"Q3",'3 Hazed Questions'!$C$2:$C$23,K66)+SUMIFS('3 Hazed Questions'!$K$2:$K$23,'3 Hazed Questions'!$A$2:$A$23,"Q4",'3 Hazed Questions'!$C$2:$C$23,L66))</f>
        <v/>
      </c>
      <c r="U66" s="14" t="str">
        <f aca="false">IF(COUNTA(I66:L66)=0,"",SUMIFS('3 Hazed Questions'!$L$2:$L$23,'3 Hazed Questions'!$A$2:$A$23,"Q1",'3 Hazed Questions'!$C$2:$C$23,I66)+SUMIFS('3 Hazed Questions'!$L$2:$L$23,'3 Hazed Questions'!$A$2:$A$23,"Q2",'3 Hazed Questions'!$C$2:$C$23,J66)+SUMIFS('3 Hazed Questions'!$L$2:$L$23,'3 Hazed Questions'!$A$2:$A$23,"Q3",'3 Hazed Questions'!$C$2:$C$23,K66)+SUMIFS('3 Hazed Questions'!$L$2:$L$23,'3 Hazed Questions'!$A$2:$A$23,"Q4",'3 Hazed Questions'!$C$2:$C$23,L66))</f>
        <v/>
      </c>
      <c r="V66" s="14" t="str">
        <f aca="false">IF(COUNTA(I66:L66)=0,"",SUMIFS('3 Hazed Questions'!$M$2:$M$23,'3 Hazed Questions'!$A$2:$A$23,"Q1",'3 Hazed Questions'!$C$2:$C$23,I66)+SUMIFS('3 Hazed Questions'!$M$2:$M$23,'3 Hazed Questions'!$A$2:$A$23,"Q2",'3 Hazed Questions'!$C$2:$C$23,J66)+SUMIFS('3 Hazed Questions'!$M$2:$M$23,'3 Hazed Questions'!$A$2:$A$23,"Q3",'3 Hazed Questions'!$C$2:$C$23,K66)+SUMIFS('3 Hazed Questions'!$M$2:$M$23,'3 Hazed Questions'!$A$2:$A$23,"Q4",'3 Hazed Questions'!$C$2:$C$23,L66))</f>
        <v/>
      </c>
      <c r="W66" s="14" t="str">
        <f aca="false">IF(COUNTA(I66:L66)=0,"",SUMIFS('3 Hazed Questions'!$N$2:$N$23,'3 Hazed Questions'!$A$2:$A$23,"Q1",'3 Hazed Questions'!$C$2:$C$23,I66)+SUMIFS('3 Hazed Questions'!$N$2:$N$23,'3 Hazed Questions'!$A$2:$A$23,"Q2",'3 Hazed Questions'!$C$2:$C$23,J66)+SUMIFS('3 Hazed Questions'!$N$2:$N$23,'3 Hazed Questions'!$A$2:$A$23,"Q3",'3 Hazed Questions'!$C$2:$C$23,K66)+SUMIFS('3 Hazed Questions'!$N$2:$N$23,'3 Hazed Questions'!$A$2:$A$23,"Q4",'3 Hazed Questions'!$C$2:$C$23,L66))</f>
        <v/>
      </c>
      <c r="X66" s="14" t="str">
        <f aca="false">IF(COUNTA(I66:L66)=0,"",INDEX(Fields!$B$2:$B$50,MATCH(SUBSTITUTE(INDEX($N$1:$W$1,MATCH(MAX($N66:$W66),$N66:$W66,0)),"Score: ",""),Fields!$A$2:$A$50,0)))</f>
        <v/>
      </c>
      <c r="Y66" s="14" t="str">
        <f aca="true">IF(COUNTA(I66:L66)=0,"",IF(LARGE($N66:$W66,2)=0,"-",INDEX(Fields!$B$2:$B$50,MATCH(SUBSTITUTE(INDEX($N$1:$W$1,IF(LARGE($N66:$W66,2)=MAX($N66:$W66),MATCH(MAX($N66:$W66),OFFSET($N66:$W66,0,MATCH(MAX($N66:$W66),$N66:$W66,0),1,10-MATCH(MAX($N66:$W66),$N66:$W66,0)),0)+MATCH(MAX($N66:$W66),$N66:$W66,0),MATCH(LARGE($N66:$W66,2),$N66:$W66,0))),"Score: ",""),Fields!$A$2:$A$50,0))))</f>
        <v/>
      </c>
      <c r="Z66" s="14" t="str">
        <f aca="false">IF(M66="","",IFERROR(INDEX('3 Hazed Questions'!$O$2:$O$23,MATCH(1,INDEX(('3 Hazed Questions'!$A$2:$A$23="Q5")*('3 Hazed Questions'!$C$2:$C$23=M66),0),0))&amp;"",""))</f>
        <v/>
      </c>
      <c r="AA66" s="18"/>
      <c r="AB66" s="18"/>
      <c r="AC66" s="19"/>
      <c r="AD66" s="19"/>
      <c r="AE66" s="18"/>
      <c r="AF66" s="18"/>
      <c r="AG66" s="18"/>
    </row>
    <row r="67" customFormat="false" ht="15" hidden="false" customHeight="false" outlineLevel="0" collapsed="false">
      <c r="A67" s="18"/>
      <c r="B67" s="19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4" t="str">
        <f aca="false">IF(COUNTA(I67:L67)=0,"",SUMIFS('3 Hazed Questions'!$E$2:$E$23,'3 Hazed Questions'!$A$2:$A$23,"Q1",'3 Hazed Questions'!$C$2:$C$23,I67)+SUMIFS('3 Hazed Questions'!$E$2:$E$23,'3 Hazed Questions'!$A$2:$A$23,"Q2",'3 Hazed Questions'!$C$2:$C$23,J67)+SUMIFS('3 Hazed Questions'!$E$2:$E$23,'3 Hazed Questions'!$A$2:$A$23,"Q3",'3 Hazed Questions'!$C$2:$C$23,K67)+SUMIFS('3 Hazed Questions'!$E$2:$E$23,'3 Hazed Questions'!$A$2:$A$23,"Q4",'3 Hazed Questions'!$C$2:$C$23,L67))</f>
        <v/>
      </c>
      <c r="O67" s="14" t="str">
        <f aca="false">IF(COUNTA(I67:L67)=0,"",SUMIFS('3 Hazed Questions'!$F$2:$F$23,'3 Hazed Questions'!$A$2:$A$23,"Q1",'3 Hazed Questions'!$C$2:$C$23,I67)+SUMIFS('3 Hazed Questions'!$F$2:$F$23,'3 Hazed Questions'!$A$2:$A$23,"Q2",'3 Hazed Questions'!$C$2:$C$23,J67)+SUMIFS('3 Hazed Questions'!$F$2:$F$23,'3 Hazed Questions'!$A$2:$A$23,"Q3",'3 Hazed Questions'!$C$2:$C$23,K67)+SUMIFS('3 Hazed Questions'!$F$2:$F$23,'3 Hazed Questions'!$A$2:$A$23,"Q4",'3 Hazed Questions'!$C$2:$C$23,L67))</f>
        <v/>
      </c>
      <c r="P67" s="14" t="str">
        <f aca="false">IF(COUNTA(I67:L67)=0,"",SUMIFS('3 Hazed Questions'!$G$2:$G$23,'3 Hazed Questions'!$A$2:$A$23,"Q1",'3 Hazed Questions'!$C$2:$C$23,I67)+SUMIFS('3 Hazed Questions'!$G$2:$G$23,'3 Hazed Questions'!$A$2:$A$23,"Q2",'3 Hazed Questions'!$C$2:$C$23,J67)+SUMIFS('3 Hazed Questions'!$G$2:$G$23,'3 Hazed Questions'!$A$2:$A$23,"Q3",'3 Hazed Questions'!$C$2:$C$23,K67)+SUMIFS('3 Hazed Questions'!$G$2:$G$23,'3 Hazed Questions'!$A$2:$A$23,"Q4",'3 Hazed Questions'!$C$2:$C$23,L67))</f>
        <v/>
      </c>
      <c r="Q67" s="14" t="str">
        <f aca="false">IF(COUNTA(I67:L67)=0,"",SUMIFS('3 Hazed Questions'!$H$2:$H$23,'3 Hazed Questions'!$A$2:$A$23,"Q1",'3 Hazed Questions'!$C$2:$C$23,I67)+SUMIFS('3 Hazed Questions'!$H$2:$H$23,'3 Hazed Questions'!$A$2:$A$23,"Q2",'3 Hazed Questions'!$C$2:$C$23,J67)+SUMIFS('3 Hazed Questions'!$H$2:$H$23,'3 Hazed Questions'!$A$2:$A$23,"Q3",'3 Hazed Questions'!$C$2:$C$23,K67)+SUMIFS('3 Hazed Questions'!$H$2:$H$23,'3 Hazed Questions'!$A$2:$A$23,"Q4",'3 Hazed Questions'!$C$2:$C$23,L67))</f>
        <v/>
      </c>
      <c r="R67" s="14" t="str">
        <f aca="false">IF(COUNTA(I67:L67)=0,"",SUMIFS('3 Hazed Questions'!$I$2:$I$23,'3 Hazed Questions'!$A$2:$A$23,"Q1",'3 Hazed Questions'!$C$2:$C$23,I67)+SUMIFS('3 Hazed Questions'!$I$2:$I$23,'3 Hazed Questions'!$A$2:$A$23,"Q2",'3 Hazed Questions'!$C$2:$C$23,J67)+SUMIFS('3 Hazed Questions'!$I$2:$I$23,'3 Hazed Questions'!$A$2:$A$23,"Q3",'3 Hazed Questions'!$C$2:$C$23,K67)+SUMIFS('3 Hazed Questions'!$I$2:$I$23,'3 Hazed Questions'!$A$2:$A$23,"Q4",'3 Hazed Questions'!$C$2:$C$23,L67))</f>
        <v/>
      </c>
      <c r="S67" s="14" t="str">
        <f aca="false">IF(COUNTA(I67:L67)=0,"",SUMIFS('3 Hazed Questions'!$J$2:$J$23,'3 Hazed Questions'!$A$2:$A$23,"Q1",'3 Hazed Questions'!$C$2:$C$23,I67)+SUMIFS('3 Hazed Questions'!$J$2:$J$23,'3 Hazed Questions'!$A$2:$A$23,"Q2",'3 Hazed Questions'!$C$2:$C$23,J67)+SUMIFS('3 Hazed Questions'!$J$2:$J$23,'3 Hazed Questions'!$A$2:$A$23,"Q3",'3 Hazed Questions'!$C$2:$C$23,K67)+SUMIFS('3 Hazed Questions'!$J$2:$J$23,'3 Hazed Questions'!$A$2:$A$23,"Q4",'3 Hazed Questions'!$C$2:$C$23,L67))</f>
        <v/>
      </c>
      <c r="T67" s="14" t="str">
        <f aca="false">IF(COUNTA(I67:L67)=0,"",SUMIFS('3 Hazed Questions'!$K$2:$K$23,'3 Hazed Questions'!$A$2:$A$23,"Q1",'3 Hazed Questions'!$C$2:$C$23,I67)+SUMIFS('3 Hazed Questions'!$K$2:$K$23,'3 Hazed Questions'!$A$2:$A$23,"Q2",'3 Hazed Questions'!$C$2:$C$23,J67)+SUMIFS('3 Hazed Questions'!$K$2:$K$23,'3 Hazed Questions'!$A$2:$A$23,"Q3",'3 Hazed Questions'!$C$2:$C$23,K67)+SUMIFS('3 Hazed Questions'!$K$2:$K$23,'3 Hazed Questions'!$A$2:$A$23,"Q4",'3 Hazed Questions'!$C$2:$C$23,L67))</f>
        <v/>
      </c>
      <c r="U67" s="14" t="str">
        <f aca="false">IF(COUNTA(I67:L67)=0,"",SUMIFS('3 Hazed Questions'!$L$2:$L$23,'3 Hazed Questions'!$A$2:$A$23,"Q1",'3 Hazed Questions'!$C$2:$C$23,I67)+SUMIFS('3 Hazed Questions'!$L$2:$L$23,'3 Hazed Questions'!$A$2:$A$23,"Q2",'3 Hazed Questions'!$C$2:$C$23,J67)+SUMIFS('3 Hazed Questions'!$L$2:$L$23,'3 Hazed Questions'!$A$2:$A$23,"Q3",'3 Hazed Questions'!$C$2:$C$23,K67)+SUMIFS('3 Hazed Questions'!$L$2:$L$23,'3 Hazed Questions'!$A$2:$A$23,"Q4",'3 Hazed Questions'!$C$2:$C$23,L67))</f>
        <v/>
      </c>
      <c r="V67" s="14" t="str">
        <f aca="false">IF(COUNTA(I67:L67)=0,"",SUMIFS('3 Hazed Questions'!$M$2:$M$23,'3 Hazed Questions'!$A$2:$A$23,"Q1",'3 Hazed Questions'!$C$2:$C$23,I67)+SUMIFS('3 Hazed Questions'!$M$2:$M$23,'3 Hazed Questions'!$A$2:$A$23,"Q2",'3 Hazed Questions'!$C$2:$C$23,J67)+SUMIFS('3 Hazed Questions'!$M$2:$M$23,'3 Hazed Questions'!$A$2:$A$23,"Q3",'3 Hazed Questions'!$C$2:$C$23,K67)+SUMIFS('3 Hazed Questions'!$M$2:$M$23,'3 Hazed Questions'!$A$2:$A$23,"Q4",'3 Hazed Questions'!$C$2:$C$23,L67))</f>
        <v/>
      </c>
      <c r="W67" s="14" t="str">
        <f aca="false">IF(COUNTA(I67:L67)=0,"",SUMIFS('3 Hazed Questions'!$N$2:$N$23,'3 Hazed Questions'!$A$2:$A$23,"Q1",'3 Hazed Questions'!$C$2:$C$23,I67)+SUMIFS('3 Hazed Questions'!$N$2:$N$23,'3 Hazed Questions'!$A$2:$A$23,"Q2",'3 Hazed Questions'!$C$2:$C$23,J67)+SUMIFS('3 Hazed Questions'!$N$2:$N$23,'3 Hazed Questions'!$A$2:$A$23,"Q3",'3 Hazed Questions'!$C$2:$C$23,K67)+SUMIFS('3 Hazed Questions'!$N$2:$N$23,'3 Hazed Questions'!$A$2:$A$23,"Q4",'3 Hazed Questions'!$C$2:$C$23,L67))</f>
        <v/>
      </c>
      <c r="X67" s="14" t="str">
        <f aca="false">IF(COUNTA(I67:L67)=0,"",INDEX(Fields!$B$2:$B$50,MATCH(SUBSTITUTE(INDEX($N$1:$W$1,MATCH(MAX($N67:$W67),$N67:$W67,0)),"Score: ",""),Fields!$A$2:$A$50,0)))</f>
        <v/>
      </c>
      <c r="Y67" s="14" t="str">
        <f aca="true">IF(COUNTA(I67:L67)=0,"",IF(LARGE($N67:$W67,2)=0,"-",INDEX(Fields!$B$2:$B$50,MATCH(SUBSTITUTE(INDEX($N$1:$W$1,IF(LARGE($N67:$W67,2)=MAX($N67:$W67),MATCH(MAX($N67:$W67),OFFSET($N67:$W67,0,MATCH(MAX($N67:$W67),$N67:$W67,0),1,10-MATCH(MAX($N67:$W67),$N67:$W67,0)),0)+MATCH(MAX($N67:$W67),$N67:$W67,0),MATCH(LARGE($N67:$W67,2),$N67:$W67,0))),"Score: ",""),Fields!$A$2:$A$50,0))))</f>
        <v/>
      </c>
      <c r="Z67" s="14" t="str">
        <f aca="false">IF(M67="","",IFERROR(INDEX('3 Hazed Questions'!$O$2:$O$23,MATCH(1,INDEX(('3 Hazed Questions'!$A$2:$A$23="Q5")*('3 Hazed Questions'!$C$2:$C$23=M67),0),0))&amp;"",""))</f>
        <v/>
      </c>
      <c r="AA67" s="18"/>
      <c r="AB67" s="18"/>
      <c r="AC67" s="19"/>
      <c r="AD67" s="19"/>
      <c r="AE67" s="18"/>
      <c r="AF67" s="18"/>
      <c r="AG67" s="18"/>
    </row>
    <row r="68" customFormat="false" ht="15" hidden="false" customHeight="false" outlineLevel="0" collapsed="false">
      <c r="A68" s="18"/>
      <c r="B68" s="19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4" t="str">
        <f aca="false">IF(COUNTA(I68:L68)=0,"",SUMIFS('3 Hazed Questions'!$E$2:$E$23,'3 Hazed Questions'!$A$2:$A$23,"Q1",'3 Hazed Questions'!$C$2:$C$23,I68)+SUMIFS('3 Hazed Questions'!$E$2:$E$23,'3 Hazed Questions'!$A$2:$A$23,"Q2",'3 Hazed Questions'!$C$2:$C$23,J68)+SUMIFS('3 Hazed Questions'!$E$2:$E$23,'3 Hazed Questions'!$A$2:$A$23,"Q3",'3 Hazed Questions'!$C$2:$C$23,K68)+SUMIFS('3 Hazed Questions'!$E$2:$E$23,'3 Hazed Questions'!$A$2:$A$23,"Q4",'3 Hazed Questions'!$C$2:$C$23,L68))</f>
        <v/>
      </c>
      <c r="O68" s="14" t="str">
        <f aca="false">IF(COUNTA(I68:L68)=0,"",SUMIFS('3 Hazed Questions'!$F$2:$F$23,'3 Hazed Questions'!$A$2:$A$23,"Q1",'3 Hazed Questions'!$C$2:$C$23,I68)+SUMIFS('3 Hazed Questions'!$F$2:$F$23,'3 Hazed Questions'!$A$2:$A$23,"Q2",'3 Hazed Questions'!$C$2:$C$23,J68)+SUMIFS('3 Hazed Questions'!$F$2:$F$23,'3 Hazed Questions'!$A$2:$A$23,"Q3",'3 Hazed Questions'!$C$2:$C$23,K68)+SUMIFS('3 Hazed Questions'!$F$2:$F$23,'3 Hazed Questions'!$A$2:$A$23,"Q4",'3 Hazed Questions'!$C$2:$C$23,L68))</f>
        <v/>
      </c>
      <c r="P68" s="14" t="str">
        <f aca="false">IF(COUNTA(I68:L68)=0,"",SUMIFS('3 Hazed Questions'!$G$2:$G$23,'3 Hazed Questions'!$A$2:$A$23,"Q1",'3 Hazed Questions'!$C$2:$C$23,I68)+SUMIFS('3 Hazed Questions'!$G$2:$G$23,'3 Hazed Questions'!$A$2:$A$23,"Q2",'3 Hazed Questions'!$C$2:$C$23,J68)+SUMIFS('3 Hazed Questions'!$G$2:$G$23,'3 Hazed Questions'!$A$2:$A$23,"Q3",'3 Hazed Questions'!$C$2:$C$23,K68)+SUMIFS('3 Hazed Questions'!$G$2:$G$23,'3 Hazed Questions'!$A$2:$A$23,"Q4",'3 Hazed Questions'!$C$2:$C$23,L68))</f>
        <v/>
      </c>
      <c r="Q68" s="14" t="str">
        <f aca="false">IF(COUNTA(I68:L68)=0,"",SUMIFS('3 Hazed Questions'!$H$2:$H$23,'3 Hazed Questions'!$A$2:$A$23,"Q1",'3 Hazed Questions'!$C$2:$C$23,I68)+SUMIFS('3 Hazed Questions'!$H$2:$H$23,'3 Hazed Questions'!$A$2:$A$23,"Q2",'3 Hazed Questions'!$C$2:$C$23,J68)+SUMIFS('3 Hazed Questions'!$H$2:$H$23,'3 Hazed Questions'!$A$2:$A$23,"Q3",'3 Hazed Questions'!$C$2:$C$23,K68)+SUMIFS('3 Hazed Questions'!$H$2:$H$23,'3 Hazed Questions'!$A$2:$A$23,"Q4",'3 Hazed Questions'!$C$2:$C$23,L68))</f>
        <v/>
      </c>
      <c r="R68" s="14" t="str">
        <f aca="false">IF(COUNTA(I68:L68)=0,"",SUMIFS('3 Hazed Questions'!$I$2:$I$23,'3 Hazed Questions'!$A$2:$A$23,"Q1",'3 Hazed Questions'!$C$2:$C$23,I68)+SUMIFS('3 Hazed Questions'!$I$2:$I$23,'3 Hazed Questions'!$A$2:$A$23,"Q2",'3 Hazed Questions'!$C$2:$C$23,J68)+SUMIFS('3 Hazed Questions'!$I$2:$I$23,'3 Hazed Questions'!$A$2:$A$23,"Q3",'3 Hazed Questions'!$C$2:$C$23,K68)+SUMIFS('3 Hazed Questions'!$I$2:$I$23,'3 Hazed Questions'!$A$2:$A$23,"Q4",'3 Hazed Questions'!$C$2:$C$23,L68))</f>
        <v/>
      </c>
      <c r="S68" s="14" t="str">
        <f aca="false">IF(COUNTA(I68:L68)=0,"",SUMIFS('3 Hazed Questions'!$J$2:$J$23,'3 Hazed Questions'!$A$2:$A$23,"Q1",'3 Hazed Questions'!$C$2:$C$23,I68)+SUMIFS('3 Hazed Questions'!$J$2:$J$23,'3 Hazed Questions'!$A$2:$A$23,"Q2",'3 Hazed Questions'!$C$2:$C$23,J68)+SUMIFS('3 Hazed Questions'!$J$2:$J$23,'3 Hazed Questions'!$A$2:$A$23,"Q3",'3 Hazed Questions'!$C$2:$C$23,K68)+SUMIFS('3 Hazed Questions'!$J$2:$J$23,'3 Hazed Questions'!$A$2:$A$23,"Q4",'3 Hazed Questions'!$C$2:$C$23,L68))</f>
        <v/>
      </c>
      <c r="T68" s="14" t="str">
        <f aca="false">IF(COUNTA(I68:L68)=0,"",SUMIFS('3 Hazed Questions'!$K$2:$K$23,'3 Hazed Questions'!$A$2:$A$23,"Q1",'3 Hazed Questions'!$C$2:$C$23,I68)+SUMIFS('3 Hazed Questions'!$K$2:$K$23,'3 Hazed Questions'!$A$2:$A$23,"Q2",'3 Hazed Questions'!$C$2:$C$23,J68)+SUMIFS('3 Hazed Questions'!$K$2:$K$23,'3 Hazed Questions'!$A$2:$A$23,"Q3",'3 Hazed Questions'!$C$2:$C$23,K68)+SUMIFS('3 Hazed Questions'!$K$2:$K$23,'3 Hazed Questions'!$A$2:$A$23,"Q4",'3 Hazed Questions'!$C$2:$C$23,L68))</f>
        <v/>
      </c>
      <c r="U68" s="14" t="str">
        <f aca="false">IF(COUNTA(I68:L68)=0,"",SUMIFS('3 Hazed Questions'!$L$2:$L$23,'3 Hazed Questions'!$A$2:$A$23,"Q1",'3 Hazed Questions'!$C$2:$C$23,I68)+SUMIFS('3 Hazed Questions'!$L$2:$L$23,'3 Hazed Questions'!$A$2:$A$23,"Q2",'3 Hazed Questions'!$C$2:$C$23,J68)+SUMIFS('3 Hazed Questions'!$L$2:$L$23,'3 Hazed Questions'!$A$2:$A$23,"Q3",'3 Hazed Questions'!$C$2:$C$23,K68)+SUMIFS('3 Hazed Questions'!$L$2:$L$23,'3 Hazed Questions'!$A$2:$A$23,"Q4",'3 Hazed Questions'!$C$2:$C$23,L68))</f>
        <v/>
      </c>
      <c r="V68" s="14" t="str">
        <f aca="false">IF(COUNTA(I68:L68)=0,"",SUMIFS('3 Hazed Questions'!$M$2:$M$23,'3 Hazed Questions'!$A$2:$A$23,"Q1",'3 Hazed Questions'!$C$2:$C$23,I68)+SUMIFS('3 Hazed Questions'!$M$2:$M$23,'3 Hazed Questions'!$A$2:$A$23,"Q2",'3 Hazed Questions'!$C$2:$C$23,J68)+SUMIFS('3 Hazed Questions'!$M$2:$M$23,'3 Hazed Questions'!$A$2:$A$23,"Q3",'3 Hazed Questions'!$C$2:$C$23,K68)+SUMIFS('3 Hazed Questions'!$M$2:$M$23,'3 Hazed Questions'!$A$2:$A$23,"Q4",'3 Hazed Questions'!$C$2:$C$23,L68))</f>
        <v/>
      </c>
      <c r="W68" s="14" t="str">
        <f aca="false">IF(COUNTA(I68:L68)=0,"",SUMIFS('3 Hazed Questions'!$N$2:$N$23,'3 Hazed Questions'!$A$2:$A$23,"Q1",'3 Hazed Questions'!$C$2:$C$23,I68)+SUMIFS('3 Hazed Questions'!$N$2:$N$23,'3 Hazed Questions'!$A$2:$A$23,"Q2",'3 Hazed Questions'!$C$2:$C$23,J68)+SUMIFS('3 Hazed Questions'!$N$2:$N$23,'3 Hazed Questions'!$A$2:$A$23,"Q3",'3 Hazed Questions'!$C$2:$C$23,K68)+SUMIFS('3 Hazed Questions'!$N$2:$N$23,'3 Hazed Questions'!$A$2:$A$23,"Q4",'3 Hazed Questions'!$C$2:$C$23,L68))</f>
        <v/>
      </c>
      <c r="X68" s="14" t="str">
        <f aca="false">IF(COUNTA(I68:L68)=0,"",INDEX(Fields!$B$2:$B$50,MATCH(SUBSTITUTE(INDEX($N$1:$W$1,MATCH(MAX($N68:$W68),$N68:$W68,0)),"Score: ",""),Fields!$A$2:$A$50,0)))</f>
        <v/>
      </c>
      <c r="Y68" s="14" t="str">
        <f aca="true">IF(COUNTA(I68:L68)=0,"",IF(LARGE($N68:$W68,2)=0,"-",INDEX(Fields!$B$2:$B$50,MATCH(SUBSTITUTE(INDEX($N$1:$W$1,IF(LARGE($N68:$W68,2)=MAX($N68:$W68),MATCH(MAX($N68:$W68),OFFSET($N68:$W68,0,MATCH(MAX($N68:$W68),$N68:$W68,0),1,10-MATCH(MAX($N68:$W68),$N68:$W68,0)),0)+MATCH(MAX($N68:$W68),$N68:$W68,0),MATCH(LARGE($N68:$W68,2),$N68:$W68,0))),"Score: ",""),Fields!$A$2:$A$50,0))))</f>
        <v/>
      </c>
      <c r="Z68" s="14" t="str">
        <f aca="false">IF(M68="","",IFERROR(INDEX('3 Hazed Questions'!$O$2:$O$23,MATCH(1,INDEX(('3 Hazed Questions'!$A$2:$A$23="Q5")*('3 Hazed Questions'!$C$2:$C$23=M68),0),0))&amp;"",""))</f>
        <v/>
      </c>
      <c r="AA68" s="18"/>
      <c r="AB68" s="18"/>
      <c r="AC68" s="19"/>
      <c r="AD68" s="19"/>
      <c r="AE68" s="18"/>
      <c r="AF68" s="18"/>
      <c r="AG68" s="18"/>
    </row>
    <row r="69" customFormat="false" ht="15" hidden="false" customHeight="false" outlineLevel="0" collapsed="false">
      <c r="A69" s="18"/>
      <c r="B69" s="19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4" t="str">
        <f aca="false">IF(COUNTA(I69:L69)=0,"",SUMIFS('3 Hazed Questions'!$E$2:$E$23,'3 Hazed Questions'!$A$2:$A$23,"Q1",'3 Hazed Questions'!$C$2:$C$23,I69)+SUMIFS('3 Hazed Questions'!$E$2:$E$23,'3 Hazed Questions'!$A$2:$A$23,"Q2",'3 Hazed Questions'!$C$2:$C$23,J69)+SUMIFS('3 Hazed Questions'!$E$2:$E$23,'3 Hazed Questions'!$A$2:$A$23,"Q3",'3 Hazed Questions'!$C$2:$C$23,K69)+SUMIFS('3 Hazed Questions'!$E$2:$E$23,'3 Hazed Questions'!$A$2:$A$23,"Q4",'3 Hazed Questions'!$C$2:$C$23,L69))</f>
        <v/>
      </c>
      <c r="O69" s="14" t="str">
        <f aca="false">IF(COUNTA(I69:L69)=0,"",SUMIFS('3 Hazed Questions'!$F$2:$F$23,'3 Hazed Questions'!$A$2:$A$23,"Q1",'3 Hazed Questions'!$C$2:$C$23,I69)+SUMIFS('3 Hazed Questions'!$F$2:$F$23,'3 Hazed Questions'!$A$2:$A$23,"Q2",'3 Hazed Questions'!$C$2:$C$23,J69)+SUMIFS('3 Hazed Questions'!$F$2:$F$23,'3 Hazed Questions'!$A$2:$A$23,"Q3",'3 Hazed Questions'!$C$2:$C$23,K69)+SUMIFS('3 Hazed Questions'!$F$2:$F$23,'3 Hazed Questions'!$A$2:$A$23,"Q4",'3 Hazed Questions'!$C$2:$C$23,L69))</f>
        <v/>
      </c>
      <c r="P69" s="14" t="str">
        <f aca="false">IF(COUNTA(I69:L69)=0,"",SUMIFS('3 Hazed Questions'!$G$2:$G$23,'3 Hazed Questions'!$A$2:$A$23,"Q1",'3 Hazed Questions'!$C$2:$C$23,I69)+SUMIFS('3 Hazed Questions'!$G$2:$G$23,'3 Hazed Questions'!$A$2:$A$23,"Q2",'3 Hazed Questions'!$C$2:$C$23,J69)+SUMIFS('3 Hazed Questions'!$G$2:$G$23,'3 Hazed Questions'!$A$2:$A$23,"Q3",'3 Hazed Questions'!$C$2:$C$23,K69)+SUMIFS('3 Hazed Questions'!$G$2:$G$23,'3 Hazed Questions'!$A$2:$A$23,"Q4",'3 Hazed Questions'!$C$2:$C$23,L69))</f>
        <v/>
      </c>
      <c r="Q69" s="14" t="str">
        <f aca="false">IF(COUNTA(I69:L69)=0,"",SUMIFS('3 Hazed Questions'!$H$2:$H$23,'3 Hazed Questions'!$A$2:$A$23,"Q1",'3 Hazed Questions'!$C$2:$C$23,I69)+SUMIFS('3 Hazed Questions'!$H$2:$H$23,'3 Hazed Questions'!$A$2:$A$23,"Q2",'3 Hazed Questions'!$C$2:$C$23,J69)+SUMIFS('3 Hazed Questions'!$H$2:$H$23,'3 Hazed Questions'!$A$2:$A$23,"Q3",'3 Hazed Questions'!$C$2:$C$23,K69)+SUMIFS('3 Hazed Questions'!$H$2:$H$23,'3 Hazed Questions'!$A$2:$A$23,"Q4",'3 Hazed Questions'!$C$2:$C$23,L69))</f>
        <v/>
      </c>
      <c r="R69" s="14" t="str">
        <f aca="false">IF(COUNTA(I69:L69)=0,"",SUMIFS('3 Hazed Questions'!$I$2:$I$23,'3 Hazed Questions'!$A$2:$A$23,"Q1",'3 Hazed Questions'!$C$2:$C$23,I69)+SUMIFS('3 Hazed Questions'!$I$2:$I$23,'3 Hazed Questions'!$A$2:$A$23,"Q2",'3 Hazed Questions'!$C$2:$C$23,J69)+SUMIFS('3 Hazed Questions'!$I$2:$I$23,'3 Hazed Questions'!$A$2:$A$23,"Q3",'3 Hazed Questions'!$C$2:$C$23,K69)+SUMIFS('3 Hazed Questions'!$I$2:$I$23,'3 Hazed Questions'!$A$2:$A$23,"Q4",'3 Hazed Questions'!$C$2:$C$23,L69))</f>
        <v/>
      </c>
      <c r="S69" s="14" t="str">
        <f aca="false">IF(COUNTA(I69:L69)=0,"",SUMIFS('3 Hazed Questions'!$J$2:$J$23,'3 Hazed Questions'!$A$2:$A$23,"Q1",'3 Hazed Questions'!$C$2:$C$23,I69)+SUMIFS('3 Hazed Questions'!$J$2:$J$23,'3 Hazed Questions'!$A$2:$A$23,"Q2",'3 Hazed Questions'!$C$2:$C$23,J69)+SUMIFS('3 Hazed Questions'!$J$2:$J$23,'3 Hazed Questions'!$A$2:$A$23,"Q3",'3 Hazed Questions'!$C$2:$C$23,K69)+SUMIFS('3 Hazed Questions'!$J$2:$J$23,'3 Hazed Questions'!$A$2:$A$23,"Q4",'3 Hazed Questions'!$C$2:$C$23,L69))</f>
        <v/>
      </c>
      <c r="T69" s="14" t="str">
        <f aca="false">IF(COUNTA(I69:L69)=0,"",SUMIFS('3 Hazed Questions'!$K$2:$K$23,'3 Hazed Questions'!$A$2:$A$23,"Q1",'3 Hazed Questions'!$C$2:$C$23,I69)+SUMIFS('3 Hazed Questions'!$K$2:$K$23,'3 Hazed Questions'!$A$2:$A$23,"Q2",'3 Hazed Questions'!$C$2:$C$23,J69)+SUMIFS('3 Hazed Questions'!$K$2:$K$23,'3 Hazed Questions'!$A$2:$A$23,"Q3",'3 Hazed Questions'!$C$2:$C$23,K69)+SUMIFS('3 Hazed Questions'!$K$2:$K$23,'3 Hazed Questions'!$A$2:$A$23,"Q4",'3 Hazed Questions'!$C$2:$C$23,L69))</f>
        <v/>
      </c>
      <c r="U69" s="14" t="str">
        <f aca="false">IF(COUNTA(I69:L69)=0,"",SUMIFS('3 Hazed Questions'!$L$2:$L$23,'3 Hazed Questions'!$A$2:$A$23,"Q1",'3 Hazed Questions'!$C$2:$C$23,I69)+SUMIFS('3 Hazed Questions'!$L$2:$L$23,'3 Hazed Questions'!$A$2:$A$23,"Q2",'3 Hazed Questions'!$C$2:$C$23,J69)+SUMIFS('3 Hazed Questions'!$L$2:$L$23,'3 Hazed Questions'!$A$2:$A$23,"Q3",'3 Hazed Questions'!$C$2:$C$23,K69)+SUMIFS('3 Hazed Questions'!$L$2:$L$23,'3 Hazed Questions'!$A$2:$A$23,"Q4",'3 Hazed Questions'!$C$2:$C$23,L69))</f>
        <v/>
      </c>
      <c r="V69" s="14" t="str">
        <f aca="false">IF(COUNTA(I69:L69)=0,"",SUMIFS('3 Hazed Questions'!$M$2:$M$23,'3 Hazed Questions'!$A$2:$A$23,"Q1",'3 Hazed Questions'!$C$2:$C$23,I69)+SUMIFS('3 Hazed Questions'!$M$2:$M$23,'3 Hazed Questions'!$A$2:$A$23,"Q2",'3 Hazed Questions'!$C$2:$C$23,J69)+SUMIFS('3 Hazed Questions'!$M$2:$M$23,'3 Hazed Questions'!$A$2:$A$23,"Q3",'3 Hazed Questions'!$C$2:$C$23,K69)+SUMIFS('3 Hazed Questions'!$M$2:$M$23,'3 Hazed Questions'!$A$2:$A$23,"Q4",'3 Hazed Questions'!$C$2:$C$23,L69))</f>
        <v/>
      </c>
      <c r="W69" s="14" t="str">
        <f aca="false">IF(COUNTA(I69:L69)=0,"",SUMIFS('3 Hazed Questions'!$N$2:$N$23,'3 Hazed Questions'!$A$2:$A$23,"Q1",'3 Hazed Questions'!$C$2:$C$23,I69)+SUMIFS('3 Hazed Questions'!$N$2:$N$23,'3 Hazed Questions'!$A$2:$A$23,"Q2",'3 Hazed Questions'!$C$2:$C$23,J69)+SUMIFS('3 Hazed Questions'!$N$2:$N$23,'3 Hazed Questions'!$A$2:$A$23,"Q3",'3 Hazed Questions'!$C$2:$C$23,K69)+SUMIFS('3 Hazed Questions'!$N$2:$N$23,'3 Hazed Questions'!$A$2:$A$23,"Q4",'3 Hazed Questions'!$C$2:$C$23,L69))</f>
        <v/>
      </c>
      <c r="X69" s="14" t="str">
        <f aca="false">IF(COUNTA(I69:L69)=0,"",INDEX(Fields!$B$2:$B$50,MATCH(SUBSTITUTE(INDEX($N$1:$W$1,MATCH(MAX($N69:$W69),$N69:$W69,0)),"Score: ",""),Fields!$A$2:$A$50,0)))</f>
        <v/>
      </c>
      <c r="Y69" s="14" t="str">
        <f aca="true">IF(COUNTA(I69:L69)=0,"",IF(LARGE($N69:$W69,2)=0,"-",INDEX(Fields!$B$2:$B$50,MATCH(SUBSTITUTE(INDEX($N$1:$W$1,IF(LARGE($N69:$W69,2)=MAX($N69:$W69),MATCH(MAX($N69:$W69),OFFSET($N69:$W69,0,MATCH(MAX($N69:$W69),$N69:$W69,0),1,10-MATCH(MAX($N69:$W69),$N69:$W69,0)),0)+MATCH(MAX($N69:$W69),$N69:$W69,0),MATCH(LARGE($N69:$W69,2),$N69:$W69,0))),"Score: ",""),Fields!$A$2:$A$50,0))))</f>
        <v/>
      </c>
      <c r="Z69" s="14" t="str">
        <f aca="false">IF(M69="","",IFERROR(INDEX('3 Hazed Questions'!$O$2:$O$23,MATCH(1,INDEX(('3 Hazed Questions'!$A$2:$A$23="Q5")*('3 Hazed Questions'!$C$2:$C$23=M69),0),0))&amp;"",""))</f>
        <v/>
      </c>
      <c r="AA69" s="18"/>
      <c r="AB69" s="18"/>
      <c r="AC69" s="19"/>
      <c r="AD69" s="19"/>
      <c r="AE69" s="18"/>
      <c r="AF69" s="18"/>
      <c r="AG69" s="18"/>
    </row>
    <row r="70" customFormat="false" ht="15" hidden="false" customHeight="false" outlineLevel="0" collapsed="false">
      <c r="A70" s="18"/>
      <c r="B70" s="19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4" t="str">
        <f aca="false">IF(COUNTA(I70:L70)=0,"",SUMIFS('3 Hazed Questions'!$E$2:$E$23,'3 Hazed Questions'!$A$2:$A$23,"Q1",'3 Hazed Questions'!$C$2:$C$23,I70)+SUMIFS('3 Hazed Questions'!$E$2:$E$23,'3 Hazed Questions'!$A$2:$A$23,"Q2",'3 Hazed Questions'!$C$2:$C$23,J70)+SUMIFS('3 Hazed Questions'!$E$2:$E$23,'3 Hazed Questions'!$A$2:$A$23,"Q3",'3 Hazed Questions'!$C$2:$C$23,K70)+SUMIFS('3 Hazed Questions'!$E$2:$E$23,'3 Hazed Questions'!$A$2:$A$23,"Q4",'3 Hazed Questions'!$C$2:$C$23,L70))</f>
        <v/>
      </c>
      <c r="O70" s="14" t="str">
        <f aca="false">IF(COUNTA(I70:L70)=0,"",SUMIFS('3 Hazed Questions'!$F$2:$F$23,'3 Hazed Questions'!$A$2:$A$23,"Q1",'3 Hazed Questions'!$C$2:$C$23,I70)+SUMIFS('3 Hazed Questions'!$F$2:$F$23,'3 Hazed Questions'!$A$2:$A$23,"Q2",'3 Hazed Questions'!$C$2:$C$23,J70)+SUMIFS('3 Hazed Questions'!$F$2:$F$23,'3 Hazed Questions'!$A$2:$A$23,"Q3",'3 Hazed Questions'!$C$2:$C$23,K70)+SUMIFS('3 Hazed Questions'!$F$2:$F$23,'3 Hazed Questions'!$A$2:$A$23,"Q4",'3 Hazed Questions'!$C$2:$C$23,L70))</f>
        <v/>
      </c>
      <c r="P70" s="14" t="str">
        <f aca="false">IF(COUNTA(I70:L70)=0,"",SUMIFS('3 Hazed Questions'!$G$2:$G$23,'3 Hazed Questions'!$A$2:$A$23,"Q1",'3 Hazed Questions'!$C$2:$C$23,I70)+SUMIFS('3 Hazed Questions'!$G$2:$G$23,'3 Hazed Questions'!$A$2:$A$23,"Q2",'3 Hazed Questions'!$C$2:$C$23,J70)+SUMIFS('3 Hazed Questions'!$G$2:$G$23,'3 Hazed Questions'!$A$2:$A$23,"Q3",'3 Hazed Questions'!$C$2:$C$23,K70)+SUMIFS('3 Hazed Questions'!$G$2:$G$23,'3 Hazed Questions'!$A$2:$A$23,"Q4",'3 Hazed Questions'!$C$2:$C$23,L70))</f>
        <v/>
      </c>
      <c r="Q70" s="14" t="str">
        <f aca="false">IF(COUNTA(I70:L70)=0,"",SUMIFS('3 Hazed Questions'!$H$2:$H$23,'3 Hazed Questions'!$A$2:$A$23,"Q1",'3 Hazed Questions'!$C$2:$C$23,I70)+SUMIFS('3 Hazed Questions'!$H$2:$H$23,'3 Hazed Questions'!$A$2:$A$23,"Q2",'3 Hazed Questions'!$C$2:$C$23,J70)+SUMIFS('3 Hazed Questions'!$H$2:$H$23,'3 Hazed Questions'!$A$2:$A$23,"Q3",'3 Hazed Questions'!$C$2:$C$23,K70)+SUMIFS('3 Hazed Questions'!$H$2:$H$23,'3 Hazed Questions'!$A$2:$A$23,"Q4",'3 Hazed Questions'!$C$2:$C$23,L70))</f>
        <v/>
      </c>
      <c r="R70" s="14" t="str">
        <f aca="false">IF(COUNTA(I70:L70)=0,"",SUMIFS('3 Hazed Questions'!$I$2:$I$23,'3 Hazed Questions'!$A$2:$A$23,"Q1",'3 Hazed Questions'!$C$2:$C$23,I70)+SUMIFS('3 Hazed Questions'!$I$2:$I$23,'3 Hazed Questions'!$A$2:$A$23,"Q2",'3 Hazed Questions'!$C$2:$C$23,J70)+SUMIFS('3 Hazed Questions'!$I$2:$I$23,'3 Hazed Questions'!$A$2:$A$23,"Q3",'3 Hazed Questions'!$C$2:$C$23,K70)+SUMIFS('3 Hazed Questions'!$I$2:$I$23,'3 Hazed Questions'!$A$2:$A$23,"Q4",'3 Hazed Questions'!$C$2:$C$23,L70))</f>
        <v/>
      </c>
      <c r="S70" s="14" t="str">
        <f aca="false">IF(COUNTA(I70:L70)=0,"",SUMIFS('3 Hazed Questions'!$J$2:$J$23,'3 Hazed Questions'!$A$2:$A$23,"Q1",'3 Hazed Questions'!$C$2:$C$23,I70)+SUMIFS('3 Hazed Questions'!$J$2:$J$23,'3 Hazed Questions'!$A$2:$A$23,"Q2",'3 Hazed Questions'!$C$2:$C$23,J70)+SUMIFS('3 Hazed Questions'!$J$2:$J$23,'3 Hazed Questions'!$A$2:$A$23,"Q3",'3 Hazed Questions'!$C$2:$C$23,K70)+SUMIFS('3 Hazed Questions'!$J$2:$J$23,'3 Hazed Questions'!$A$2:$A$23,"Q4",'3 Hazed Questions'!$C$2:$C$23,L70))</f>
        <v/>
      </c>
      <c r="T70" s="14" t="str">
        <f aca="false">IF(COUNTA(I70:L70)=0,"",SUMIFS('3 Hazed Questions'!$K$2:$K$23,'3 Hazed Questions'!$A$2:$A$23,"Q1",'3 Hazed Questions'!$C$2:$C$23,I70)+SUMIFS('3 Hazed Questions'!$K$2:$K$23,'3 Hazed Questions'!$A$2:$A$23,"Q2",'3 Hazed Questions'!$C$2:$C$23,J70)+SUMIFS('3 Hazed Questions'!$K$2:$K$23,'3 Hazed Questions'!$A$2:$A$23,"Q3",'3 Hazed Questions'!$C$2:$C$23,K70)+SUMIFS('3 Hazed Questions'!$K$2:$K$23,'3 Hazed Questions'!$A$2:$A$23,"Q4",'3 Hazed Questions'!$C$2:$C$23,L70))</f>
        <v/>
      </c>
      <c r="U70" s="14" t="str">
        <f aca="false">IF(COUNTA(I70:L70)=0,"",SUMIFS('3 Hazed Questions'!$L$2:$L$23,'3 Hazed Questions'!$A$2:$A$23,"Q1",'3 Hazed Questions'!$C$2:$C$23,I70)+SUMIFS('3 Hazed Questions'!$L$2:$L$23,'3 Hazed Questions'!$A$2:$A$23,"Q2",'3 Hazed Questions'!$C$2:$C$23,J70)+SUMIFS('3 Hazed Questions'!$L$2:$L$23,'3 Hazed Questions'!$A$2:$A$23,"Q3",'3 Hazed Questions'!$C$2:$C$23,K70)+SUMIFS('3 Hazed Questions'!$L$2:$L$23,'3 Hazed Questions'!$A$2:$A$23,"Q4",'3 Hazed Questions'!$C$2:$C$23,L70))</f>
        <v/>
      </c>
      <c r="V70" s="14" t="str">
        <f aca="false">IF(COUNTA(I70:L70)=0,"",SUMIFS('3 Hazed Questions'!$M$2:$M$23,'3 Hazed Questions'!$A$2:$A$23,"Q1",'3 Hazed Questions'!$C$2:$C$23,I70)+SUMIFS('3 Hazed Questions'!$M$2:$M$23,'3 Hazed Questions'!$A$2:$A$23,"Q2",'3 Hazed Questions'!$C$2:$C$23,J70)+SUMIFS('3 Hazed Questions'!$M$2:$M$23,'3 Hazed Questions'!$A$2:$A$23,"Q3",'3 Hazed Questions'!$C$2:$C$23,K70)+SUMIFS('3 Hazed Questions'!$M$2:$M$23,'3 Hazed Questions'!$A$2:$A$23,"Q4",'3 Hazed Questions'!$C$2:$C$23,L70))</f>
        <v/>
      </c>
      <c r="W70" s="14" t="str">
        <f aca="false">IF(COUNTA(I70:L70)=0,"",SUMIFS('3 Hazed Questions'!$N$2:$N$23,'3 Hazed Questions'!$A$2:$A$23,"Q1",'3 Hazed Questions'!$C$2:$C$23,I70)+SUMIFS('3 Hazed Questions'!$N$2:$N$23,'3 Hazed Questions'!$A$2:$A$23,"Q2",'3 Hazed Questions'!$C$2:$C$23,J70)+SUMIFS('3 Hazed Questions'!$N$2:$N$23,'3 Hazed Questions'!$A$2:$A$23,"Q3",'3 Hazed Questions'!$C$2:$C$23,K70)+SUMIFS('3 Hazed Questions'!$N$2:$N$23,'3 Hazed Questions'!$A$2:$A$23,"Q4",'3 Hazed Questions'!$C$2:$C$23,L70))</f>
        <v/>
      </c>
      <c r="X70" s="14" t="str">
        <f aca="false">IF(COUNTA(I70:L70)=0,"",INDEX(Fields!$B$2:$B$50,MATCH(SUBSTITUTE(INDEX($N$1:$W$1,MATCH(MAX($N70:$W70),$N70:$W70,0)),"Score: ",""),Fields!$A$2:$A$50,0)))</f>
        <v/>
      </c>
      <c r="Y70" s="14" t="str">
        <f aca="true">IF(COUNTA(I70:L70)=0,"",IF(LARGE($N70:$W70,2)=0,"-",INDEX(Fields!$B$2:$B$50,MATCH(SUBSTITUTE(INDEX($N$1:$W$1,IF(LARGE($N70:$W70,2)=MAX($N70:$W70),MATCH(MAX($N70:$W70),OFFSET($N70:$W70,0,MATCH(MAX($N70:$W70),$N70:$W70,0),1,10-MATCH(MAX($N70:$W70),$N70:$W70,0)),0)+MATCH(MAX($N70:$W70),$N70:$W70,0),MATCH(LARGE($N70:$W70,2),$N70:$W70,0))),"Score: ",""),Fields!$A$2:$A$50,0))))</f>
        <v/>
      </c>
      <c r="Z70" s="14" t="str">
        <f aca="false">IF(M70="","",IFERROR(INDEX('3 Hazed Questions'!$O$2:$O$23,MATCH(1,INDEX(('3 Hazed Questions'!$A$2:$A$23="Q5")*('3 Hazed Questions'!$C$2:$C$23=M70),0),0))&amp;"",""))</f>
        <v/>
      </c>
      <c r="AA70" s="18"/>
      <c r="AB70" s="18"/>
      <c r="AC70" s="19"/>
      <c r="AD70" s="19"/>
      <c r="AE70" s="18"/>
      <c r="AF70" s="18"/>
      <c r="AG70" s="18"/>
    </row>
    <row r="71" customFormat="false" ht="15" hidden="false" customHeight="false" outlineLevel="0" collapsed="false">
      <c r="A71" s="18"/>
      <c r="B71" s="19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4" t="str">
        <f aca="false">IF(COUNTA(I71:L71)=0,"",SUMIFS('3 Hazed Questions'!$E$2:$E$23,'3 Hazed Questions'!$A$2:$A$23,"Q1",'3 Hazed Questions'!$C$2:$C$23,I71)+SUMIFS('3 Hazed Questions'!$E$2:$E$23,'3 Hazed Questions'!$A$2:$A$23,"Q2",'3 Hazed Questions'!$C$2:$C$23,J71)+SUMIFS('3 Hazed Questions'!$E$2:$E$23,'3 Hazed Questions'!$A$2:$A$23,"Q3",'3 Hazed Questions'!$C$2:$C$23,K71)+SUMIFS('3 Hazed Questions'!$E$2:$E$23,'3 Hazed Questions'!$A$2:$A$23,"Q4",'3 Hazed Questions'!$C$2:$C$23,L71))</f>
        <v/>
      </c>
      <c r="O71" s="14" t="str">
        <f aca="false">IF(COUNTA(I71:L71)=0,"",SUMIFS('3 Hazed Questions'!$F$2:$F$23,'3 Hazed Questions'!$A$2:$A$23,"Q1",'3 Hazed Questions'!$C$2:$C$23,I71)+SUMIFS('3 Hazed Questions'!$F$2:$F$23,'3 Hazed Questions'!$A$2:$A$23,"Q2",'3 Hazed Questions'!$C$2:$C$23,J71)+SUMIFS('3 Hazed Questions'!$F$2:$F$23,'3 Hazed Questions'!$A$2:$A$23,"Q3",'3 Hazed Questions'!$C$2:$C$23,K71)+SUMIFS('3 Hazed Questions'!$F$2:$F$23,'3 Hazed Questions'!$A$2:$A$23,"Q4",'3 Hazed Questions'!$C$2:$C$23,L71))</f>
        <v/>
      </c>
      <c r="P71" s="14" t="str">
        <f aca="false">IF(COUNTA(I71:L71)=0,"",SUMIFS('3 Hazed Questions'!$G$2:$G$23,'3 Hazed Questions'!$A$2:$A$23,"Q1",'3 Hazed Questions'!$C$2:$C$23,I71)+SUMIFS('3 Hazed Questions'!$G$2:$G$23,'3 Hazed Questions'!$A$2:$A$23,"Q2",'3 Hazed Questions'!$C$2:$C$23,J71)+SUMIFS('3 Hazed Questions'!$G$2:$G$23,'3 Hazed Questions'!$A$2:$A$23,"Q3",'3 Hazed Questions'!$C$2:$C$23,K71)+SUMIFS('3 Hazed Questions'!$G$2:$G$23,'3 Hazed Questions'!$A$2:$A$23,"Q4",'3 Hazed Questions'!$C$2:$C$23,L71))</f>
        <v/>
      </c>
      <c r="Q71" s="14" t="str">
        <f aca="false">IF(COUNTA(I71:L71)=0,"",SUMIFS('3 Hazed Questions'!$H$2:$H$23,'3 Hazed Questions'!$A$2:$A$23,"Q1",'3 Hazed Questions'!$C$2:$C$23,I71)+SUMIFS('3 Hazed Questions'!$H$2:$H$23,'3 Hazed Questions'!$A$2:$A$23,"Q2",'3 Hazed Questions'!$C$2:$C$23,J71)+SUMIFS('3 Hazed Questions'!$H$2:$H$23,'3 Hazed Questions'!$A$2:$A$23,"Q3",'3 Hazed Questions'!$C$2:$C$23,K71)+SUMIFS('3 Hazed Questions'!$H$2:$H$23,'3 Hazed Questions'!$A$2:$A$23,"Q4",'3 Hazed Questions'!$C$2:$C$23,L71))</f>
        <v/>
      </c>
      <c r="R71" s="14" t="str">
        <f aca="false">IF(COUNTA(I71:L71)=0,"",SUMIFS('3 Hazed Questions'!$I$2:$I$23,'3 Hazed Questions'!$A$2:$A$23,"Q1",'3 Hazed Questions'!$C$2:$C$23,I71)+SUMIFS('3 Hazed Questions'!$I$2:$I$23,'3 Hazed Questions'!$A$2:$A$23,"Q2",'3 Hazed Questions'!$C$2:$C$23,J71)+SUMIFS('3 Hazed Questions'!$I$2:$I$23,'3 Hazed Questions'!$A$2:$A$23,"Q3",'3 Hazed Questions'!$C$2:$C$23,K71)+SUMIFS('3 Hazed Questions'!$I$2:$I$23,'3 Hazed Questions'!$A$2:$A$23,"Q4",'3 Hazed Questions'!$C$2:$C$23,L71))</f>
        <v/>
      </c>
      <c r="S71" s="14" t="str">
        <f aca="false">IF(COUNTA(I71:L71)=0,"",SUMIFS('3 Hazed Questions'!$J$2:$J$23,'3 Hazed Questions'!$A$2:$A$23,"Q1",'3 Hazed Questions'!$C$2:$C$23,I71)+SUMIFS('3 Hazed Questions'!$J$2:$J$23,'3 Hazed Questions'!$A$2:$A$23,"Q2",'3 Hazed Questions'!$C$2:$C$23,J71)+SUMIFS('3 Hazed Questions'!$J$2:$J$23,'3 Hazed Questions'!$A$2:$A$23,"Q3",'3 Hazed Questions'!$C$2:$C$23,K71)+SUMIFS('3 Hazed Questions'!$J$2:$J$23,'3 Hazed Questions'!$A$2:$A$23,"Q4",'3 Hazed Questions'!$C$2:$C$23,L71))</f>
        <v/>
      </c>
      <c r="T71" s="14" t="str">
        <f aca="false">IF(COUNTA(I71:L71)=0,"",SUMIFS('3 Hazed Questions'!$K$2:$K$23,'3 Hazed Questions'!$A$2:$A$23,"Q1",'3 Hazed Questions'!$C$2:$C$23,I71)+SUMIFS('3 Hazed Questions'!$K$2:$K$23,'3 Hazed Questions'!$A$2:$A$23,"Q2",'3 Hazed Questions'!$C$2:$C$23,J71)+SUMIFS('3 Hazed Questions'!$K$2:$K$23,'3 Hazed Questions'!$A$2:$A$23,"Q3",'3 Hazed Questions'!$C$2:$C$23,K71)+SUMIFS('3 Hazed Questions'!$K$2:$K$23,'3 Hazed Questions'!$A$2:$A$23,"Q4",'3 Hazed Questions'!$C$2:$C$23,L71))</f>
        <v/>
      </c>
      <c r="U71" s="14" t="str">
        <f aca="false">IF(COUNTA(I71:L71)=0,"",SUMIFS('3 Hazed Questions'!$L$2:$L$23,'3 Hazed Questions'!$A$2:$A$23,"Q1",'3 Hazed Questions'!$C$2:$C$23,I71)+SUMIFS('3 Hazed Questions'!$L$2:$L$23,'3 Hazed Questions'!$A$2:$A$23,"Q2",'3 Hazed Questions'!$C$2:$C$23,J71)+SUMIFS('3 Hazed Questions'!$L$2:$L$23,'3 Hazed Questions'!$A$2:$A$23,"Q3",'3 Hazed Questions'!$C$2:$C$23,K71)+SUMIFS('3 Hazed Questions'!$L$2:$L$23,'3 Hazed Questions'!$A$2:$A$23,"Q4",'3 Hazed Questions'!$C$2:$C$23,L71))</f>
        <v/>
      </c>
      <c r="V71" s="14" t="str">
        <f aca="false">IF(COUNTA(I71:L71)=0,"",SUMIFS('3 Hazed Questions'!$M$2:$M$23,'3 Hazed Questions'!$A$2:$A$23,"Q1",'3 Hazed Questions'!$C$2:$C$23,I71)+SUMIFS('3 Hazed Questions'!$M$2:$M$23,'3 Hazed Questions'!$A$2:$A$23,"Q2",'3 Hazed Questions'!$C$2:$C$23,J71)+SUMIFS('3 Hazed Questions'!$M$2:$M$23,'3 Hazed Questions'!$A$2:$A$23,"Q3",'3 Hazed Questions'!$C$2:$C$23,K71)+SUMIFS('3 Hazed Questions'!$M$2:$M$23,'3 Hazed Questions'!$A$2:$A$23,"Q4",'3 Hazed Questions'!$C$2:$C$23,L71))</f>
        <v/>
      </c>
      <c r="W71" s="14" t="str">
        <f aca="false">IF(COUNTA(I71:L71)=0,"",SUMIFS('3 Hazed Questions'!$N$2:$N$23,'3 Hazed Questions'!$A$2:$A$23,"Q1",'3 Hazed Questions'!$C$2:$C$23,I71)+SUMIFS('3 Hazed Questions'!$N$2:$N$23,'3 Hazed Questions'!$A$2:$A$23,"Q2",'3 Hazed Questions'!$C$2:$C$23,J71)+SUMIFS('3 Hazed Questions'!$N$2:$N$23,'3 Hazed Questions'!$A$2:$A$23,"Q3",'3 Hazed Questions'!$C$2:$C$23,K71)+SUMIFS('3 Hazed Questions'!$N$2:$N$23,'3 Hazed Questions'!$A$2:$A$23,"Q4",'3 Hazed Questions'!$C$2:$C$23,L71))</f>
        <v/>
      </c>
      <c r="X71" s="14" t="str">
        <f aca="false">IF(COUNTA(I71:L71)=0,"",INDEX(Fields!$B$2:$B$50,MATCH(SUBSTITUTE(INDEX($N$1:$W$1,MATCH(MAX($N71:$W71),$N71:$W71,0)),"Score: ",""),Fields!$A$2:$A$50,0)))</f>
        <v/>
      </c>
      <c r="Y71" s="14" t="str">
        <f aca="true">IF(COUNTA(I71:L71)=0,"",IF(LARGE($N71:$W71,2)=0,"-",INDEX(Fields!$B$2:$B$50,MATCH(SUBSTITUTE(INDEX($N$1:$W$1,IF(LARGE($N71:$W71,2)=MAX($N71:$W71),MATCH(MAX($N71:$W71),OFFSET($N71:$W71,0,MATCH(MAX($N71:$W71),$N71:$W71,0),1,10-MATCH(MAX($N71:$W71),$N71:$W71,0)),0)+MATCH(MAX($N71:$W71),$N71:$W71,0),MATCH(LARGE($N71:$W71,2),$N71:$W71,0))),"Score: ",""),Fields!$A$2:$A$50,0))))</f>
        <v/>
      </c>
      <c r="Z71" s="14" t="str">
        <f aca="false">IF(M71="","",IFERROR(INDEX('3 Hazed Questions'!$O$2:$O$23,MATCH(1,INDEX(('3 Hazed Questions'!$A$2:$A$23="Q5")*('3 Hazed Questions'!$C$2:$C$23=M71),0),0))&amp;"",""))</f>
        <v/>
      </c>
      <c r="AA71" s="18"/>
      <c r="AB71" s="18"/>
      <c r="AC71" s="19"/>
      <c r="AD71" s="19"/>
      <c r="AE71" s="18"/>
      <c r="AF71" s="18"/>
      <c r="AG71" s="18"/>
    </row>
    <row r="72" customFormat="false" ht="15" hidden="false" customHeight="false" outlineLevel="0" collapsed="false">
      <c r="A72" s="18"/>
      <c r="B72" s="19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4" t="str">
        <f aca="false">IF(COUNTA(I72:L72)=0,"",SUMIFS('3 Hazed Questions'!$E$2:$E$23,'3 Hazed Questions'!$A$2:$A$23,"Q1",'3 Hazed Questions'!$C$2:$C$23,I72)+SUMIFS('3 Hazed Questions'!$E$2:$E$23,'3 Hazed Questions'!$A$2:$A$23,"Q2",'3 Hazed Questions'!$C$2:$C$23,J72)+SUMIFS('3 Hazed Questions'!$E$2:$E$23,'3 Hazed Questions'!$A$2:$A$23,"Q3",'3 Hazed Questions'!$C$2:$C$23,K72)+SUMIFS('3 Hazed Questions'!$E$2:$E$23,'3 Hazed Questions'!$A$2:$A$23,"Q4",'3 Hazed Questions'!$C$2:$C$23,L72))</f>
        <v/>
      </c>
      <c r="O72" s="14" t="str">
        <f aca="false">IF(COUNTA(I72:L72)=0,"",SUMIFS('3 Hazed Questions'!$F$2:$F$23,'3 Hazed Questions'!$A$2:$A$23,"Q1",'3 Hazed Questions'!$C$2:$C$23,I72)+SUMIFS('3 Hazed Questions'!$F$2:$F$23,'3 Hazed Questions'!$A$2:$A$23,"Q2",'3 Hazed Questions'!$C$2:$C$23,J72)+SUMIFS('3 Hazed Questions'!$F$2:$F$23,'3 Hazed Questions'!$A$2:$A$23,"Q3",'3 Hazed Questions'!$C$2:$C$23,K72)+SUMIFS('3 Hazed Questions'!$F$2:$F$23,'3 Hazed Questions'!$A$2:$A$23,"Q4",'3 Hazed Questions'!$C$2:$C$23,L72))</f>
        <v/>
      </c>
      <c r="P72" s="14" t="str">
        <f aca="false">IF(COUNTA(I72:L72)=0,"",SUMIFS('3 Hazed Questions'!$G$2:$G$23,'3 Hazed Questions'!$A$2:$A$23,"Q1",'3 Hazed Questions'!$C$2:$C$23,I72)+SUMIFS('3 Hazed Questions'!$G$2:$G$23,'3 Hazed Questions'!$A$2:$A$23,"Q2",'3 Hazed Questions'!$C$2:$C$23,J72)+SUMIFS('3 Hazed Questions'!$G$2:$G$23,'3 Hazed Questions'!$A$2:$A$23,"Q3",'3 Hazed Questions'!$C$2:$C$23,K72)+SUMIFS('3 Hazed Questions'!$G$2:$G$23,'3 Hazed Questions'!$A$2:$A$23,"Q4",'3 Hazed Questions'!$C$2:$C$23,L72))</f>
        <v/>
      </c>
      <c r="Q72" s="14" t="str">
        <f aca="false">IF(COUNTA(I72:L72)=0,"",SUMIFS('3 Hazed Questions'!$H$2:$H$23,'3 Hazed Questions'!$A$2:$A$23,"Q1",'3 Hazed Questions'!$C$2:$C$23,I72)+SUMIFS('3 Hazed Questions'!$H$2:$H$23,'3 Hazed Questions'!$A$2:$A$23,"Q2",'3 Hazed Questions'!$C$2:$C$23,J72)+SUMIFS('3 Hazed Questions'!$H$2:$H$23,'3 Hazed Questions'!$A$2:$A$23,"Q3",'3 Hazed Questions'!$C$2:$C$23,K72)+SUMIFS('3 Hazed Questions'!$H$2:$H$23,'3 Hazed Questions'!$A$2:$A$23,"Q4",'3 Hazed Questions'!$C$2:$C$23,L72))</f>
        <v/>
      </c>
      <c r="R72" s="14" t="str">
        <f aca="false">IF(COUNTA(I72:L72)=0,"",SUMIFS('3 Hazed Questions'!$I$2:$I$23,'3 Hazed Questions'!$A$2:$A$23,"Q1",'3 Hazed Questions'!$C$2:$C$23,I72)+SUMIFS('3 Hazed Questions'!$I$2:$I$23,'3 Hazed Questions'!$A$2:$A$23,"Q2",'3 Hazed Questions'!$C$2:$C$23,J72)+SUMIFS('3 Hazed Questions'!$I$2:$I$23,'3 Hazed Questions'!$A$2:$A$23,"Q3",'3 Hazed Questions'!$C$2:$C$23,K72)+SUMIFS('3 Hazed Questions'!$I$2:$I$23,'3 Hazed Questions'!$A$2:$A$23,"Q4",'3 Hazed Questions'!$C$2:$C$23,L72))</f>
        <v/>
      </c>
      <c r="S72" s="14" t="str">
        <f aca="false">IF(COUNTA(I72:L72)=0,"",SUMIFS('3 Hazed Questions'!$J$2:$J$23,'3 Hazed Questions'!$A$2:$A$23,"Q1",'3 Hazed Questions'!$C$2:$C$23,I72)+SUMIFS('3 Hazed Questions'!$J$2:$J$23,'3 Hazed Questions'!$A$2:$A$23,"Q2",'3 Hazed Questions'!$C$2:$C$23,J72)+SUMIFS('3 Hazed Questions'!$J$2:$J$23,'3 Hazed Questions'!$A$2:$A$23,"Q3",'3 Hazed Questions'!$C$2:$C$23,K72)+SUMIFS('3 Hazed Questions'!$J$2:$J$23,'3 Hazed Questions'!$A$2:$A$23,"Q4",'3 Hazed Questions'!$C$2:$C$23,L72))</f>
        <v/>
      </c>
      <c r="T72" s="14" t="str">
        <f aca="false">IF(COUNTA(I72:L72)=0,"",SUMIFS('3 Hazed Questions'!$K$2:$K$23,'3 Hazed Questions'!$A$2:$A$23,"Q1",'3 Hazed Questions'!$C$2:$C$23,I72)+SUMIFS('3 Hazed Questions'!$K$2:$K$23,'3 Hazed Questions'!$A$2:$A$23,"Q2",'3 Hazed Questions'!$C$2:$C$23,J72)+SUMIFS('3 Hazed Questions'!$K$2:$K$23,'3 Hazed Questions'!$A$2:$A$23,"Q3",'3 Hazed Questions'!$C$2:$C$23,K72)+SUMIFS('3 Hazed Questions'!$K$2:$K$23,'3 Hazed Questions'!$A$2:$A$23,"Q4",'3 Hazed Questions'!$C$2:$C$23,L72))</f>
        <v/>
      </c>
      <c r="U72" s="14" t="str">
        <f aca="false">IF(COUNTA(I72:L72)=0,"",SUMIFS('3 Hazed Questions'!$L$2:$L$23,'3 Hazed Questions'!$A$2:$A$23,"Q1",'3 Hazed Questions'!$C$2:$C$23,I72)+SUMIFS('3 Hazed Questions'!$L$2:$L$23,'3 Hazed Questions'!$A$2:$A$23,"Q2",'3 Hazed Questions'!$C$2:$C$23,J72)+SUMIFS('3 Hazed Questions'!$L$2:$L$23,'3 Hazed Questions'!$A$2:$A$23,"Q3",'3 Hazed Questions'!$C$2:$C$23,K72)+SUMIFS('3 Hazed Questions'!$L$2:$L$23,'3 Hazed Questions'!$A$2:$A$23,"Q4",'3 Hazed Questions'!$C$2:$C$23,L72))</f>
        <v/>
      </c>
      <c r="V72" s="14" t="str">
        <f aca="false">IF(COUNTA(I72:L72)=0,"",SUMIFS('3 Hazed Questions'!$M$2:$M$23,'3 Hazed Questions'!$A$2:$A$23,"Q1",'3 Hazed Questions'!$C$2:$C$23,I72)+SUMIFS('3 Hazed Questions'!$M$2:$M$23,'3 Hazed Questions'!$A$2:$A$23,"Q2",'3 Hazed Questions'!$C$2:$C$23,J72)+SUMIFS('3 Hazed Questions'!$M$2:$M$23,'3 Hazed Questions'!$A$2:$A$23,"Q3",'3 Hazed Questions'!$C$2:$C$23,K72)+SUMIFS('3 Hazed Questions'!$M$2:$M$23,'3 Hazed Questions'!$A$2:$A$23,"Q4",'3 Hazed Questions'!$C$2:$C$23,L72))</f>
        <v/>
      </c>
      <c r="W72" s="14" t="str">
        <f aca="false">IF(COUNTA(I72:L72)=0,"",SUMIFS('3 Hazed Questions'!$N$2:$N$23,'3 Hazed Questions'!$A$2:$A$23,"Q1",'3 Hazed Questions'!$C$2:$C$23,I72)+SUMIFS('3 Hazed Questions'!$N$2:$N$23,'3 Hazed Questions'!$A$2:$A$23,"Q2",'3 Hazed Questions'!$C$2:$C$23,J72)+SUMIFS('3 Hazed Questions'!$N$2:$N$23,'3 Hazed Questions'!$A$2:$A$23,"Q3",'3 Hazed Questions'!$C$2:$C$23,K72)+SUMIFS('3 Hazed Questions'!$N$2:$N$23,'3 Hazed Questions'!$A$2:$A$23,"Q4",'3 Hazed Questions'!$C$2:$C$23,L72))</f>
        <v/>
      </c>
      <c r="X72" s="14" t="str">
        <f aca="false">IF(COUNTA(I72:L72)=0,"",INDEX(Fields!$B$2:$B$50,MATCH(SUBSTITUTE(INDEX($N$1:$W$1,MATCH(MAX($N72:$W72),$N72:$W72,0)),"Score: ",""),Fields!$A$2:$A$50,0)))</f>
        <v/>
      </c>
      <c r="Y72" s="14" t="str">
        <f aca="true">IF(COUNTA(I72:L72)=0,"",IF(LARGE($N72:$W72,2)=0,"-",INDEX(Fields!$B$2:$B$50,MATCH(SUBSTITUTE(INDEX($N$1:$W$1,IF(LARGE($N72:$W72,2)=MAX($N72:$W72),MATCH(MAX($N72:$W72),OFFSET($N72:$W72,0,MATCH(MAX($N72:$W72),$N72:$W72,0),1,10-MATCH(MAX($N72:$W72),$N72:$W72,0)),0)+MATCH(MAX($N72:$W72),$N72:$W72,0),MATCH(LARGE($N72:$W72,2),$N72:$W72,0))),"Score: ",""),Fields!$A$2:$A$50,0))))</f>
        <v/>
      </c>
      <c r="Z72" s="14" t="str">
        <f aca="false">IF(M72="","",IFERROR(INDEX('3 Hazed Questions'!$O$2:$O$23,MATCH(1,INDEX(('3 Hazed Questions'!$A$2:$A$23="Q5")*('3 Hazed Questions'!$C$2:$C$23=M72),0),0))&amp;"",""))</f>
        <v/>
      </c>
      <c r="AA72" s="18"/>
      <c r="AB72" s="18"/>
      <c r="AC72" s="19"/>
      <c r="AD72" s="19"/>
      <c r="AE72" s="18"/>
      <c r="AF72" s="18"/>
      <c r="AG72" s="18"/>
    </row>
    <row r="73" customFormat="false" ht="15" hidden="false" customHeight="false" outlineLevel="0" collapsed="false">
      <c r="A73" s="18"/>
      <c r="B73" s="19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4" t="str">
        <f aca="false">IF(COUNTA(I73:L73)=0,"",SUMIFS('3 Hazed Questions'!$E$2:$E$23,'3 Hazed Questions'!$A$2:$A$23,"Q1",'3 Hazed Questions'!$C$2:$C$23,I73)+SUMIFS('3 Hazed Questions'!$E$2:$E$23,'3 Hazed Questions'!$A$2:$A$23,"Q2",'3 Hazed Questions'!$C$2:$C$23,J73)+SUMIFS('3 Hazed Questions'!$E$2:$E$23,'3 Hazed Questions'!$A$2:$A$23,"Q3",'3 Hazed Questions'!$C$2:$C$23,K73)+SUMIFS('3 Hazed Questions'!$E$2:$E$23,'3 Hazed Questions'!$A$2:$A$23,"Q4",'3 Hazed Questions'!$C$2:$C$23,L73))</f>
        <v/>
      </c>
      <c r="O73" s="14" t="str">
        <f aca="false">IF(COUNTA(I73:L73)=0,"",SUMIFS('3 Hazed Questions'!$F$2:$F$23,'3 Hazed Questions'!$A$2:$A$23,"Q1",'3 Hazed Questions'!$C$2:$C$23,I73)+SUMIFS('3 Hazed Questions'!$F$2:$F$23,'3 Hazed Questions'!$A$2:$A$23,"Q2",'3 Hazed Questions'!$C$2:$C$23,J73)+SUMIFS('3 Hazed Questions'!$F$2:$F$23,'3 Hazed Questions'!$A$2:$A$23,"Q3",'3 Hazed Questions'!$C$2:$C$23,K73)+SUMIFS('3 Hazed Questions'!$F$2:$F$23,'3 Hazed Questions'!$A$2:$A$23,"Q4",'3 Hazed Questions'!$C$2:$C$23,L73))</f>
        <v/>
      </c>
      <c r="P73" s="14" t="str">
        <f aca="false">IF(COUNTA(I73:L73)=0,"",SUMIFS('3 Hazed Questions'!$G$2:$G$23,'3 Hazed Questions'!$A$2:$A$23,"Q1",'3 Hazed Questions'!$C$2:$C$23,I73)+SUMIFS('3 Hazed Questions'!$G$2:$G$23,'3 Hazed Questions'!$A$2:$A$23,"Q2",'3 Hazed Questions'!$C$2:$C$23,J73)+SUMIFS('3 Hazed Questions'!$G$2:$G$23,'3 Hazed Questions'!$A$2:$A$23,"Q3",'3 Hazed Questions'!$C$2:$C$23,K73)+SUMIFS('3 Hazed Questions'!$G$2:$G$23,'3 Hazed Questions'!$A$2:$A$23,"Q4",'3 Hazed Questions'!$C$2:$C$23,L73))</f>
        <v/>
      </c>
      <c r="Q73" s="14" t="str">
        <f aca="false">IF(COUNTA(I73:L73)=0,"",SUMIFS('3 Hazed Questions'!$H$2:$H$23,'3 Hazed Questions'!$A$2:$A$23,"Q1",'3 Hazed Questions'!$C$2:$C$23,I73)+SUMIFS('3 Hazed Questions'!$H$2:$H$23,'3 Hazed Questions'!$A$2:$A$23,"Q2",'3 Hazed Questions'!$C$2:$C$23,J73)+SUMIFS('3 Hazed Questions'!$H$2:$H$23,'3 Hazed Questions'!$A$2:$A$23,"Q3",'3 Hazed Questions'!$C$2:$C$23,K73)+SUMIFS('3 Hazed Questions'!$H$2:$H$23,'3 Hazed Questions'!$A$2:$A$23,"Q4",'3 Hazed Questions'!$C$2:$C$23,L73))</f>
        <v/>
      </c>
      <c r="R73" s="14" t="str">
        <f aca="false">IF(COUNTA(I73:L73)=0,"",SUMIFS('3 Hazed Questions'!$I$2:$I$23,'3 Hazed Questions'!$A$2:$A$23,"Q1",'3 Hazed Questions'!$C$2:$C$23,I73)+SUMIFS('3 Hazed Questions'!$I$2:$I$23,'3 Hazed Questions'!$A$2:$A$23,"Q2",'3 Hazed Questions'!$C$2:$C$23,J73)+SUMIFS('3 Hazed Questions'!$I$2:$I$23,'3 Hazed Questions'!$A$2:$A$23,"Q3",'3 Hazed Questions'!$C$2:$C$23,K73)+SUMIFS('3 Hazed Questions'!$I$2:$I$23,'3 Hazed Questions'!$A$2:$A$23,"Q4",'3 Hazed Questions'!$C$2:$C$23,L73))</f>
        <v/>
      </c>
      <c r="S73" s="14" t="str">
        <f aca="false">IF(COUNTA(I73:L73)=0,"",SUMIFS('3 Hazed Questions'!$J$2:$J$23,'3 Hazed Questions'!$A$2:$A$23,"Q1",'3 Hazed Questions'!$C$2:$C$23,I73)+SUMIFS('3 Hazed Questions'!$J$2:$J$23,'3 Hazed Questions'!$A$2:$A$23,"Q2",'3 Hazed Questions'!$C$2:$C$23,J73)+SUMIFS('3 Hazed Questions'!$J$2:$J$23,'3 Hazed Questions'!$A$2:$A$23,"Q3",'3 Hazed Questions'!$C$2:$C$23,K73)+SUMIFS('3 Hazed Questions'!$J$2:$J$23,'3 Hazed Questions'!$A$2:$A$23,"Q4",'3 Hazed Questions'!$C$2:$C$23,L73))</f>
        <v/>
      </c>
      <c r="T73" s="14" t="str">
        <f aca="false">IF(COUNTA(I73:L73)=0,"",SUMIFS('3 Hazed Questions'!$K$2:$K$23,'3 Hazed Questions'!$A$2:$A$23,"Q1",'3 Hazed Questions'!$C$2:$C$23,I73)+SUMIFS('3 Hazed Questions'!$K$2:$K$23,'3 Hazed Questions'!$A$2:$A$23,"Q2",'3 Hazed Questions'!$C$2:$C$23,J73)+SUMIFS('3 Hazed Questions'!$K$2:$K$23,'3 Hazed Questions'!$A$2:$A$23,"Q3",'3 Hazed Questions'!$C$2:$C$23,K73)+SUMIFS('3 Hazed Questions'!$K$2:$K$23,'3 Hazed Questions'!$A$2:$A$23,"Q4",'3 Hazed Questions'!$C$2:$C$23,L73))</f>
        <v/>
      </c>
      <c r="U73" s="14" t="str">
        <f aca="false">IF(COUNTA(I73:L73)=0,"",SUMIFS('3 Hazed Questions'!$L$2:$L$23,'3 Hazed Questions'!$A$2:$A$23,"Q1",'3 Hazed Questions'!$C$2:$C$23,I73)+SUMIFS('3 Hazed Questions'!$L$2:$L$23,'3 Hazed Questions'!$A$2:$A$23,"Q2",'3 Hazed Questions'!$C$2:$C$23,J73)+SUMIFS('3 Hazed Questions'!$L$2:$L$23,'3 Hazed Questions'!$A$2:$A$23,"Q3",'3 Hazed Questions'!$C$2:$C$23,K73)+SUMIFS('3 Hazed Questions'!$L$2:$L$23,'3 Hazed Questions'!$A$2:$A$23,"Q4",'3 Hazed Questions'!$C$2:$C$23,L73))</f>
        <v/>
      </c>
      <c r="V73" s="14" t="str">
        <f aca="false">IF(COUNTA(I73:L73)=0,"",SUMIFS('3 Hazed Questions'!$M$2:$M$23,'3 Hazed Questions'!$A$2:$A$23,"Q1",'3 Hazed Questions'!$C$2:$C$23,I73)+SUMIFS('3 Hazed Questions'!$M$2:$M$23,'3 Hazed Questions'!$A$2:$A$23,"Q2",'3 Hazed Questions'!$C$2:$C$23,J73)+SUMIFS('3 Hazed Questions'!$M$2:$M$23,'3 Hazed Questions'!$A$2:$A$23,"Q3",'3 Hazed Questions'!$C$2:$C$23,K73)+SUMIFS('3 Hazed Questions'!$M$2:$M$23,'3 Hazed Questions'!$A$2:$A$23,"Q4",'3 Hazed Questions'!$C$2:$C$23,L73))</f>
        <v/>
      </c>
      <c r="W73" s="14" t="str">
        <f aca="false">IF(COUNTA(I73:L73)=0,"",SUMIFS('3 Hazed Questions'!$N$2:$N$23,'3 Hazed Questions'!$A$2:$A$23,"Q1",'3 Hazed Questions'!$C$2:$C$23,I73)+SUMIFS('3 Hazed Questions'!$N$2:$N$23,'3 Hazed Questions'!$A$2:$A$23,"Q2",'3 Hazed Questions'!$C$2:$C$23,J73)+SUMIFS('3 Hazed Questions'!$N$2:$N$23,'3 Hazed Questions'!$A$2:$A$23,"Q3",'3 Hazed Questions'!$C$2:$C$23,K73)+SUMIFS('3 Hazed Questions'!$N$2:$N$23,'3 Hazed Questions'!$A$2:$A$23,"Q4",'3 Hazed Questions'!$C$2:$C$23,L73))</f>
        <v/>
      </c>
      <c r="X73" s="14" t="str">
        <f aca="false">IF(COUNTA(I73:L73)=0,"",INDEX(Fields!$B$2:$B$50,MATCH(SUBSTITUTE(INDEX($N$1:$W$1,MATCH(MAX($N73:$W73),$N73:$W73,0)),"Score: ",""),Fields!$A$2:$A$50,0)))</f>
        <v/>
      </c>
      <c r="Y73" s="14" t="str">
        <f aca="true">IF(COUNTA(I73:L73)=0,"",IF(LARGE($N73:$W73,2)=0,"-",INDEX(Fields!$B$2:$B$50,MATCH(SUBSTITUTE(INDEX($N$1:$W$1,IF(LARGE($N73:$W73,2)=MAX($N73:$W73),MATCH(MAX($N73:$W73),OFFSET($N73:$W73,0,MATCH(MAX($N73:$W73),$N73:$W73,0),1,10-MATCH(MAX($N73:$W73),$N73:$W73,0)),0)+MATCH(MAX($N73:$W73),$N73:$W73,0),MATCH(LARGE($N73:$W73,2),$N73:$W73,0))),"Score: ",""),Fields!$A$2:$A$50,0))))</f>
        <v/>
      </c>
      <c r="Z73" s="14" t="str">
        <f aca="false">IF(M73="","",IFERROR(INDEX('3 Hazed Questions'!$O$2:$O$23,MATCH(1,INDEX(('3 Hazed Questions'!$A$2:$A$23="Q5")*('3 Hazed Questions'!$C$2:$C$23=M73),0),0))&amp;"",""))</f>
        <v/>
      </c>
      <c r="AA73" s="18"/>
      <c r="AB73" s="18"/>
      <c r="AC73" s="19"/>
      <c r="AD73" s="19"/>
      <c r="AE73" s="18"/>
      <c r="AF73" s="18"/>
      <c r="AG73" s="18"/>
    </row>
    <row r="74" customFormat="false" ht="15" hidden="false" customHeight="false" outlineLevel="0" collapsed="false">
      <c r="A74" s="18"/>
      <c r="B74" s="19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4" t="str">
        <f aca="false">IF(COUNTA(I74:L74)=0,"",SUMIFS('3 Hazed Questions'!$E$2:$E$23,'3 Hazed Questions'!$A$2:$A$23,"Q1",'3 Hazed Questions'!$C$2:$C$23,I74)+SUMIFS('3 Hazed Questions'!$E$2:$E$23,'3 Hazed Questions'!$A$2:$A$23,"Q2",'3 Hazed Questions'!$C$2:$C$23,J74)+SUMIFS('3 Hazed Questions'!$E$2:$E$23,'3 Hazed Questions'!$A$2:$A$23,"Q3",'3 Hazed Questions'!$C$2:$C$23,K74)+SUMIFS('3 Hazed Questions'!$E$2:$E$23,'3 Hazed Questions'!$A$2:$A$23,"Q4",'3 Hazed Questions'!$C$2:$C$23,L74))</f>
        <v/>
      </c>
      <c r="O74" s="14" t="str">
        <f aca="false">IF(COUNTA(I74:L74)=0,"",SUMIFS('3 Hazed Questions'!$F$2:$F$23,'3 Hazed Questions'!$A$2:$A$23,"Q1",'3 Hazed Questions'!$C$2:$C$23,I74)+SUMIFS('3 Hazed Questions'!$F$2:$F$23,'3 Hazed Questions'!$A$2:$A$23,"Q2",'3 Hazed Questions'!$C$2:$C$23,J74)+SUMIFS('3 Hazed Questions'!$F$2:$F$23,'3 Hazed Questions'!$A$2:$A$23,"Q3",'3 Hazed Questions'!$C$2:$C$23,K74)+SUMIFS('3 Hazed Questions'!$F$2:$F$23,'3 Hazed Questions'!$A$2:$A$23,"Q4",'3 Hazed Questions'!$C$2:$C$23,L74))</f>
        <v/>
      </c>
      <c r="P74" s="14" t="str">
        <f aca="false">IF(COUNTA(I74:L74)=0,"",SUMIFS('3 Hazed Questions'!$G$2:$G$23,'3 Hazed Questions'!$A$2:$A$23,"Q1",'3 Hazed Questions'!$C$2:$C$23,I74)+SUMIFS('3 Hazed Questions'!$G$2:$G$23,'3 Hazed Questions'!$A$2:$A$23,"Q2",'3 Hazed Questions'!$C$2:$C$23,J74)+SUMIFS('3 Hazed Questions'!$G$2:$G$23,'3 Hazed Questions'!$A$2:$A$23,"Q3",'3 Hazed Questions'!$C$2:$C$23,K74)+SUMIFS('3 Hazed Questions'!$G$2:$G$23,'3 Hazed Questions'!$A$2:$A$23,"Q4",'3 Hazed Questions'!$C$2:$C$23,L74))</f>
        <v/>
      </c>
      <c r="Q74" s="14" t="str">
        <f aca="false">IF(COUNTA(I74:L74)=0,"",SUMIFS('3 Hazed Questions'!$H$2:$H$23,'3 Hazed Questions'!$A$2:$A$23,"Q1",'3 Hazed Questions'!$C$2:$C$23,I74)+SUMIFS('3 Hazed Questions'!$H$2:$H$23,'3 Hazed Questions'!$A$2:$A$23,"Q2",'3 Hazed Questions'!$C$2:$C$23,J74)+SUMIFS('3 Hazed Questions'!$H$2:$H$23,'3 Hazed Questions'!$A$2:$A$23,"Q3",'3 Hazed Questions'!$C$2:$C$23,K74)+SUMIFS('3 Hazed Questions'!$H$2:$H$23,'3 Hazed Questions'!$A$2:$A$23,"Q4",'3 Hazed Questions'!$C$2:$C$23,L74))</f>
        <v/>
      </c>
      <c r="R74" s="14" t="str">
        <f aca="false">IF(COUNTA(I74:L74)=0,"",SUMIFS('3 Hazed Questions'!$I$2:$I$23,'3 Hazed Questions'!$A$2:$A$23,"Q1",'3 Hazed Questions'!$C$2:$C$23,I74)+SUMIFS('3 Hazed Questions'!$I$2:$I$23,'3 Hazed Questions'!$A$2:$A$23,"Q2",'3 Hazed Questions'!$C$2:$C$23,J74)+SUMIFS('3 Hazed Questions'!$I$2:$I$23,'3 Hazed Questions'!$A$2:$A$23,"Q3",'3 Hazed Questions'!$C$2:$C$23,K74)+SUMIFS('3 Hazed Questions'!$I$2:$I$23,'3 Hazed Questions'!$A$2:$A$23,"Q4",'3 Hazed Questions'!$C$2:$C$23,L74))</f>
        <v/>
      </c>
      <c r="S74" s="14" t="str">
        <f aca="false">IF(COUNTA(I74:L74)=0,"",SUMIFS('3 Hazed Questions'!$J$2:$J$23,'3 Hazed Questions'!$A$2:$A$23,"Q1",'3 Hazed Questions'!$C$2:$C$23,I74)+SUMIFS('3 Hazed Questions'!$J$2:$J$23,'3 Hazed Questions'!$A$2:$A$23,"Q2",'3 Hazed Questions'!$C$2:$C$23,J74)+SUMIFS('3 Hazed Questions'!$J$2:$J$23,'3 Hazed Questions'!$A$2:$A$23,"Q3",'3 Hazed Questions'!$C$2:$C$23,K74)+SUMIFS('3 Hazed Questions'!$J$2:$J$23,'3 Hazed Questions'!$A$2:$A$23,"Q4",'3 Hazed Questions'!$C$2:$C$23,L74))</f>
        <v/>
      </c>
      <c r="T74" s="14" t="str">
        <f aca="false">IF(COUNTA(I74:L74)=0,"",SUMIFS('3 Hazed Questions'!$K$2:$K$23,'3 Hazed Questions'!$A$2:$A$23,"Q1",'3 Hazed Questions'!$C$2:$C$23,I74)+SUMIFS('3 Hazed Questions'!$K$2:$K$23,'3 Hazed Questions'!$A$2:$A$23,"Q2",'3 Hazed Questions'!$C$2:$C$23,J74)+SUMIFS('3 Hazed Questions'!$K$2:$K$23,'3 Hazed Questions'!$A$2:$A$23,"Q3",'3 Hazed Questions'!$C$2:$C$23,K74)+SUMIFS('3 Hazed Questions'!$K$2:$K$23,'3 Hazed Questions'!$A$2:$A$23,"Q4",'3 Hazed Questions'!$C$2:$C$23,L74))</f>
        <v/>
      </c>
      <c r="U74" s="14" t="str">
        <f aca="false">IF(COUNTA(I74:L74)=0,"",SUMIFS('3 Hazed Questions'!$L$2:$L$23,'3 Hazed Questions'!$A$2:$A$23,"Q1",'3 Hazed Questions'!$C$2:$C$23,I74)+SUMIFS('3 Hazed Questions'!$L$2:$L$23,'3 Hazed Questions'!$A$2:$A$23,"Q2",'3 Hazed Questions'!$C$2:$C$23,J74)+SUMIFS('3 Hazed Questions'!$L$2:$L$23,'3 Hazed Questions'!$A$2:$A$23,"Q3",'3 Hazed Questions'!$C$2:$C$23,K74)+SUMIFS('3 Hazed Questions'!$L$2:$L$23,'3 Hazed Questions'!$A$2:$A$23,"Q4",'3 Hazed Questions'!$C$2:$C$23,L74))</f>
        <v/>
      </c>
      <c r="V74" s="14" t="str">
        <f aca="false">IF(COUNTA(I74:L74)=0,"",SUMIFS('3 Hazed Questions'!$M$2:$M$23,'3 Hazed Questions'!$A$2:$A$23,"Q1",'3 Hazed Questions'!$C$2:$C$23,I74)+SUMIFS('3 Hazed Questions'!$M$2:$M$23,'3 Hazed Questions'!$A$2:$A$23,"Q2",'3 Hazed Questions'!$C$2:$C$23,J74)+SUMIFS('3 Hazed Questions'!$M$2:$M$23,'3 Hazed Questions'!$A$2:$A$23,"Q3",'3 Hazed Questions'!$C$2:$C$23,K74)+SUMIFS('3 Hazed Questions'!$M$2:$M$23,'3 Hazed Questions'!$A$2:$A$23,"Q4",'3 Hazed Questions'!$C$2:$C$23,L74))</f>
        <v/>
      </c>
      <c r="W74" s="14" t="str">
        <f aca="false">IF(COUNTA(I74:L74)=0,"",SUMIFS('3 Hazed Questions'!$N$2:$N$23,'3 Hazed Questions'!$A$2:$A$23,"Q1",'3 Hazed Questions'!$C$2:$C$23,I74)+SUMIFS('3 Hazed Questions'!$N$2:$N$23,'3 Hazed Questions'!$A$2:$A$23,"Q2",'3 Hazed Questions'!$C$2:$C$23,J74)+SUMIFS('3 Hazed Questions'!$N$2:$N$23,'3 Hazed Questions'!$A$2:$A$23,"Q3",'3 Hazed Questions'!$C$2:$C$23,K74)+SUMIFS('3 Hazed Questions'!$N$2:$N$23,'3 Hazed Questions'!$A$2:$A$23,"Q4",'3 Hazed Questions'!$C$2:$C$23,L74))</f>
        <v/>
      </c>
      <c r="X74" s="14" t="str">
        <f aca="false">IF(COUNTA(I74:L74)=0,"",INDEX(Fields!$B$2:$B$50,MATCH(SUBSTITUTE(INDEX($N$1:$W$1,MATCH(MAX($N74:$W74),$N74:$W74,0)),"Score: ",""),Fields!$A$2:$A$50,0)))</f>
        <v/>
      </c>
      <c r="Y74" s="14" t="str">
        <f aca="true">IF(COUNTA(I74:L74)=0,"",IF(LARGE($N74:$W74,2)=0,"-",INDEX(Fields!$B$2:$B$50,MATCH(SUBSTITUTE(INDEX($N$1:$W$1,IF(LARGE($N74:$W74,2)=MAX($N74:$W74),MATCH(MAX($N74:$W74),OFFSET($N74:$W74,0,MATCH(MAX($N74:$W74),$N74:$W74,0),1,10-MATCH(MAX($N74:$W74),$N74:$W74,0)),0)+MATCH(MAX($N74:$W74),$N74:$W74,0),MATCH(LARGE($N74:$W74,2),$N74:$W74,0))),"Score: ",""),Fields!$A$2:$A$50,0))))</f>
        <v/>
      </c>
      <c r="Z74" s="14" t="str">
        <f aca="false">IF(M74="","",IFERROR(INDEX('3 Hazed Questions'!$O$2:$O$23,MATCH(1,INDEX(('3 Hazed Questions'!$A$2:$A$23="Q5")*('3 Hazed Questions'!$C$2:$C$23=M74),0),0))&amp;"",""))</f>
        <v/>
      </c>
      <c r="AA74" s="18"/>
      <c r="AB74" s="18"/>
      <c r="AC74" s="19"/>
      <c r="AD74" s="19"/>
      <c r="AE74" s="18"/>
      <c r="AF74" s="18"/>
      <c r="AG74" s="18"/>
    </row>
    <row r="75" customFormat="false" ht="15" hidden="false" customHeight="false" outlineLevel="0" collapsed="false">
      <c r="A75" s="18"/>
      <c r="B75" s="19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4" t="str">
        <f aca="false">IF(COUNTA(I75:L75)=0,"",SUMIFS('3 Hazed Questions'!$E$2:$E$23,'3 Hazed Questions'!$A$2:$A$23,"Q1",'3 Hazed Questions'!$C$2:$C$23,I75)+SUMIFS('3 Hazed Questions'!$E$2:$E$23,'3 Hazed Questions'!$A$2:$A$23,"Q2",'3 Hazed Questions'!$C$2:$C$23,J75)+SUMIFS('3 Hazed Questions'!$E$2:$E$23,'3 Hazed Questions'!$A$2:$A$23,"Q3",'3 Hazed Questions'!$C$2:$C$23,K75)+SUMIFS('3 Hazed Questions'!$E$2:$E$23,'3 Hazed Questions'!$A$2:$A$23,"Q4",'3 Hazed Questions'!$C$2:$C$23,L75))</f>
        <v/>
      </c>
      <c r="O75" s="14" t="str">
        <f aca="false">IF(COUNTA(I75:L75)=0,"",SUMIFS('3 Hazed Questions'!$F$2:$F$23,'3 Hazed Questions'!$A$2:$A$23,"Q1",'3 Hazed Questions'!$C$2:$C$23,I75)+SUMIFS('3 Hazed Questions'!$F$2:$F$23,'3 Hazed Questions'!$A$2:$A$23,"Q2",'3 Hazed Questions'!$C$2:$C$23,J75)+SUMIFS('3 Hazed Questions'!$F$2:$F$23,'3 Hazed Questions'!$A$2:$A$23,"Q3",'3 Hazed Questions'!$C$2:$C$23,K75)+SUMIFS('3 Hazed Questions'!$F$2:$F$23,'3 Hazed Questions'!$A$2:$A$23,"Q4",'3 Hazed Questions'!$C$2:$C$23,L75))</f>
        <v/>
      </c>
      <c r="P75" s="14" t="str">
        <f aca="false">IF(COUNTA(I75:L75)=0,"",SUMIFS('3 Hazed Questions'!$G$2:$G$23,'3 Hazed Questions'!$A$2:$A$23,"Q1",'3 Hazed Questions'!$C$2:$C$23,I75)+SUMIFS('3 Hazed Questions'!$G$2:$G$23,'3 Hazed Questions'!$A$2:$A$23,"Q2",'3 Hazed Questions'!$C$2:$C$23,J75)+SUMIFS('3 Hazed Questions'!$G$2:$G$23,'3 Hazed Questions'!$A$2:$A$23,"Q3",'3 Hazed Questions'!$C$2:$C$23,K75)+SUMIFS('3 Hazed Questions'!$G$2:$G$23,'3 Hazed Questions'!$A$2:$A$23,"Q4",'3 Hazed Questions'!$C$2:$C$23,L75))</f>
        <v/>
      </c>
      <c r="Q75" s="14" t="str">
        <f aca="false">IF(COUNTA(I75:L75)=0,"",SUMIFS('3 Hazed Questions'!$H$2:$H$23,'3 Hazed Questions'!$A$2:$A$23,"Q1",'3 Hazed Questions'!$C$2:$C$23,I75)+SUMIFS('3 Hazed Questions'!$H$2:$H$23,'3 Hazed Questions'!$A$2:$A$23,"Q2",'3 Hazed Questions'!$C$2:$C$23,J75)+SUMIFS('3 Hazed Questions'!$H$2:$H$23,'3 Hazed Questions'!$A$2:$A$23,"Q3",'3 Hazed Questions'!$C$2:$C$23,K75)+SUMIFS('3 Hazed Questions'!$H$2:$H$23,'3 Hazed Questions'!$A$2:$A$23,"Q4",'3 Hazed Questions'!$C$2:$C$23,L75))</f>
        <v/>
      </c>
      <c r="R75" s="14" t="str">
        <f aca="false">IF(COUNTA(I75:L75)=0,"",SUMIFS('3 Hazed Questions'!$I$2:$I$23,'3 Hazed Questions'!$A$2:$A$23,"Q1",'3 Hazed Questions'!$C$2:$C$23,I75)+SUMIFS('3 Hazed Questions'!$I$2:$I$23,'3 Hazed Questions'!$A$2:$A$23,"Q2",'3 Hazed Questions'!$C$2:$C$23,J75)+SUMIFS('3 Hazed Questions'!$I$2:$I$23,'3 Hazed Questions'!$A$2:$A$23,"Q3",'3 Hazed Questions'!$C$2:$C$23,K75)+SUMIFS('3 Hazed Questions'!$I$2:$I$23,'3 Hazed Questions'!$A$2:$A$23,"Q4",'3 Hazed Questions'!$C$2:$C$23,L75))</f>
        <v/>
      </c>
      <c r="S75" s="14" t="str">
        <f aca="false">IF(COUNTA(I75:L75)=0,"",SUMIFS('3 Hazed Questions'!$J$2:$J$23,'3 Hazed Questions'!$A$2:$A$23,"Q1",'3 Hazed Questions'!$C$2:$C$23,I75)+SUMIFS('3 Hazed Questions'!$J$2:$J$23,'3 Hazed Questions'!$A$2:$A$23,"Q2",'3 Hazed Questions'!$C$2:$C$23,J75)+SUMIFS('3 Hazed Questions'!$J$2:$J$23,'3 Hazed Questions'!$A$2:$A$23,"Q3",'3 Hazed Questions'!$C$2:$C$23,K75)+SUMIFS('3 Hazed Questions'!$J$2:$J$23,'3 Hazed Questions'!$A$2:$A$23,"Q4",'3 Hazed Questions'!$C$2:$C$23,L75))</f>
        <v/>
      </c>
      <c r="T75" s="14" t="str">
        <f aca="false">IF(COUNTA(I75:L75)=0,"",SUMIFS('3 Hazed Questions'!$K$2:$K$23,'3 Hazed Questions'!$A$2:$A$23,"Q1",'3 Hazed Questions'!$C$2:$C$23,I75)+SUMIFS('3 Hazed Questions'!$K$2:$K$23,'3 Hazed Questions'!$A$2:$A$23,"Q2",'3 Hazed Questions'!$C$2:$C$23,J75)+SUMIFS('3 Hazed Questions'!$K$2:$K$23,'3 Hazed Questions'!$A$2:$A$23,"Q3",'3 Hazed Questions'!$C$2:$C$23,K75)+SUMIFS('3 Hazed Questions'!$K$2:$K$23,'3 Hazed Questions'!$A$2:$A$23,"Q4",'3 Hazed Questions'!$C$2:$C$23,L75))</f>
        <v/>
      </c>
      <c r="U75" s="14" t="str">
        <f aca="false">IF(COUNTA(I75:L75)=0,"",SUMIFS('3 Hazed Questions'!$L$2:$L$23,'3 Hazed Questions'!$A$2:$A$23,"Q1",'3 Hazed Questions'!$C$2:$C$23,I75)+SUMIFS('3 Hazed Questions'!$L$2:$L$23,'3 Hazed Questions'!$A$2:$A$23,"Q2",'3 Hazed Questions'!$C$2:$C$23,J75)+SUMIFS('3 Hazed Questions'!$L$2:$L$23,'3 Hazed Questions'!$A$2:$A$23,"Q3",'3 Hazed Questions'!$C$2:$C$23,K75)+SUMIFS('3 Hazed Questions'!$L$2:$L$23,'3 Hazed Questions'!$A$2:$A$23,"Q4",'3 Hazed Questions'!$C$2:$C$23,L75))</f>
        <v/>
      </c>
      <c r="V75" s="14" t="str">
        <f aca="false">IF(COUNTA(I75:L75)=0,"",SUMIFS('3 Hazed Questions'!$M$2:$M$23,'3 Hazed Questions'!$A$2:$A$23,"Q1",'3 Hazed Questions'!$C$2:$C$23,I75)+SUMIFS('3 Hazed Questions'!$M$2:$M$23,'3 Hazed Questions'!$A$2:$A$23,"Q2",'3 Hazed Questions'!$C$2:$C$23,J75)+SUMIFS('3 Hazed Questions'!$M$2:$M$23,'3 Hazed Questions'!$A$2:$A$23,"Q3",'3 Hazed Questions'!$C$2:$C$23,K75)+SUMIFS('3 Hazed Questions'!$M$2:$M$23,'3 Hazed Questions'!$A$2:$A$23,"Q4",'3 Hazed Questions'!$C$2:$C$23,L75))</f>
        <v/>
      </c>
      <c r="W75" s="14" t="str">
        <f aca="false">IF(COUNTA(I75:L75)=0,"",SUMIFS('3 Hazed Questions'!$N$2:$N$23,'3 Hazed Questions'!$A$2:$A$23,"Q1",'3 Hazed Questions'!$C$2:$C$23,I75)+SUMIFS('3 Hazed Questions'!$N$2:$N$23,'3 Hazed Questions'!$A$2:$A$23,"Q2",'3 Hazed Questions'!$C$2:$C$23,J75)+SUMIFS('3 Hazed Questions'!$N$2:$N$23,'3 Hazed Questions'!$A$2:$A$23,"Q3",'3 Hazed Questions'!$C$2:$C$23,K75)+SUMIFS('3 Hazed Questions'!$N$2:$N$23,'3 Hazed Questions'!$A$2:$A$23,"Q4",'3 Hazed Questions'!$C$2:$C$23,L75))</f>
        <v/>
      </c>
      <c r="X75" s="14" t="str">
        <f aca="false">IF(COUNTA(I75:L75)=0,"",INDEX(Fields!$B$2:$B$50,MATCH(SUBSTITUTE(INDEX($N$1:$W$1,MATCH(MAX($N75:$W75),$N75:$W75,0)),"Score: ",""),Fields!$A$2:$A$50,0)))</f>
        <v/>
      </c>
      <c r="Y75" s="14" t="str">
        <f aca="true">IF(COUNTA(I75:L75)=0,"",IF(LARGE($N75:$W75,2)=0,"-",INDEX(Fields!$B$2:$B$50,MATCH(SUBSTITUTE(INDEX($N$1:$W$1,IF(LARGE($N75:$W75,2)=MAX($N75:$W75),MATCH(MAX($N75:$W75),OFFSET($N75:$W75,0,MATCH(MAX($N75:$W75),$N75:$W75,0),1,10-MATCH(MAX($N75:$W75),$N75:$W75,0)),0)+MATCH(MAX($N75:$W75),$N75:$W75,0),MATCH(LARGE($N75:$W75,2),$N75:$W75,0))),"Score: ",""),Fields!$A$2:$A$50,0))))</f>
        <v/>
      </c>
      <c r="Z75" s="14" t="str">
        <f aca="false">IF(M75="","",IFERROR(INDEX('3 Hazed Questions'!$O$2:$O$23,MATCH(1,INDEX(('3 Hazed Questions'!$A$2:$A$23="Q5")*('3 Hazed Questions'!$C$2:$C$23=M75),0),0))&amp;"",""))</f>
        <v/>
      </c>
      <c r="AA75" s="18"/>
      <c r="AB75" s="18"/>
      <c r="AC75" s="19"/>
      <c r="AD75" s="19"/>
      <c r="AE75" s="18"/>
      <c r="AF75" s="18"/>
      <c r="AG75" s="18"/>
    </row>
    <row r="76" customFormat="false" ht="15" hidden="false" customHeight="false" outlineLevel="0" collapsed="false">
      <c r="A76" s="18"/>
      <c r="B76" s="19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4" t="str">
        <f aca="false">IF(COUNTA(I76:L76)=0,"",SUMIFS('3 Hazed Questions'!$E$2:$E$23,'3 Hazed Questions'!$A$2:$A$23,"Q1",'3 Hazed Questions'!$C$2:$C$23,I76)+SUMIFS('3 Hazed Questions'!$E$2:$E$23,'3 Hazed Questions'!$A$2:$A$23,"Q2",'3 Hazed Questions'!$C$2:$C$23,J76)+SUMIFS('3 Hazed Questions'!$E$2:$E$23,'3 Hazed Questions'!$A$2:$A$23,"Q3",'3 Hazed Questions'!$C$2:$C$23,K76)+SUMIFS('3 Hazed Questions'!$E$2:$E$23,'3 Hazed Questions'!$A$2:$A$23,"Q4",'3 Hazed Questions'!$C$2:$C$23,L76))</f>
        <v/>
      </c>
      <c r="O76" s="14" t="str">
        <f aca="false">IF(COUNTA(I76:L76)=0,"",SUMIFS('3 Hazed Questions'!$F$2:$F$23,'3 Hazed Questions'!$A$2:$A$23,"Q1",'3 Hazed Questions'!$C$2:$C$23,I76)+SUMIFS('3 Hazed Questions'!$F$2:$F$23,'3 Hazed Questions'!$A$2:$A$23,"Q2",'3 Hazed Questions'!$C$2:$C$23,J76)+SUMIFS('3 Hazed Questions'!$F$2:$F$23,'3 Hazed Questions'!$A$2:$A$23,"Q3",'3 Hazed Questions'!$C$2:$C$23,K76)+SUMIFS('3 Hazed Questions'!$F$2:$F$23,'3 Hazed Questions'!$A$2:$A$23,"Q4",'3 Hazed Questions'!$C$2:$C$23,L76))</f>
        <v/>
      </c>
      <c r="P76" s="14" t="str">
        <f aca="false">IF(COUNTA(I76:L76)=0,"",SUMIFS('3 Hazed Questions'!$G$2:$G$23,'3 Hazed Questions'!$A$2:$A$23,"Q1",'3 Hazed Questions'!$C$2:$C$23,I76)+SUMIFS('3 Hazed Questions'!$G$2:$G$23,'3 Hazed Questions'!$A$2:$A$23,"Q2",'3 Hazed Questions'!$C$2:$C$23,J76)+SUMIFS('3 Hazed Questions'!$G$2:$G$23,'3 Hazed Questions'!$A$2:$A$23,"Q3",'3 Hazed Questions'!$C$2:$C$23,K76)+SUMIFS('3 Hazed Questions'!$G$2:$G$23,'3 Hazed Questions'!$A$2:$A$23,"Q4",'3 Hazed Questions'!$C$2:$C$23,L76))</f>
        <v/>
      </c>
      <c r="Q76" s="14" t="str">
        <f aca="false">IF(COUNTA(I76:L76)=0,"",SUMIFS('3 Hazed Questions'!$H$2:$H$23,'3 Hazed Questions'!$A$2:$A$23,"Q1",'3 Hazed Questions'!$C$2:$C$23,I76)+SUMIFS('3 Hazed Questions'!$H$2:$H$23,'3 Hazed Questions'!$A$2:$A$23,"Q2",'3 Hazed Questions'!$C$2:$C$23,J76)+SUMIFS('3 Hazed Questions'!$H$2:$H$23,'3 Hazed Questions'!$A$2:$A$23,"Q3",'3 Hazed Questions'!$C$2:$C$23,K76)+SUMIFS('3 Hazed Questions'!$H$2:$H$23,'3 Hazed Questions'!$A$2:$A$23,"Q4",'3 Hazed Questions'!$C$2:$C$23,L76))</f>
        <v/>
      </c>
      <c r="R76" s="14" t="str">
        <f aca="false">IF(COUNTA(I76:L76)=0,"",SUMIFS('3 Hazed Questions'!$I$2:$I$23,'3 Hazed Questions'!$A$2:$A$23,"Q1",'3 Hazed Questions'!$C$2:$C$23,I76)+SUMIFS('3 Hazed Questions'!$I$2:$I$23,'3 Hazed Questions'!$A$2:$A$23,"Q2",'3 Hazed Questions'!$C$2:$C$23,J76)+SUMIFS('3 Hazed Questions'!$I$2:$I$23,'3 Hazed Questions'!$A$2:$A$23,"Q3",'3 Hazed Questions'!$C$2:$C$23,K76)+SUMIFS('3 Hazed Questions'!$I$2:$I$23,'3 Hazed Questions'!$A$2:$A$23,"Q4",'3 Hazed Questions'!$C$2:$C$23,L76))</f>
        <v/>
      </c>
      <c r="S76" s="14" t="str">
        <f aca="false">IF(COUNTA(I76:L76)=0,"",SUMIFS('3 Hazed Questions'!$J$2:$J$23,'3 Hazed Questions'!$A$2:$A$23,"Q1",'3 Hazed Questions'!$C$2:$C$23,I76)+SUMIFS('3 Hazed Questions'!$J$2:$J$23,'3 Hazed Questions'!$A$2:$A$23,"Q2",'3 Hazed Questions'!$C$2:$C$23,J76)+SUMIFS('3 Hazed Questions'!$J$2:$J$23,'3 Hazed Questions'!$A$2:$A$23,"Q3",'3 Hazed Questions'!$C$2:$C$23,K76)+SUMIFS('3 Hazed Questions'!$J$2:$J$23,'3 Hazed Questions'!$A$2:$A$23,"Q4",'3 Hazed Questions'!$C$2:$C$23,L76))</f>
        <v/>
      </c>
      <c r="T76" s="14" t="str">
        <f aca="false">IF(COUNTA(I76:L76)=0,"",SUMIFS('3 Hazed Questions'!$K$2:$K$23,'3 Hazed Questions'!$A$2:$A$23,"Q1",'3 Hazed Questions'!$C$2:$C$23,I76)+SUMIFS('3 Hazed Questions'!$K$2:$K$23,'3 Hazed Questions'!$A$2:$A$23,"Q2",'3 Hazed Questions'!$C$2:$C$23,J76)+SUMIFS('3 Hazed Questions'!$K$2:$K$23,'3 Hazed Questions'!$A$2:$A$23,"Q3",'3 Hazed Questions'!$C$2:$C$23,K76)+SUMIFS('3 Hazed Questions'!$K$2:$K$23,'3 Hazed Questions'!$A$2:$A$23,"Q4",'3 Hazed Questions'!$C$2:$C$23,L76))</f>
        <v/>
      </c>
      <c r="U76" s="14" t="str">
        <f aca="false">IF(COUNTA(I76:L76)=0,"",SUMIFS('3 Hazed Questions'!$L$2:$L$23,'3 Hazed Questions'!$A$2:$A$23,"Q1",'3 Hazed Questions'!$C$2:$C$23,I76)+SUMIFS('3 Hazed Questions'!$L$2:$L$23,'3 Hazed Questions'!$A$2:$A$23,"Q2",'3 Hazed Questions'!$C$2:$C$23,J76)+SUMIFS('3 Hazed Questions'!$L$2:$L$23,'3 Hazed Questions'!$A$2:$A$23,"Q3",'3 Hazed Questions'!$C$2:$C$23,K76)+SUMIFS('3 Hazed Questions'!$L$2:$L$23,'3 Hazed Questions'!$A$2:$A$23,"Q4",'3 Hazed Questions'!$C$2:$C$23,L76))</f>
        <v/>
      </c>
      <c r="V76" s="14" t="str">
        <f aca="false">IF(COUNTA(I76:L76)=0,"",SUMIFS('3 Hazed Questions'!$M$2:$M$23,'3 Hazed Questions'!$A$2:$A$23,"Q1",'3 Hazed Questions'!$C$2:$C$23,I76)+SUMIFS('3 Hazed Questions'!$M$2:$M$23,'3 Hazed Questions'!$A$2:$A$23,"Q2",'3 Hazed Questions'!$C$2:$C$23,J76)+SUMIFS('3 Hazed Questions'!$M$2:$M$23,'3 Hazed Questions'!$A$2:$A$23,"Q3",'3 Hazed Questions'!$C$2:$C$23,K76)+SUMIFS('3 Hazed Questions'!$M$2:$M$23,'3 Hazed Questions'!$A$2:$A$23,"Q4",'3 Hazed Questions'!$C$2:$C$23,L76))</f>
        <v/>
      </c>
      <c r="W76" s="14" t="str">
        <f aca="false">IF(COUNTA(I76:L76)=0,"",SUMIFS('3 Hazed Questions'!$N$2:$N$23,'3 Hazed Questions'!$A$2:$A$23,"Q1",'3 Hazed Questions'!$C$2:$C$23,I76)+SUMIFS('3 Hazed Questions'!$N$2:$N$23,'3 Hazed Questions'!$A$2:$A$23,"Q2",'3 Hazed Questions'!$C$2:$C$23,J76)+SUMIFS('3 Hazed Questions'!$N$2:$N$23,'3 Hazed Questions'!$A$2:$A$23,"Q3",'3 Hazed Questions'!$C$2:$C$23,K76)+SUMIFS('3 Hazed Questions'!$N$2:$N$23,'3 Hazed Questions'!$A$2:$A$23,"Q4",'3 Hazed Questions'!$C$2:$C$23,L76))</f>
        <v/>
      </c>
      <c r="X76" s="14" t="str">
        <f aca="false">IF(COUNTA(I76:L76)=0,"",INDEX(Fields!$B$2:$B$50,MATCH(SUBSTITUTE(INDEX($N$1:$W$1,MATCH(MAX($N76:$W76),$N76:$W76,0)),"Score: ",""),Fields!$A$2:$A$50,0)))</f>
        <v/>
      </c>
      <c r="Y76" s="14" t="str">
        <f aca="true">IF(COUNTA(I76:L76)=0,"",IF(LARGE($N76:$W76,2)=0,"-",INDEX(Fields!$B$2:$B$50,MATCH(SUBSTITUTE(INDEX($N$1:$W$1,IF(LARGE($N76:$W76,2)=MAX($N76:$W76),MATCH(MAX($N76:$W76),OFFSET($N76:$W76,0,MATCH(MAX($N76:$W76),$N76:$W76,0),1,10-MATCH(MAX($N76:$W76),$N76:$W76,0)),0)+MATCH(MAX($N76:$W76),$N76:$W76,0),MATCH(LARGE($N76:$W76,2),$N76:$W76,0))),"Score: ",""),Fields!$A$2:$A$50,0))))</f>
        <v/>
      </c>
      <c r="Z76" s="14" t="str">
        <f aca="false">IF(M76="","",IFERROR(INDEX('3 Hazed Questions'!$O$2:$O$23,MATCH(1,INDEX(('3 Hazed Questions'!$A$2:$A$23="Q5")*('3 Hazed Questions'!$C$2:$C$23=M76),0),0))&amp;"",""))</f>
        <v/>
      </c>
      <c r="AA76" s="18"/>
      <c r="AB76" s="18"/>
      <c r="AC76" s="19"/>
      <c r="AD76" s="19"/>
      <c r="AE76" s="18"/>
      <c r="AF76" s="18"/>
      <c r="AG76" s="18"/>
    </row>
    <row r="77" customFormat="false" ht="15" hidden="false" customHeight="false" outlineLevel="0" collapsed="false">
      <c r="A77" s="18"/>
      <c r="B77" s="19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4" t="str">
        <f aca="false">IF(COUNTA(I77:L77)=0,"",SUMIFS('3 Hazed Questions'!$E$2:$E$23,'3 Hazed Questions'!$A$2:$A$23,"Q1",'3 Hazed Questions'!$C$2:$C$23,I77)+SUMIFS('3 Hazed Questions'!$E$2:$E$23,'3 Hazed Questions'!$A$2:$A$23,"Q2",'3 Hazed Questions'!$C$2:$C$23,J77)+SUMIFS('3 Hazed Questions'!$E$2:$E$23,'3 Hazed Questions'!$A$2:$A$23,"Q3",'3 Hazed Questions'!$C$2:$C$23,K77)+SUMIFS('3 Hazed Questions'!$E$2:$E$23,'3 Hazed Questions'!$A$2:$A$23,"Q4",'3 Hazed Questions'!$C$2:$C$23,L77))</f>
        <v/>
      </c>
      <c r="O77" s="14" t="str">
        <f aca="false">IF(COUNTA(I77:L77)=0,"",SUMIFS('3 Hazed Questions'!$F$2:$F$23,'3 Hazed Questions'!$A$2:$A$23,"Q1",'3 Hazed Questions'!$C$2:$C$23,I77)+SUMIFS('3 Hazed Questions'!$F$2:$F$23,'3 Hazed Questions'!$A$2:$A$23,"Q2",'3 Hazed Questions'!$C$2:$C$23,J77)+SUMIFS('3 Hazed Questions'!$F$2:$F$23,'3 Hazed Questions'!$A$2:$A$23,"Q3",'3 Hazed Questions'!$C$2:$C$23,K77)+SUMIFS('3 Hazed Questions'!$F$2:$F$23,'3 Hazed Questions'!$A$2:$A$23,"Q4",'3 Hazed Questions'!$C$2:$C$23,L77))</f>
        <v/>
      </c>
      <c r="P77" s="14" t="str">
        <f aca="false">IF(COUNTA(I77:L77)=0,"",SUMIFS('3 Hazed Questions'!$G$2:$G$23,'3 Hazed Questions'!$A$2:$A$23,"Q1",'3 Hazed Questions'!$C$2:$C$23,I77)+SUMIFS('3 Hazed Questions'!$G$2:$G$23,'3 Hazed Questions'!$A$2:$A$23,"Q2",'3 Hazed Questions'!$C$2:$C$23,J77)+SUMIFS('3 Hazed Questions'!$G$2:$G$23,'3 Hazed Questions'!$A$2:$A$23,"Q3",'3 Hazed Questions'!$C$2:$C$23,K77)+SUMIFS('3 Hazed Questions'!$G$2:$G$23,'3 Hazed Questions'!$A$2:$A$23,"Q4",'3 Hazed Questions'!$C$2:$C$23,L77))</f>
        <v/>
      </c>
      <c r="Q77" s="14" t="str">
        <f aca="false">IF(COUNTA(I77:L77)=0,"",SUMIFS('3 Hazed Questions'!$H$2:$H$23,'3 Hazed Questions'!$A$2:$A$23,"Q1",'3 Hazed Questions'!$C$2:$C$23,I77)+SUMIFS('3 Hazed Questions'!$H$2:$H$23,'3 Hazed Questions'!$A$2:$A$23,"Q2",'3 Hazed Questions'!$C$2:$C$23,J77)+SUMIFS('3 Hazed Questions'!$H$2:$H$23,'3 Hazed Questions'!$A$2:$A$23,"Q3",'3 Hazed Questions'!$C$2:$C$23,K77)+SUMIFS('3 Hazed Questions'!$H$2:$H$23,'3 Hazed Questions'!$A$2:$A$23,"Q4",'3 Hazed Questions'!$C$2:$C$23,L77))</f>
        <v/>
      </c>
      <c r="R77" s="14" t="str">
        <f aca="false">IF(COUNTA(I77:L77)=0,"",SUMIFS('3 Hazed Questions'!$I$2:$I$23,'3 Hazed Questions'!$A$2:$A$23,"Q1",'3 Hazed Questions'!$C$2:$C$23,I77)+SUMIFS('3 Hazed Questions'!$I$2:$I$23,'3 Hazed Questions'!$A$2:$A$23,"Q2",'3 Hazed Questions'!$C$2:$C$23,J77)+SUMIFS('3 Hazed Questions'!$I$2:$I$23,'3 Hazed Questions'!$A$2:$A$23,"Q3",'3 Hazed Questions'!$C$2:$C$23,K77)+SUMIFS('3 Hazed Questions'!$I$2:$I$23,'3 Hazed Questions'!$A$2:$A$23,"Q4",'3 Hazed Questions'!$C$2:$C$23,L77))</f>
        <v/>
      </c>
      <c r="S77" s="14" t="str">
        <f aca="false">IF(COUNTA(I77:L77)=0,"",SUMIFS('3 Hazed Questions'!$J$2:$J$23,'3 Hazed Questions'!$A$2:$A$23,"Q1",'3 Hazed Questions'!$C$2:$C$23,I77)+SUMIFS('3 Hazed Questions'!$J$2:$J$23,'3 Hazed Questions'!$A$2:$A$23,"Q2",'3 Hazed Questions'!$C$2:$C$23,J77)+SUMIFS('3 Hazed Questions'!$J$2:$J$23,'3 Hazed Questions'!$A$2:$A$23,"Q3",'3 Hazed Questions'!$C$2:$C$23,K77)+SUMIFS('3 Hazed Questions'!$J$2:$J$23,'3 Hazed Questions'!$A$2:$A$23,"Q4",'3 Hazed Questions'!$C$2:$C$23,L77))</f>
        <v/>
      </c>
      <c r="T77" s="14" t="str">
        <f aca="false">IF(COUNTA(I77:L77)=0,"",SUMIFS('3 Hazed Questions'!$K$2:$K$23,'3 Hazed Questions'!$A$2:$A$23,"Q1",'3 Hazed Questions'!$C$2:$C$23,I77)+SUMIFS('3 Hazed Questions'!$K$2:$K$23,'3 Hazed Questions'!$A$2:$A$23,"Q2",'3 Hazed Questions'!$C$2:$C$23,J77)+SUMIFS('3 Hazed Questions'!$K$2:$K$23,'3 Hazed Questions'!$A$2:$A$23,"Q3",'3 Hazed Questions'!$C$2:$C$23,K77)+SUMIFS('3 Hazed Questions'!$K$2:$K$23,'3 Hazed Questions'!$A$2:$A$23,"Q4",'3 Hazed Questions'!$C$2:$C$23,L77))</f>
        <v/>
      </c>
      <c r="U77" s="14" t="str">
        <f aca="false">IF(COUNTA(I77:L77)=0,"",SUMIFS('3 Hazed Questions'!$L$2:$L$23,'3 Hazed Questions'!$A$2:$A$23,"Q1",'3 Hazed Questions'!$C$2:$C$23,I77)+SUMIFS('3 Hazed Questions'!$L$2:$L$23,'3 Hazed Questions'!$A$2:$A$23,"Q2",'3 Hazed Questions'!$C$2:$C$23,J77)+SUMIFS('3 Hazed Questions'!$L$2:$L$23,'3 Hazed Questions'!$A$2:$A$23,"Q3",'3 Hazed Questions'!$C$2:$C$23,K77)+SUMIFS('3 Hazed Questions'!$L$2:$L$23,'3 Hazed Questions'!$A$2:$A$23,"Q4",'3 Hazed Questions'!$C$2:$C$23,L77))</f>
        <v/>
      </c>
      <c r="V77" s="14" t="str">
        <f aca="false">IF(COUNTA(I77:L77)=0,"",SUMIFS('3 Hazed Questions'!$M$2:$M$23,'3 Hazed Questions'!$A$2:$A$23,"Q1",'3 Hazed Questions'!$C$2:$C$23,I77)+SUMIFS('3 Hazed Questions'!$M$2:$M$23,'3 Hazed Questions'!$A$2:$A$23,"Q2",'3 Hazed Questions'!$C$2:$C$23,J77)+SUMIFS('3 Hazed Questions'!$M$2:$M$23,'3 Hazed Questions'!$A$2:$A$23,"Q3",'3 Hazed Questions'!$C$2:$C$23,K77)+SUMIFS('3 Hazed Questions'!$M$2:$M$23,'3 Hazed Questions'!$A$2:$A$23,"Q4",'3 Hazed Questions'!$C$2:$C$23,L77))</f>
        <v/>
      </c>
      <c r="W77" s="14" t="str">
        <f aca="false">IF(COUNTA(I77:L77)=0,"",SUMIFS('3 Hazed Questions'!$N$2:$N$23,'3 Hazed Questions'!$A$2:$A$23,"Q1",'3 Hazed Questions'!$C$2:$C$23,I77)+SUMIFS('3 Hazed Questions'!$N$2:$N$23,'3 Hazed Questions'!$A$2:$A$23,"Q2",'3 Hazed Questions'!$C$2:$C$23,J77)+SUMIFS('3 Hazed Questions'!$N$2:$N$23,'3 Hazed Questions'!$A$2:$A$23,"Q3",'3 Hazed Questions'!$C$2:$C$23,K77)+SUMIFS('3 Hazed Questions'!$N$2:$N$23,'3 Hazed Questions'!$A$2:$A$23,"Q4",'3 Hazed Questions'!$C$2:$C$23,L77))</f>
        <v/>
      </c>
      <c r="X77" s="14" t="str">
        <f aca="false">IF(COUNTA(I77:L77)=0,"",INDEX(Fields!$B$2:$B$50,MATCH(SUBSTITUTE(INDEX($N$1:$W$1,MATCH(MAX($N77:$W77),$N77:$W77,0)),"Score: ",""),Fields!$A$2:$A$50,0)))</f>
        <v/>
      </c>
      <c r="Y77" s="14" t="str">
        <f aca="true">IF(COUNTA(I77:L77)=0,"",IF(LARGE($N77:$W77,2)=0,"-",INDEX(Fields!$B$2:$B$50,MATCH(SUBSTITUTE(INDEX($N$1:$W$1,IF(LARGE($N77:$W77,2)=MAX($N77:$W77),MATCH(MAX($N77:$W77),OFFSET($N77:$W77,0,MATCH(MAX($N77:$W77),$N77:$W77,0),1,10-MATCH(MAX($N77:$W77),$N77:$W77,0)),0)+MATCH(MAX($N77:$W77),$N77:$W77,0),MATCH(LARGE($N77:$W77,2),$N77:$W77,0))),"Score: ",""),Fields!$A$2:$A$50,0))))</f>
        <v/>
      </c>
      <c r="Z77" s="14" t="str">
        <f aca="false">IF(M77="","",IFERROR(INDEX('3 Hazed Questions'!$O$2:$O$23,MATCH(1,INDEX(('3 Hazed Questions'!$A$2:$A$23="Q5")*('3 Hazed Questions'!$C$2:$C$23=M77),0),0))&amp;"",""))</f>
        <v/>
      </c>
      <c r="AA77" s="18"/>
      <c r="AB77" s="18"/>
      <c r="AC77" s="19"/>
      <c r="AD77" s="19"/>
      <c r="AE77" s="18"/>
      <c r="AF77" s="18"/>
      <c r="AG77" s="18"/>
    </row>
    <row r="78" customFormat="false" ht="15" hidden="false" customHeight="false" outlineLevel="0" collapsed="false">
      <c r="A78" s="18"/>
      <c r="B78" s="19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4" t="str">
        <f aca="false">IF(COUNTA(I78:L78)=0,"",SUMIFS('3 Hazed Questions'!$E$2:$E$23,'3 Hazed Questions'!$A$2:$A$23,"Q1",'3 Hazed Questions'!$C$2:$C$23,I78)+SUMIFS('3 Hazed Questions'!$E$2:$E$23,'3 Hazed Questions'!$A$2:$A$23,"Q2",'3 Hazed Questions'!$C$2:$C$23,J78)+SUMIFS('3 Hazed Questions'!$E$2:$E$23,'3 Hazed Questions'!$A$2:$A$23,"Q3",'3 Hazed Questions'!$C$2:$C$23,K78)+SUMIFS('3 Hazed Questions'!$E$2:$E$23,'3 Hazed Questions'!$A$2:$A$23,"Q4",'3 Hazed Questions'!$C$2:$C$23,L78))</f>
        <v/>
      </c>
      <c r="O78" s="14" t="str">
        <f aca="false">IF(COUNTA(I78:L78)=0,"",SUMIFS('3 Hazed Questions'!$F$2:$F$23,'3 Hazed Questions'!$A$2:$A$23,"Q1",'3 Hazed Questions'!$C$2:$C$23,I78)+SUMIFS('3 Hazed Questions'!$F$2:$F$23,'3 Hazed Questions'!$A$2:$A$23,"Q2",'3 Hazed Questions'!$C$2:$C$23,J78)+SUMIFS('3 Hazed Questions'!$F$2:$F$23,'3 Hazed Questions'!$A$2:$A$23,"Q3",'3 Hazed Questions'!$C$2:$C$23,K78)+SUMIFS('3 Hazed Questions'!$F$2:$F$23,'3 Hazed Questions'!$A$2:$A$23,"Q4",'3 Hazed Questions'!$C$2:$C$23,L78))</f>
        <v/>
      </c>
      <c r="P78" s="14" t="str">
        <f aca="false">IF(COUNTA(I78:L78)=0,"",SUMIFS('3 Hazed Questions'!$G$2:$G$23,'3 Hazed Questions'!$A$2:$A$23,"Q1",'3 Hazed Questions'!$C$2:$C$23,I78)+SUMIFS('3 Hazed Questions'!$G$2:$G$23,'3 Hazed Questions'!$A$2:$A$23,"Q2",'3 Hazed Questions'!$C$2:$C$23,J78)+SUMIFS('3 Hazed Questions'!$G$2:$G$23,'3 Hazed Questions'!$A$2:$A$23,"Q3",'3 Hazed Questions'!$C$2:$C$23,K78)+SUMIFS('3 Hazed Questions'!$G$2:$G$23,'3 Hazed Questions'!$A$2:$A$23,"Q4",'3 Hazed Questions'!$C$2:$C$23,L78))</f>
        <v/>
      </c>
      <c r="Q78" s="14" t="str">
        <f aca="false">IF(COUNTA(I78:L78)=0,"",SUMIFS('3 Hazed Questions'!$H$2:$H$23,'3 Hazed Questions'!$A$2:$A$23,"Q1",'3 Hazed Questions'!$C$2:$C$23,I78)+SUMIFS('3 Hazed Questions'!$H$2:$H$23,'3 Hazed Questions'!$A$2:$A$23,"Q2",'3 Hazed Questions'!$C$2:$C$23,J78)+SUMIFS('3 Hazed Questions'!$H$2:$H$23,'3 Hazed Questions'!$A$2:$A$23,"Q3",'3 Hazed Questions'!$C$2:$C$23,K78)+SUMIFS('3 Hazed Questions'!$H$2:$H$23,'3 Hazed Questions'!$A$2:$A$23,"Q4",'3 Hazed Questions'!$C$2:$C$23,L78))</f>
        <v/>
      </c>
      <c r="R78" s="14" t="str">
        <f aca="false">IF(COUNTA(I78:L78)=0,"",SUMIFS('3 Hazed Questions'!$I$2:$I$23,'3 Hazed Questions'!$A$2:$A$23,"Q1",'3 Hazed Questions'!$C$2:$C$23,I78)+SUMIFS('3 Hazed Questions'!$I$2:$I$23,'3 Hazed Questions'!$A$2:$A$23,"Q2",'3 Hazed Questions'!$C$2:$C$23,J78)+SUMIFS('3 Hazed Questions'!$I$2:$I$23,'3 Hazed Questions'!$A$2:$A$23,"Q3",'3 Hazed Questions'!$C$2:$C$23,K78)+SUMIFS('3 Hazed Questions'!$I$2:$I$23,'3 Hazed Questions'!$A$2:$A$23,"Q4",'3 Hazed Questions'!$C$2:$C$23,L78))</f>
        <v/>
      </c>
      <c r="S78" s="14" t="str">
        <f aca="false">IF(COUNTA(I78:L78)=0,"",SUMIFS('3 Hazed Questions'!$J$2:$J$23,'3 Hazed Questions'!$A$2:$A$23,"Q1",'3 Hazed Questions'!$C$2:$C$23,I78)+SUMIFS('3 Hazed Questions'!$J$2:$J$23,'3 Hazed Questions'!$A$2:$A$23,"Q2",'3 Hazed Questions'!$C$2:$C$23,J78)+SUMIFS('3 Hazed Questions'!$J$2:$J$23,'3 Hazed Questions'!$A$2:$A$23,"Q3",'3 Hazed Questions'!$C$2:$C$23,K78)+SUMIFS('3 Hazed Questions'!$J$2:$J$23,'3 Hazed Questions'!$A$2:$A$23,"Q4",'3 Hazed Questions'!$C$2:$C$23,L78))</f>
        <v/>
      </c>
      <c r="T78" s="14" t="str">
        <f aca="false">IF(COUNTA(I78:L78)=0,"",SUMIFS('3 Hazed Questions'!$K$2:$K$23,'3 Hazed Questions'!$A$2:$A$23,"Q1",'3 Hazed Questions'!$C$2:$C$23,I78)+SUMIFS('3 Hazed Questions'!$K$2:$K$23,'3 Hazed Questions'!$A$2:$A$23,"Q2",'3 Hazed Questions'!$C$2:$C$23,J78)+SUMIFS('3 Hazed Questions'!$K$2:$K$23,'3 Hazed Questions'!$A$2:$A$23,"Q3",'3 Hazed Questions'!$C$2:$C$23,K78)+SUMIFS('3 Hazed Questions'!$K$2:$K$23,'3 Hazed Questions'!$A$2:$A$23,"Q4",'3 Hazed Questions'!$C$2:$C$23,L78))</f>
        <v/>
      </c>
      <c r="U78" s="14" t="str">
        <f aca="false">IF(COUNTA(I78:L78)=0,"",SUMIFS('3 Hazed Questions'!$L$2:$L$23,'3 Hazed Questions'!$A$2:$A$23,"Q1",'3 Hazed Questions'!$C$2:$C$23,I78)+SUMIFS('3 Hazed Questions'!$L$2:$L$23,'3 Hazed Questions'!$A$2:$A$23,"Q2",'3 Hazed Questions'!$C$2:$C$23,J78)+SUMIFS('3 Hazed Questions'!$L$2:$L$23,'3 Hazed Questions'!$A$2:$A$23,"Q3",'3 Hazed Questions'!$C$2:$C$23,K78)+SUMIFS('3 Hazed Questions'!$L$2:$L$23,'3 Hazed Questions'!$A$2:$A$23,"Q4",'3 Hazed Questions'!$C$2:$C$23,L78))</f>
        <v/>
      </c>
      <c r="V78" s="14" t="str">
        <f aca="false">IF(COUNTA(I78:L78)=0,"",SUMIFS('3 Hazed Questions'!$M$2:$M$23,'3 Hazed Questions'!$A$2:$A$23,"Q1",'3 Hazed Questions'!$C$2:$C$23,I78)+SUMIFS('3 Hazed Questions'!$M$2:$M$23,'3 Hazed Questions'!$A$2:$A$23,"Q2",'3 Hazed Questions'!$C$2:$C$23,J78)+SUMIFS('3 Hazed Questions'!$M$2:$M$23,'3 Hazed Questions'!$A$2:$A$23,"Q3",'3 Hazed Questions'!$C$2:$C$23,K78)+SUMIFS('3 Hazed Questions'!$M$2:$M$23,'3 Hazed Questions'!$A$2:$A$23,"Q4",'3 Hazed Questions'!$C$2:$C$23,L78))</f>
        <v/>
      </c>
      <c r="W78" s="14" t="str">
        <f aca="false">IF(COUNTA(I78:L78)=0,"",SUMIFS('3 Hazed Questions'!$N$2:$N$23,'3 Hazed Questions'!$A$2:$A$23,"Q1",'3 Hazed Questions'!$C$2:$C$23,I78)+SUMIFS('3 Hazed Questions'!$N$2:$N$23,'3 Hazed Questions'!$A$2:$A$23,"Q2",'3 Hazed Questions'!$C$2:$C$23,J78)+SUMIFS('3 Hazed Questions'!$N$2:$N$23,'3 Hazed Questions'!$A$2:$A$23,"Q3",'3 Hazed Questions'!$C$2:$C$23,K78)+SUMIFS('3 Hazed Questions'!$N$2:$N$23,'3 Hazed Questions'!$A$2:$A$23,"Q4",'3 Hazed Questions'!$C$2:$C$23,L78))</f>
        <v/>
      </c>
      <c r="X78" s="14" t="str">
        <f aca="false">IF(COUNTA(I78:L78)=0,"",INDEX(Fields!$B$2:$B$50,MATCH(SUBSTITUTE(INDEX($N$1:$W$1,MATCH(MAX($N78:$W78),$N78:$W78,0)),"Score: ",""),Fields!$A$2:$A$50,0)))</f>
        <v/>
      </c>
      <c r="Y78" s="14" t="str">
        <f aca="true">IF(COUNTA(I78:L78)=0,"",IF(LARGE($N78:$W78,2)=0,"-",INDEX(Fields!$B$2:$B$50,MATCH(SUBSTITUTE(INDEX($N$1:$W$1,IF(LARGE($N78:$W78,2)=MAX($N78:$W78),MATCH(MAX($N78:$W78),OFFSET($N78:$W78,0,MATCH(MAX($N78:$W78),$N78:$W78,0),1,10-MATCH(MAX($N78:$W78),$N78:$W78,0)),0)+MATCH(MAX($N78:$W78),$N78:$W78,0),MATCH(LARGE($N78:$W78,2),$N78:$W78,0))),"Score: ",""),Fields!$A$2:$A$50,0))))</f>
        <v/>
      </c>
      <c r="Z78" s="14" t="str">
        <f aca="false">IF(M78="","",IFERROR(INDEX('3 Hazed Questions'!$O$2:$O$23,MATCH(1,INDEX(('3 Hazed Questions'!$A$2:$A$23="Q5")*('3 Hazed Questions'!$C$2:$C$23=M78),0),0))&amp;"",""))</f>
        <v/>
      </c>
      <c r="AA78" s="18"/>
      <c r="AB78" s="18"/>
      <c r="AC78" s="19"/>
      <c r="AD78" s="19"/>
      <c r="AE78" s="18"/>
      <c r="AF78" s="18"/>
      <c r="AG78" s="18"/>
    </row>
    <row r="79" customFormat="false" ht="15" hidden="false" customHeight="false" outlineLevel="0" collapsed="false">
      <c r="A79" s="18"/>
      <c r="B79" s="19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4" t="str">
        <f aca="false">IF(COUNTA(I79:L79)=0,"",SUMIFS('3 Hazed Questions'!$E$2:$E$23,'3 Hazed Questions'!$A$2:$A$23,"Q1",'3 Hazed Questions'!$C$2:$C$23,I79)+SUMIFS('3 Hazed Questions'!$E$2:$E$23,'3 Hazed Questions'!$A$2:$A$23,"Q2",'3 Hazed Questions'!$C$2:$C$23,J79)+SUMIFS('3 Hazed Questions'!$E$2:$E$23,'3 Hazed Questions'!$A$2:$A$23,"Q3",'3 Hazed Questions'!$C$2:$C$23,K79)+SUMIFS('3 Hazed Questions'!$E$2:$E$23,'3 Hazed Questions'!$A$2:$A$23,"Q4",'3 Hazed Questions'!$C$2:$C$23,L79))</f>
        <v/>
      </c>
      <c r="O79" s="14" t="str">
        <f aca="false">IF(COUNTA(I79:L79)=0,"",SUMIFS('3 Hazed Questions'!$F$2:$F$23,'3 Hazed Questions'!$A$2:$A$23,"Q1",'3 Hazed Questions'!$C$2:$C$23,I79)+SUMIFS('3 Hazed Questions'!$F$2:$F$23,'3 Hazed Questions'!$A$2:$A$23,"Q2",'3 Hazed Questions'!$C$2:$C$23,J79)+SUMIFS('3 Hazed Questions'!$F$2:$F$23,'3 Hazed Questions'!$A$2:$A$23,"Q3",'3 Hazed Questions'!$C$2:$C$23,K79)+SUMIFS('3 Hazed Questions'!$F$2:$F$23,'3 Hazed Questions'!$A$2:$A$23,"Q4",'3 Hazed Questions'!$C$2:$C$23,L79))</f>
        <v/>
      </c>
      <c r="P79" s="14" t="str">
        <f aca="false">IF(COUNTA(I79:L79)=0,"",SUMIFS('3 Hazed Questions'!$G$2:$G$23,'3 Hazed Questions'!$A$2:$A$23,"Q1",'3 Hazed Questions'!$C$2:$C$23,I79)+SUMIFS('3 Hazed Questions'!$G$2:$G$23,'3 Hazed Questions'!$A$2:$A$23,"Q2",'3 Hazed Questions'!$C$2:$C$23,J79)+SUMIFS('3 Hazed Questions'!$G$2:$G$23,'3 Hazed Questions'!$A$2:$A$23,"Q3",'3 Hazed Questions'!$C$2:$C$23,K79)+SUMIFS('3 Hazed Questions'!$G$2:$G$23,'3 Hazed Questions'!$A$2:$A$23,"Q4",'3 Hazed Questions'!$C$2:$C$23,L79))</f>
        <v/>
      </c>
      <c r="Q79" s="14" t="str">
        <f aca="false">IF(COUNTA(I79:L79)=0,"",SUMIFS('3 Hazed Questions'!$H$2:$H$23,'3 Hazed Questions'!$A$2:$A$23,"Q1",'3 Hazed Questions'!$C$2:$C$23,I79)+SUMIFS('3 Hazed Questions'!$H$2:$H$23,'3 Hazed Questions'!$A$2:$A$23,"Q2",'3 Hazed Questions'!$C$2:$C$23,J79)+SUMIFS('3 Hazed Questions'!$H$2:$H$23,'3 Hazed Questions'!$A$2:$A$23,"Q3",'3 Hazed Questions'!$C$2:$C$23,K79)+SUMIFS('3 Hazed Questions'!$H$2:$H$23,'3 Hazed Questions'!$A$2:$A$23,"Q4",'3 Hazed Questions'!$C$2:$C$23,L79))</f>
        <v/>
      </c>
      <c r="R79" s="14" t="str">
        <f aca="false">IF(COUNTA(I79:L79)=0,"",SUMIFS('3 Hazed Questions'!$I$2:$I$23,'3 Hazed Questions'!$A$2:$A$23,"Q1",'3 Hazed Questions'!$C$2:$C$23,I79)+SUMIFS('3 Hazed Questions'!$I$2:$I$23,'3 Hazed Questions'!$A$2:$A$23,"Q2",'3 Hazed Questions'!$C$2:$C$23,J79)+SUMIFS('3 Hazed Questions'!$I$2:$I$23,'3 Hazed Questions'!$A$2:$A$23,"Q3",'3 Hazed Questions'!$C$2:$C$23,K79)+SUMIFS('3 Hazed Questions'!$I$2:$I$23,'3 Hazed Questions'!$A$2:$A$23,"Q4",'3 Hazed Questions'!$C$2:$C$23,L79))</f>
        <v/>
      </c>
      <c r="S79" s="14" t="str">
        <f aca="false">IF(COUNTA(I79:L79)=0,"",SUMIFS('3 Hazed Questions'!$J$2:$J$23,'3 Hazed Questions'!$A$2:$A$23,"Q1",'3 Hazed Questions'!$C$2:$C$23,I79)+SUMIFS('3 Hazed Questions'!$J$2:$J$23,'3 Hazed Questions'!$A$2:$A$23,"Q2",'3 Hazed Questions'!$C$2:$C$23,J79)+SUMIFS('3 Hazed Questions'!$J$2:$J$23,'3 Hazed Questions'!$A$2:$A$23,"Q3",'3 Hazed Questions'!$C$2:$C$23,K79)+SUMIFS('3 Hazed Questions'!$J$2:$J$23,'3 Hazed Questions'!$A$2:$A$23,"Q4",'3 Hazed Questions'!$C$2:$C$23,L79))</f>
        <v/>
      </c>
      <c r="T79" s="14" t="str">
        <f aca="false">IF(COUNTA(I79:L79)=0,"",SUMIFS('3 Hazed Questions'!$K$2:$K$23,'3 Hazed Questions'!$A$2:$A$23,"Q1",'3 Hazed Questions'!$C$2:$C$23,I79)+SUMIFS('3 Hazed Questions'!$K$2:$K$23,'3 Hazed Questions'!$A$2:$A$23,"Q2",'3 Hazed Questions'!$C$2:$C$23,J79)+SUMIFS('3 Hazed Questions'!$K$2:$K$23,'3 Hazed Questions'!$A$2:$A$23,"Q3",'3 Hazed Questions'!$C$2:$C$23,K79)+SUMIFS('3 Hazed Questions'!$K$2:$K$23,'3 Hazed Questions'!$A$2:$A$23,"Q4",'3 Hazed Questions'!$C$2:$C$23,L79))</f>
        <v/>
      </c>
      <c r="U79" s="14" t="str">
        <f aca="false">IF(COUNTA(I79:L79)=0,"",SUMIFS('3 Hazed Questions'!$L$2:$L$23,'3 Hazed Questions'!$A$2:$A$23,"Q1",'3 Hazed Questions'!$C$2:$C$23,I79)+SUMIFS('3 Hazed Questions'!$L$2:$L$23,'3 Hazed Questions'!$A$2:$A$23,"Q2",'3 Hazed Questions'!$C$2:$C$23,J79)+SUMIFS('3 Hazed Questions'!$L$2:$L$23,'3 Hazed Questions'!$A$2:$A$23,"Q3",'3 Hazed Questions'!$C$2:$C$23,K79)+SUMIFS('3 Hazed Questions'!$L$2:$L$23,'3 Hazed Questions'!$A$2:$A$23,"Q4",'3 Hazed Questions'!$C$2:$C$23,L79))</f>
        <v/>
      </c>
      <c r="V79" s="14" t="str">
        <f aca="false">IF(COUNTA(I79:L79)=0,"",SUMIFS('3 Hazed Questions'!$M$2:$M$23,'3 Hazed Questions'!$A$2:$A$23,"Q1",'3 Hazed Questions'!$C$2:$C$23,I79)+SUMIFS('3 Hazed Questions'!$M$2:$M$23,'3 Hazed Questions'!$A$2:$A$23,"Q2",'3 Hazed Questions'!$C$2:$C$23,J79)+SUMIFS('3 Hazed Questions'!$M$2:$M$23,'3 Hazed Questions'!$A$2:$A$23,"Q3",'3 Hazed Questions'!$C$2:$C$23,K79)+SUMIFS('3 Hazed Questions'!$M$2:$M$23,'3 Hazed Questions'!$A$2:$A$23,"Q4",'3 Hazed Questions'!$C$2:$C$23,L79))</f>
        <v/>
      </c>
      <c r="W79" s="14" t="str">
        <f aca="false">IF(COUNTA(I79:L79)=0,"",SUMIFS('3 Hazed Questions'!$N$2:$N$23,'3 Hazed Questions'!$A$2:$A$23,"Q1",'3 Hazed Questions'!$C$2:$C$23,I79)+SUMIFS('3 Hazed Questions'!$N$2:$N$23,'3 Hazed Questions'!$A$2:$A$23,"Q2",'3 Hazed Questions'!$C$2:$C$23,J79)+SUMIFS('3 Hazed Questions'!$N$2:$N$23,'3 Hazed Questions'!$A$2:$A$23,"Q3",'3 Hazed Questions'!$C$2:$C$23,K79)+SUMIFS('3 Hazed Questions'!$N$2:$N$23,'3 Hazed Questions'!$A$2:$A$23,"Q4",'3 Hazed Questions'!$C$2:$C$23,L79))</f>
        <v/>
      </c>
      <c r="X79" s="14" t="str">
        <f aca="false">IF(COUNTA(I79:L79)=0,"",INDEX(Fields!$B$2:$B$50,MATCH(SUBSTITUTE(INDEX($N$1:$W$1,MATCH(MAX($N79:$W79),$N79:$W79,0)),"Score: ",""),Fields!$A$2:$A$50,0)))</f>
        <v/>
      </c>
      <c r="Y79" s="14" t="str">
        <f aca="true">IF(COUNTA(I79:L79)=0,"",IF(LARGE($N79:$W79,2)=0,"-",INDEX(Fields!$B$2:$B$50,MATCH(SUBSTITUTE(INDEX($N$1:$W$1,IF(LARGE($N79:$W79,2)=MAX($N79:$W79),MATCH(MAX($N79:$W79),OFFSET($N79:$W79,0,MATCH(MAX($N79:$W79),$N79:$W79,0),1,10-MATCH(MAX($N79:$W79),$N79:$W79,0)),0)+MATCH(MAX($N79:$W79),$N79:$W79,0),MATCH(LARGE($N79:$W79,2),$N79:$W79,0))),"Score: ",""),Fields!$A$2:$A$50,0))))</f>
        <v/>
      </c>
      <c r="Z79" s="14" t="str">
        <f aca="false">IF(M79="","",IFERROR(INDEX('3 Hazed Questions'!$O$2:$O$23,MATCH(1,INDEX(('3 Hazed Questions'!$A$2:$A$23="Q5")*('3 Hazed Questions'!$C$2:$C$23=M79),0),0))&amp;"",""))</f>
        <v/>
      </c>
      <c r="AA79" s="18"/>
      <c r="AB79" s="18"/>
      <c r="AC79" s="19"/>
      <c r="AD79" s="19"/>
      <c r="AE79" s="18"/>
      <c r="AF79" s="18"/>
      <c r="AG79" s="18"/>
    </row>
    <row r="80" customFormat="false" ht="15" hidden="false" customHeight="false" outlineLevel="0" collapsed="false">
      <c r="A80" s="18"/>
      <c r="B80" s="19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4" t="str">
        <f aca="false">IF(COUNTA(I80:L80)=0,"",SUMIFS('3 Hazed Questions'!$E$2:$E$23,'3 Hazed Questions'!$A$2:$A$23,"Q1",'3 Hazed Questions'!$C$2:$C$23,I80)+SUMIFS('3 Hazed Questions'!$E$2:$E$23,'3 Hazed Questions'!$A$2:$A$23,"Q2",'3 Hazed Questions'!$C$2:$C$23,J80)+SUMIFS('3 Hazed Questions'!$E$2:$E$23,'3 Hazed Questions'!$A$2:$A$23,"Q3",'3 Hazed Questions'!$C$2:$C$23,K80)+SUMIFS('3 Hazed Questions'!$E$2:$E$23,'3 Hazed Questions'!$A$2:$A$23,"Q4",'3 Hazed Questions'!$C$2:$C$23,L80))</f>
        <v/>
      </c>
      <c r="O80" s="14" t="str">
        <f aca="false">IF(COUNTA(I80:L80)=0,"",SUMIFS('3 Hazed Questions'!$F$2:$F$23,'3 Hazed Questions'!$A$2:$A$23,"Q1",'3 Hazed Questions'!$C$2:$C$23,I80)+SUMIFS('3 Hazed Questions'!$F$2:$F$23,'3 Hazed Questions'!$A$2:$A$23,"Q2",'3 Hazed Questions'!$C$2:$C$23,J80)+SUMIFS('3 Hazed Questions'!$F$2:$F$23,'3 Hazed Questions'!$A$2:$A$23,"Q3",'3 Hazed Questions'!$C$2:$C$23,K80)+SUMIFS('3 Hazed Questions'!$F$2:$F$23,'3 Hazed Questions'!$A$2:$A$23,"Q4",'3 Hazed Questions'!$C$2:$C$23,L80))</f>
        <v/>
      </c>
      <c r="P80" s="14" t="str">
        <f aca="false">IF(COUNTA(I80:L80)=0,"",SUMIFS('3 Hazed Questions'!$G$2:$G$23,'3 Hazed Questions'!$A$2:$A$23,"Q1",'3 Hazed Questions'!$C$2:$C$23,I80)+SUMIFS('3 Hazed Questions'!$G$2:$G$23,'3 Hazed Questions'!$A$2:$A$23,"Q2",'3 Hazed Questions'!$C$2:$C$23,J80)+SUMIFS('3 Hazed Questions'!$G$2:$G$23,'3 Hazed Questions'!$A$2:$A$23,"Q3",'3 Hazed Questions'!$C$2:$C$23,K80)+SUMIFS('3 Hazed Questions'!$G$2:$G$23,'3 Hazed Questions'!$A$2:$A$23,"Q4",'3 Hazed Questions'!$C$2:$C$23,L80))</f>
        <v/>
      </c>
      <c r="Q80" s="14" t="str">
        <f aca="false">IF(COUNTA(I80:L80)=0,"",SUMIFS('3 Hazed Questions'!$H$2:$H$23,'3 Hazed Questions'!$A$2:$A$23,"Q1",'3 Hazed Questions'!$C$2:$C$23,I80)+SUMIFS('3 Hazed Questions'!$H$2:$H$23,'3 Hazed Questions'!$A$2:$A$23,"Q2",'3 Hazed Questions'!$C$2:$C$23,J80)+SUMIFS('3 Hazed Questions'!$H$2:$H$23,'3 Hazed Questions'!$A$2:$A$23,"Q3",'3 Hazed Questions'!$C$2:$C$23,K80)+SUMIFS('3 Hazed Questions'!$H$2:$H$23,'3 Hazed Questions'!$A$2:$A$23,"Q4",'3 Hazed Questions'!$C$2:$C$23,L80))</f>
        <v/>
      </c>
      <c r="R80" s="14" t="str">
        <f aca="false">IF(COUNTA(I80:L80)=0,"",SUMIFS('3 Hazed Questions'!$I$2:$I$23,'3 Hazed Questions'!$A$2:$A$23,"Q1",'3 Hazed Questions'!$C$2:$C$23,I80)+SUMIFS('3 Hazed Questions'!$I$2:$I$23,'3 Hazed Questions'!$A$2:$A$23,"Q2",'3 Hazed Questions'!$C$2:$C$23,J80)+SUMIFS('3 Hazed Questions'!$I$2:$I$23,'3 Hazed Questions'!$A$2:$A$23,"Q3",'3 Hazed Questions'!$C$2:$C$23,K80)+SUMIFS('3 Hazed Questions'!$I$2:$I$23,'3 Hazed Questions'!$A$2:$A$23,"Q4",'3 Hazed Questions'!$C$2:$C$23,L80))</f>
        <v/>
      </c>
      <c r="S80" s="14" t="str">
        <f aca="false">IF(COUNTA(I80:L80)=0,"",SUMIFS('3 Hazed Questions'!$J$2:$J$23,'3 Hazed Questions'!$A$2:$A$23,"Q1",'3 Hazed Questions'!$C$2:$C$23,I80)+SUMIFS('3 Hazed Questions'!$J$2:$J$23,'3 Hazed Questions'!$A$2:$A$23,"Q2",'3 Hazed Questions'!$C$2:$C$23,J80)+SUMIFS('3 Hazed Questions'!$J$2:$J$23,'3 Hazed Questions'!$A$2:$A$23,"Q3",'3 Hazed Questions'!$C$2:$C$23,K80)+SUMIFS('3 Hazed Questions'!$J$2:$J$23,'3 Hazed Questions'!$A$2:$A$23,"Q4",'3 Hazed Questions'!$C$2:$C$23,L80))</f>
        <v/>
      </c>
      <c r="T80" s="14" t="str">
        <f aca="false">IF(COUNTA(I80:L80)=0,"",SUMIFS('3 Hazed Questions'!$K$2:$K$23,'3 Hazed Questions'!$A$2:$A$23,"Q1",'3 Hazed Questions'!$C$2:$C$23,I80)+SUMIFS('3 Hazed Questions'!$K$2:$K$23,'3 Hazed Questions'!$A$2:$A$23,"Q2",'3 Hazed Questions'!$C$2:$C$23,J80)+SUMIFS('3 Hazed Questions'!$K$2:$K$23,'3 Hazed Questions'!$A$2:$A$23,"Q3",'3 Hazed Questions'!$C$2:$C$23,K80)+SUMIFS('3 Hazed Questions'!$K$2:$K$23,'3 Hazed Questions'!$A$2:$A$23,"Q4",'3 Hazed Questions'!$C$2:$C$23,L80))</f>
        <v/>
      </c>
      <c r="U80" s="14" t="str">
        <f aca="false">IF(COUNTA(I80:L80)=0,"",SUMIFS('3 Hazed Questions'!$L$2:$L$23,'3 Hazed Questions'!$A$2:$A$23,"Q1",'3 Hazed Questions'!$C$2:$C$23,I80)+SUMIFS('3 Hazed Questions'!$L$2:$L$23,'3 Hazed Questions'!$A$2:$A$23,"Q2",'3 Hazed Questions'!$C$2:$C$23,J80)+SUMIFS('3 Hazed Questions'!$L$2:$L$23,'3 Hazed Questions'!$A$2:$A$23,"Q3",'3 Hazed Questions'!$C$2:$C$23,K80)+SUMIFS('3 Hazed Questions'!$L$2:$L$23,'3 Hazed Questions'!$A$2:$A$23,"Q4",'3 Hazed Questions'!$C$2:$C$23,L80))</f>
        <v/>
      </c>
      <c r="V80" s="14" t="str">
        <f aca="false">IF(COUNTA(I80:L80)=0,"",SUMIFS('3 Hazed Questions'!$M$2:$M$23,'3 Hazed Questions'!$A$2:$A$23,"Q1",'3 Hazed Questions'!$C$2:$C$23,I80)+SUMIFS('3 Hazed Questions'!$M$2:$M$23,'3 Hazed Questions'!$A$2:$A$23,"Q2",'3 Hazed Questions'!$C$2:$C$23,J80)+SUMIFS('3 Hazed Questions'!$M$2:$M$23,'3 Hazed Questions'!$A$2:$A$23,"Q3",'3 Hazed Questions'!$C$2:$C$23,K80)+SUMIFS('3 Hazed Questions'!$M$2:$M$23,'3 Hazed Questions'!$A$2:$A$23,"Q4",'3 Hazed Questions'!$C$2:$C$23,L80))</f>
        <v/>
      </c>
      <c r="W80" s="14" t="str">
        <f aca="false">IF(COUNTA(I80:L80)=0,"",SUMIFS('3 Hazed Questions'!$N$2:$N$23,'3 Hazed Questions'!$A$2:$A$23,"Q1",'3 Hazed Questions'!$C$2:$C$23,I80)+SUMIFS('3 Hazed Questions'!$N$2:$N$23,'3 Hazed Questions'!$A$2:$A$23,"Q2",'3 Hazed Questions'!$C$2:$C$23,J80)+SUMIFS('3 Hazed Questions'!$N$2:$N$23,'3 Hazed Questions'!$A$2:$A$23,"Q3",'3 Hazed Questions'!$C$2:$C$23,K80)+SUMIFS('3 Hazed Questions'!$N$2:$N$23,'3 Hazed Questions'!$A$2:$A$23,"Q4",'3 Hazed Questions'!$C$2:$C$23,L80))</f>
        <v/>
      </c>
      <c r="X80" s="14" t="str">
        <f aca="false">IF(COUNTA(I80:L80)=0,"",INDEX(Fields!$B$2:$B$50,MATCH(SUBSTITUTE(INDEX($N$1:$W$1,MATCH(MAX($N80:$W80),$N80:$W80,0)),"Score: ",""),Fields!$A$2:$A$50,0)))</f>
        <v/>
      </c>
      <c r="Y80" s="14" t="str">
        <f aca="true">IF(COUNTA(I80:L80)=0,"",IF(LARGE($N80:$W80,2)=0,"-",INDEX(Fields!$B$2:$B$50,MATCH(SUBSTITUTE(INDEX($N$1:$W$1,IF(LARGE($N80:$W80,2)=MAX($N80:$W80),MATCH(MAX($N80:$W80),OFFSET($N80:$W80,0,MATCH(MAX($N80:$W80),$N80:$W80,0),1,10-MATCH(MAX($N80:$W80),$N80:$W80,0)),0)+MATCH(MAX($N80:$W80),$N80:$W80,0),MATCH(LARGE($N80:$W80,2),$N80:$W80,0))),"Score: ",""),Fields!$A$2:$A$50,0))))</f>
        <v/>
      </c>
      <c r="Z80" s="14" t="str">
        <f aca="false">IF(M80="","",IFERROR(INDEX('3 Hazed Questions'!$O$2:$O$23,MATCH(1,INDEX(('3 Hazed Questions'!$A$2:$A$23="Q5")*('3 Hazed Questions'!$C$2:$C$23=M80),0),0))&amp;"",""))</f>
        <v/>
      </c>
      <c r="AA80" s="18"/>
      <c r="AB80" s="18"/>
      <c r="AC80" s="19"/>
      <c r="AD80" s="19"/>
      <c r="AE80" s="18"/>
      <c r="AF80" s="18"/>
      <c r="AG80" s="18"/>
    </row>
    <row r="81" customFormat="false" ht="15" hidden="false" customHeight="false" outlineLevel="0" collapsed="false">
      <c r="A81" s="18"/>
      <c r="B81" s="19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4" t="str">
        <f aca="false">IF(COUNTA(I81:L81)=0,"",SUMIFS('3 Hazed Questions'!$E$2:$E$23,'3 Hazed Questions'!$A$2:$A$23,"Q1",'3 Hazed Questions'!$C$2:$C$23,I81)+SUMIFS('3 Hazed Questions'!$E$2:$E$23,'3 Hazed Questions'!$A$2:$A$23,"Q2",'3 Hazed Questions'!$C$2:$C$23,J81)+SUMIFS('3 Hazed Questions'!$E$2:$E$23,'3 Hazed Questions'!$A$2:$A$23,"Q3",'3 Hazed Questions'!$C$2:$C$23,K81)+SUMIFS('3 Hazed Questions'!$E$2:$E$23,'3 Hazed Questions'!$A$2:$A$23,"Q4",'3 Hazed Questions'!$C$2:$C$23,L81))</f>
        <v/>
      </c>
      <c r="O81" s="14" t="str">
        <f aca="false">IF(COUNTA(I81:L81)=0,"",SUMIFS('3 Hazed Questions'!$F$2:$F$23,'3 Hazed Questions'!$A$2:$A$23,"Q1",'3 Hazed Questions'!$C$2:$C$23,I81)+SUMIFS('3 Hazed Questions'!$F$2:$F$23,'3 Hazed Questions'!$A$2:$A$23,"Q2",'3 Hazed Questions'!$C$2:$C$23,J81)+SUMIFS('3 Hazed Questions'!$F$2:$F$23,'3 Hazed Questions'!$A$2:$A$23,"Q3",'3 Hazed Questions'!$C$2:$C$23,K81)+SUMIFS('3 Hazed Questions'!$F$2:$F$23,'3 Hazed Questions'!$A$2:$A$23,"Q4",'3 Hazed Questions'!$C$2:$C$23,L81))</f>
        <v/>
      </c>
      <c r="P81" s="14" t="str">
        <f aca="false">IF(COUNTA(I81:L81)=0,"",SUMIFS('3 Hazed Questions'!$G$2:$G$23,'3 Hazed Questions'!$A$2:$A$23,"Q1",'3 Hazed Questions'!$C$2:$C$23,I81)+SUMIFS('3 Hazed Questions'!$G$2:$G$23,'3 Hazed Questions'!$A$2:$A$23,"Q2",'3 Hazed Questions'!$C$2:$C$23,J81)+SUMIFS('3 Hazed Questions'!$G$2:$G$23,'3 Hazed Questions'!$A$2:$A$23,"Q3",'3 Hazed Questions'!$C$2:$C$23,K81)+SUMIFS('3 Hazed Questions'!$G$2:$G$23,'3 Hazed Questions'!$A$2:$A$23,"Q4",'3 Hazed Questions'!$C$2:$C$23,L81))</f>
        <v/>
      </c>
      <c r="Q81" s="14" t="str">
        <f aca="false">IF(COUNTA(I81:L81)=0,"",SUMIFS('3 Hazed Questions'!$H$2:$H$23,'3 Hazed Questions'!$A$2:$A$23,"Q1",'3 Hazed Questions'!$C$2:$C$23,I81)+SUMIFS('3 Hazed Questions'!$H$2:$H$23,'3 Hazed Questions'!$A$2:$A$23,"Q2",'3 Hazed Questions'!$C$2:$C$23,J81)+SUMIFS('3 Hazed Questions'!$H$2:$H$23,'3 Hazed Questions'!$A$2:$A$23,"Q3",'3 Hazed Questions'!$C$2:$C$23,K81)+SUMIFS('3 Hazed Questions'!$H$2:$H$23,'3 Hazed Questions'!$A$2:$A$23,"Q4",'3 Hazed Questions'!$C$2:$C$23,L81))</f>
        <v/>
      </c>
      <c r="R81" s="14" t="str">
        <f aca="false">IF(COUNTA(I81:L81)=0,"",SUMIFS('3 Hazed Questions'!$I$2:$I$23,'3 Hazed Questions'!$A$2:$A$23,"Q1",'3 Hazed Questions'!$C$2:$C$23,I81)+SUMIFS('3 Hazed Questions'!$I$2:$I$23,'3 Hazed Questions'!$A$2:$A$23,"Q2",'3 Hazed Questions'!$C$2:$C$23,J81)+SUMIFS('3 Hazed Questions'!$I$2:$I$23,'3 Hazed Questions'!$A$2:$A$23,"Q3",'3 Hazed Questions'!$C$2:$C$23,K81)+SUMIFS('3 Hazed Questions'!$I$2:$I$23,'3 Hazed Questions'!$A$2:$A$23,"Q4",'3 Hazed Questions'!$C$2:$C$23,L81))</f>
        <v/>
      </c>
      <c r="S81" s="14" t="str">
        <f aca="false">IF(COUNTA(I81:L81)=0,"",SUMIFS('3 Hazed Questions'!$J$2:$J$23,'3 Hazed Questions'!$A$2:$A$23,"Q1",'3 Hazed Questions'!$C$2:$C$23,I81)+SUMIFS('3 Hazed Questions'!$J$2:$J$23,'3 Hazed Questions'!$A$2:$A$23,"Q2",'3 Hazed Questions'!$C$2:$C$23,J81)+SUMIFS('3 Hazed Questions'!$J$2:$J$23,'3 Hazed Questions'!$A$2:$A$23,"Q3",'3 Hazed Questions'!$C$2:$C$23,K81)+SUMIFS('3 Hazed Questions'!$J$2:$J$23,'3 Hazed Questions'!$A$2:$A$23,"Q4",'3 Hazed Questions'!$C$2:$C$23,L81))</f>
        <v/>
      </c>
      <c r="T81" s="14" t="str">
        <f aca="false">IF(COUNTA(I81:L81)=0,"",SUMIFS('3 Hazed Questions'!$K$2:$K$23,'3 Hazed Questions'!$A$2:$A$23,"Q1",'3 Hazed Questions'!$C$2:$C$23,I81)+SUMIFS('3 Hazed Questions'!$K$2:$K$23,'3 Hazed Questions'!$A$2:$A$23,"Q2",'3 Hazed Questions'!$C$2:$C$23,J81)+SUMIFS('3 Hazed Questions'!$K$2:$K$23,'3 Hazed Questions'!$A$2:$A$23,"Q3",'3 Hazed Questions'!$C$2:$C$23,K81)+SUMIFS('3 Hazed Questions'!$K$2:$K$23,'3 Hazed Questions'!$A$2:$A$23,"Q4",'3 Hazed Questions'!$C$2:$C$23,L81))</f>
        <v/>
      </c>
      <c r="U81" s="14" t="str">
        <f aca="false">IF(COUNTA(I81:L81)=0,"",SUMIFS('3 Hazed Questions'!$L$2:$L$23,'3 Hazed Questions'!$A$2:$A$23,"Q1",'3 Hazed Questions'!$C$2:$C$23,I81)+SUMIFS('3 Hazed Questions'!$L$2:$L$23,'3 Hazed Questions'!$A$2:$A$23,"Q2",'3 Hazed Questions'!$C$2:$C$23,J81)+SUMIFS('3 Hazed Questions'!$L$2:$L$23,'3 Hazed Questions'!$A$2:$A$23,"Q3",'3 Hazed Questions'!$C$2:$C$23,K81)+SUMIFS('3 Hazed Questions'!$L$2:$L$23,'3 Hazed Questions'!$A$2:$A$23,"Q4",'3 Hazed Questions'!$C$2:$C$23,L81))</f>
        <v/>
      </c>
      <c r="V81" s="14" t="str">
        <f aca="false">IF(COUNTA(I81:L81)=0,"",SUMIFS('3 Hazed Questions'!$M$2:$M$23,'3 Hazed Questions'!$A$2:$A$23,"Q1",'3 Hazed Questions'!$C$2:$C$23,I81)+SUMIFS('3 Hazed Questions'!$M$2:$M$23,'3 Hazed Questions'!$A$2:$A$23,"Q2",'3 Hazed Questions'!$C$2:$C$23,J81)+SUMIFS('3 Hazed Questions'!$M$2:$M$23,'3 Hazed Questions'!$A$2:$A$23,"Q3",'3 Hazed Questions'!$C$2:$C$23,K81)+SUMIFS('3 Hazed Questions'!$M$2:$M$23,'3 Hazed Questions'!$A$2:$A$23,"Q4",'3 Hazed Questions'!$C$2:$C$23,L81))</f>
        <v/>
      </c>
      <c r="W81" s="14" t="str">
        <f aca="false">IF(COUNTA(I81:L81)=0,"",SUMIFS('3 Hazed Questions'!$N$2:$N$23,'3 Hazed Questions'!$A$2:$A$23,"Q1",'3 Hazed Questions'!$C$2:$C$23,I81)+SUMIFS('3 Hazed Questions'!$N$2:$N$23,'3 Hazed Questions'!$A$2:$A$23,"Q2",'3 Hazed Questions'!$C$2:$C$23,J81)+SUMIFS('3 Hazed Questions'!$N$2:$N$23,'3 Hazed Questions'!$A$2:$A$23,"Q3",'3 Hazed Questions'!$C$2:$C$23,K81)+SUMIFS('3 Hazed Questions'!$N$2:$N$23,'3 Hazed Questions'!$A$2:$A$23,"Q4",'3 Hazed Questions'!$C$2:$C$23,L81))</f>
        <v/>
      </c>
      <c r="X81" s="14" t="str">
        <f aca="false">IF(COUNTA(I81:L81)=0,"",INDEX(Fields!$B$2:$B$50,MATCH(SUBSTITUTE(INDEX($N$1:$W$1,MATCH(MAX($N81:$W81),$N81:$W81,0)),"Score: ",""),Fields!$A$2:$A$50,0)))</f>
        <v/>
      </c>
      <c r="Y81" s="14" t="str">
        <f aca="true">IF(COUNTA(I81:L81)=0,"",IF(LARGE($N81:$W81,2)=0,"-",INDEX(Fields!$B$2:$B$50,MATCH(SUBSTITUTE(INDEX($N$1:$W$1,IF(LARGE($N81:$W81,2)=MAX($N81:$W81),MATCH(MAX($N81:$W81),OFFSET($N81:$W81,0,MATCH(MAX($N81:$W81),$N81:$W81,0),1,10-MATCH(MAX($N81:$W81),$N81:$W81,0)),0)+MATCH(MAX($N81:$W81),$N81:$W81,0),MATCH(LARGE($N81:$W81,2),$N81:$W81,0))),"Score: ",""),Fields!$A$2:$A$50,0))))</f>
        <v/>
      </c>
      <c r="Z81" s="14" t="str">
        <f aca="false">IF(M81="","",IFERROR(INDEX('3 Hazed Questions'!$O$2:$O$23,MATCH(1,INDEX(('3 Hazed Questions'!$A$2:$A$23="Q5")*('3 Hazed Questions'!$C$2:$C$23=M81),0),0))&amp;"",""))</f>
        <v/>
      </c>
      <c r="AA81" s="18"/>
      <c r="AB81" s="18"/>
      <c r="AC81" s="19"/>
      <c r="AD81" s="19"/>
      <c r="AE81" s="18"/>
      <c r="AF81" s="18"/>
      <c r="AG81" s="18"/>
    </row>
    <row r="82" customFormat="false" ht="15" hidden="false" customHeight="false" outlineLevel="0" collapsed="false">
      <c r="A82" s="18"/>
      <c r="B82" s="19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4" t="str">
        <f aca="false">IF(COUNTA(I82:L82)=0,"",SUMIFS('3 Hazed Questions'!$E$2:$E$23,'3 Hazed Questions'!$A$2:$A$23,"Q1",'3 Hazed Questions'!$C$2:$C$23,I82)+SUMIFS('3 Hazed Questions'!$E$2:$E$23,'3 Hazed Questions'!$A$2:$A$23,"Q2",'3 Hazed Questions'!$C$2:$C$23,J82)+SUMIFS('3 Hazed Questions'!$E$2:$E$23,'3 Hazed Questions'!$A$2:$A$23,"Q3",'3 Hazed Questions'!$C$2:$C$23,K82)+SUMIFS('3 Hazed Questions'!$E$2:$E$23,'3 Hazed Questions'!$A$2:$A$23,"Q4",'3 Hazed Questions'!$C$2:$C$23,L82))</f>
        <v/>
      </c>
      <c r="O82" s="14" t="str">
        <f aca="false">IF(COUNTA(I82:L82)=0,"",SUMIFS('3 Hazed Questions'!$F$2:$F$23,'3 Hazed Questions'!$A$2:$A$23,"Q1",'3 Hazed Questions'!$C$2:$C$23,I82)+SUMIFS('3 Hazed Questions'!$F$2:$F$23,'3 Hazed Questions'!$A$2:$A$23,"Q2",'3 Hazed Questions'!$C$2:$C$23,J82)+SUMIFS('3 Hazed Questions'!$F$2:$F$23,'3 Hazed Questions'!$A$2:$A$23,"Q3",'3 Hazed Questions'!$C$2:$C$23,K82)+SUMIFS('3 Hazed Questions'!$F$2:$F$23,'3 Hazed Questions'!$A$2:$A$23,"Q4",'3 Hazed Questions'!$C$2:$C$23,L82))</f>
        <v/>
      </c>
      <c r="P82" s="14" t="str">
        <f aca="false">IF(COUNTA(I82:L82)=0,"",SUMIFS('3 Hazed Questions'!$G$2:$G$23,'3 Hazed Questions'!$A$2:$A$23,"Q1",'3 Hazed Questions'!$C$2:$C$23,I82)+SUMIFS('3 Hazed Questions'!$G$2:$G$23,'3 Hazed Questions'!$A$2:$A$23,"Q2",'3 Hazed Questions'!$C$2:$C$23,J82)+SUMIFS('3 Hazed Questions'!$G$2:$G$23,'3 Hazed Questions'!$A$2:$A$23,"Q3",'3 Hazed Questions'!$C$2:$C$23,K82)+SUMIFS('3 Hazed Questions'!$G$2:$G$23,'3 Hazed Questions'!$A$2:$A$23,"Q4",'3 Hazed Questions'!$C$2:$C$23,L82))</f>
        <v/>
      </c>
      <c r="Q82" s="14" t="str">
        <f aca="false">IF(COUNTA(I82:L82)=0,"",SUMIFS('3 Hazed Questions'!$H$2:$H$23,'3 Hazed Questions'!$A$2:$A$23,"Q1",'3 Hazed Questions'!$C$2:$C$23,I82)+SUMIFS('3 Hazed Questions'!$H$2:$H$23,'3 Hazed Questions'!$A$2:$A$23,"Q2",'3 Hazed Questions'!$C$2:$C$23,J82)+SUMIFS('3 Hazed Questions'!$H$2:$H$23,'3 Hazed Questions'!$A$2:$A$23,"Q3",'3 Hazed Questions'!$C$2:$C$23,K82)+SUMIFS('3 Hazed Questions'!$H$2:$H$23,'3 Hazed Questions'!$A$2:$A$23,"Q4",'3 Hazed Questions'!$C$2:$C$23,L82))</f>
        <v/>
      </c>
      <c r="R82" s="14" t="str">
        <f aca="false">IF(COUNTA(I82:L82)=0,"",SUMIFS('3 Hazed Questions'!$I$2:$I$23,'3 Hazed Questions'!$A$2:$A$23,"Q1",'3 Hazed Questions'!$C$2:$C$23,I82)+SUMIFS('3 Hazed Questions'!$I$2:$I$23,'3 Hazed Questions'!$A$2:$A$23,"Q2",'3 Hazed Questions'!$C$2:$C$23,J82)+SUMIFS('3 Hazed Questions'!$I$2:$I$23,'3 Hazed Questions'!$A$2:$A$23,"Q3",'3 Hazed Questions'!$C$2:$C$23,K82)+SUMIFS('3 Hazed Questions'!$I$2:$I$23,'3 Hazed Questions'!$A$2:$A$23,"Q4",'3 Hazed Questions'!$C$2:$C$23,L82))</f>
        <v/>
      </c>
      <c r="S82" s="14" t="str">
        <f aca="false">IF(COUNTA(I82:L82)=0,"",SUMIFS('3 Hazed Questions'!$J$2:$J$23,'3 Hazed Questions'!$A$2:$A$23,"Q1",'3 Hazed Questions'!$C$2:$C$23,I82)+SUMIFS('3 Hazed Questions'!$J$2:$J$23,'3 Hazed Questions'!$A$2:$A$23,"Q2",'3 Hazed Questions'!$C$2:$C$23,J82)+SUMIFS('3 Hazed Questions'!$J$2:$J$23,'3 Hazed Questions'!$A$2:$A$23,"Q3",'3 Hazed Questions'!$C$2:$C$23,K82)+SUMIFS('3 Hazed Questions'!$J$2:$J$23,'3 Hazed Questions'!$A$2:$A$23,"Q4",'3 Hazed Questions'!$C$2:$C$23,L82))</f>
        <v/>
      </c>
      <c r="T82" s="14" t="str">
        <f aca="false">IF(COUNTA(I82:L82)=0,"",SUMIFS('3 Hazed Questions'!$K$2:$K$23,'3 Hazed Questions'!$A$2:$A$23,"Q1",'3 Hazed Questions'!$C$2:$C$23,I82)+SUMIFS('3 Hazed Questions'!$K$2:$K$23,'3 Hazed Questions'!$A$2:$A$23,"Q2",'3 Hazed Questions'!$C$2:$C$23,J82)+SUMIFS('3 Hazed Questions'!$K$2:$K$23,'3 Hazed Questions'!$A$2:$A$23,"Q3",'3 Hazed Questions'!$C$2:$C$23,K82)+SUMIFS('3 Hazed Questions'!$K$2:$K$23,'3 Hazed Questions'!$A$2:$A$23,"Q4",'3 Hazed Questions'!$C$2:$C$23,L82))</f>
        <v/>
      </c>
      <c r="U82" s="14" t="str">
        <f aca="false">IF(COUNTA(I82:L82)=0,"",SUMIFS('3 Hazed Questions'!$L$2:$L$23,'3 Hazed Questions'!$A$2:$A$23,"Q1",'3 Hazed Questions'!$C$2:$C$23,I82)+SUMIFS('3 Hazed Questions'!$L$2:$L$23,'3 Hazed Questions'!$A$2:$A$23,"Q2",'3 Hazed Questions'!$C$2:$C$23,J82)+SUMIFS('3 Hazed Questions'!$L$2:$L$23,'3 Hazed Questions'!$A$2:$A$23,"Q3",'3 Hazed Questions'!$C$2:$C$23,K82)+SUMIFS('3 Hazed Questions'!$L$2:$L$23,'3 Hazed Questions'!$A$2:$A$23,"Q4",'3 Hazed Questions'!$C$2:$C$23,L82))</f>
        <v/>
      </c>
      <c r="V82" s="14" t="str">
        <f aca="false">IF(COUNTA(I82:L82)=0,"",SUMIFS('3 Hazed Questions'!$M$2:$M$23,'3 Hazed Questions'!$A$2:$A$23,"Q1",'3 Hazed Questions'!$C$2:$C$23,I82)+SUMIFS('3 Hazed Questions'!$M$2:$M$23,'3 Hazed Questions'!$A$2:$A$23,"Q2",'3 Hazed Questions'!$C$2:$C$23,J82)+SUMIFS('3 Hazed Questions'!$M$2:$M$23,'3 Hazed Questions'!$A$2:$A$23,"Q3",'3 Hazed Questions'!$C$2:$C$23,K82)+SUMIFS('3 Hazed Questions'!$M$2:$M$23,'3 Hazed Questions'!$A$2:$A$23,"Q4",'3 Hazed Questions'!$C$2:$C$23,L82))</f>
        <v/>
      </c>
      <c r="W82" s="14" t="str">
        <f aca="false">IF(COUNTA(I82:L82)=0,"",SUMIFS('3 Hazed Questions'!$N$2:$N$23,'3 Hazed Questions'!$A$2:$A$23,"Q1",'3 Hazed Questions'!$C$2:$C$23,I82)+SUMIFS('3 Hazed Questions'!$N$2:$N$23,'3 Hazed Questions'!$A$2:$A$23,"Q2",'3 Hazed Questions'!$C$2:$C$23,J82)+SUMIFS('3 Hazed Questions'!$N$2:$N$23,'3 Hazed Questions'!$A$2:$A$23,"Q3",'3 Hazed Questions'!$C$2:$C$23,K82)+SUMIFS('3 Hazed Questions'!$N$2:$N$23,'3 Hazed Questions'!$A$2:$A$23,"Q4",'3 Hazed Questions'!$C$2:$C$23,L82))</f>
        <v/>
      </c>
      <c r="X82" s="14" t="str">
        <f aca="false">IF(COUNTA(I82:L82)=0,"",INDEX(Fields!$B$2:$B$50,MATCH(SUBSTITUTE(INDEX($N$1:$W$1,MATCH(MAX($N82:$W82),$N82:$W82,0)),"Score: ",""),Fields!$A$2:$A$50,0)))</f>
        <v/>
      </c>
      <c r="Y82" s="14" t="str">
        <f aca="true">IF(COUNTA(I82:L82)=0,"",IF(LARGE($N82:$W82,2)=0,"-",INDEX(Fields!$B$2:$B$50,MATCH(SUBSTITUTE(INDEX($N$1:$W$1,IF(LARGE($N82:$W82,2)=MAX($N82:$W82),MATCH(MAX($N82:$W82),OFFSET($N82:$W82,0,MATCH(MAX($N82:$W82),$N82:$W82,0),1,10-MATCH(MAX($N82:$W82),$N82:$W82,0)),0)+MATCH(MAX($N82:$W82),$N82:$W82,0),MATCH(LARGE($N82:$W82,2),$N82:$W82,0))),"Score: ",""),Fields!$A$2:$A$50,0))))</f>
        <v/>
      </c>
      <c r="Z82" s="14" t="str">
        <f aca="false">IF(M82="","",IFERROR(INDEX('3 Hazed Questions'!$O$2:$O$23,MATCH(1,INDEX(('3 Hazed Questions'!$A$2:$A$23="Q5")*('3 Hazed Questions'!$C$2:$C$23=M82),0),0))&amp;"",""))</f>
        <v/>
      </c>
      <c r="AA82" s="18"/>
      <c r="AB82" s="18"/>
      <c r="AC82" s="19"/>
      <c r="AD82" s="19"/>
      <c r="AE82" s="18"/>
      <c r="AF82" s="18"/>
      <c r="AG82" s="18"/>
    </row>
    <row r="83" customFormat="false" ht="15" hidden="false" customHeight="false" outlineLevel="0" collapsed="false">
      <c r="A83" s="18"/>
      <c r="B83" s="19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4" t="str">
        <f aca="false">IF(COUNTA(I83:L83)=0,"",SUMIFS('3 Hazed Questions'!$E$2:$E$23,'3 Hazed Questions'!$A$2:$A$23,"Q1",'3 Hazed Questions'!$C$2:$C$23,I83)+SUMIFS('3 Hazed Questions'!$E$2:$E$23,'3 Hazed Questions'!$A$2:$A$23,"Q2",'3 Hazed Questions'!$C$2:$C$23,J83)+SUMIFS('3 Hazed Questions'!$E$2:$E$23,'3 Hazed Questions'!$A$2:$A$23,"Q3",'3 Hazed Questions'!$C$2:$C$23,K83)+SUMIFS('3 Hazed Questions'!$E$2:$E$23,'3 Hazed Questions'!$A$2:$A$23,"Q4",'3 Hazed Questions'!$C$2:$C$23,L83))</f>
        <v/>
      </c>
      <c r="O83" s="14" t="str">
        <f aca="false">IF(COUNTA(I83:L83)=0,"",SUMIFS('3 Hazed Questions'!$F$2:$F$23,'3 Hazed Questions'!$A$2:$A$23,"Q1",'3 Hazed Questions'!$C$2:$C$23,I83)+SUMIFS('3 Hazed Questions'!$F$2:$F$23,'3 Hazed Questions'!$A$2:$A$23,"Q2",'3 Hazed Questions'!$C$2:$C$23,J83)+SUMIFS('3 Hazed Questions'!$F$2:$F$23,'3 Hazed Questions'!$A$2:$A$23,"Q3",'3 Hazed Questions'!$C$2:$C$23,K83)+SUMIFS('3 Hazed Questions'!$F$2:$F$23,'3 Hazed Questions'!$A$2:$A$23,"Q4",'3 Hazed Questions'!$C$2:$C$23,L83))</f>
        <v/>
      </c>
      <c r="P83" s="14" t="str">
        <f aca="false">IF(COUNTA(I83:L83)=0,"",SUMIFS('3 Hazed Questions'!$G$2:$G$23,'3 Hazed Questions'!$A$2:$A$23,"Q1",'3 Hazed Questions'!$C$2:$C$23,I83)+SUMIFS('3 Hazed Questions'!$G$2:$G$23,'3 Hazed Questions'!$A$2:$A$23,"Q2",'3 Hazed Questions'!$C$2:$C$23,J83)+SUMIFS('3 Hazed Questions'!$G$2:$G$23,'3 Hazed Questions'!$A$2:$A$23,"Q3",'3 Hazed Questions'!$C$2:$C$23,K83)+SUMIFS('3 Hazed Questions'!$G$2:$G$23,'3 Hazed Questions'!$A$2:$A$23,"Q4",'3 Hazed Questions'!$C$2:$C$23,L83))</f>
        <v/>
      </c>
      <c r="Q83" s="14" t="str">
        <f aca="false">IF(COUNTA(I83:L83)=0,"",SUMIFS('3 Hazed Questions'!$H$2:$H$23,'3 Hazed Questions'!$A$2:$A$23,"Q1",'3 Hazed Questions'!$C$2:$C$23,I83)+SUMIFS('3 Hazed Questions'!$H$2:$H$23,'3 Hazed Questions'!$A$2:$A$23,"Q2",'3 Hazed Questions'!$C$2:$C$23,J83)+SUMIFS('3 Hazed Questions'!$H$2:$H$23,'3 Hazed Questions'!$A$2:$A$23,"Q3",'3 Hazed Questions'!$C$2:$C$23,K83)+SUMIFS('3 Hazed Questions'!$H$2:$H$23,'3 Hazed Questions'!$A$2:$A$23,"Q4",'3 Hazed Questions'!$C$2:$C$23,L83))</f>
        <v/>
      </c>
      <c r="R83" s="14" t="str">
        <f aca="false">IF(COUNTA(I83:L83)=0,"",SUMIFS('3 Hazed Questions'!$I$2:$I$23,'3 Hazed Questions'!$A$2:$A$23,"Q1",'3 Hazed Questions'!$C$2:$C$23,I83)+SUMIFS('3 Hazed Questions'!$I$2:$I$23,'3 Hazed Questions'!$A$2:$A$23,"Q2",'3 Hazed Questions'!$C$2:$C$23,J83)+SUMIFS('3 Hazed Questions'!$I$2:$I$23,'3 Hazed Questions'!$A$2:$A$23,"Q3",'3 Hazed Questions'!$C$2:$C$23,K83)+SUMIFS('3 Hazed Questions'!$I$2:$I$23,'3 Hazed Questions'!$A$2:$A$23,"Q4",'3 Hazed Questions'!$C$2:$C$23,L83))</f>
        <v/>
      </c>
      <c r="S83" s="14" t="str">
        <f aca="false">IF(COUNTA(I83:L83)=0,"",SUMIFS('3 Hazed Questions'!$J$2:$J$23,'3 Hazed Questions'!$A$2:$A$23,"Q1",'3 Hazed Questions'!$C$2:$C$23,I83)+SUMIFS('3 Hazed Questions'!$J$2:$J$23,'3 Hazed Questions'!$A$2:$A$23,"Q2",'3 Hazed Questions'!$C$2:$C$23,J83)+SUMIFS('3 Hazed Questions'!$J$2:$J$23,'3 Hazed Questions'!$A$2:$A$23,"Q3",'3 Hazed Questions'!$C$2:$C$23,K83)+SUMIFS('3 Hazed Questions'!$J$2:$J$23,'3 Hazed Questions'!$A$2:$A$23,"Q4",'3 Hazed Questions'!$C$2:$C$23,L83))</f>
        <v/>
      </c>
      <c r="T83" s="14" t="str">
        <f aca="false">IF(COUNTA(I83:L83)=0,"",SUMIFS('3 Hazed Questions'!$K$2:$K$23,'3 Hazed Questions'!$A$2:$A$23,"Q1",'3 Hazed Questions'!$C$2:$C$23,I83)+SUMIFS('3 Hazed Questions'!$K$2:$K$23,'3 Hazed Questions'!$A$2:$A$23,"Q2",'3 Hazed Questions'!$C$2:$C$23,J83)+SUMIFS('3 Hazed Questions'!$K$2:$K$23,'3 Hazed Questions'!$A$2:$A$23,"Q3",'3 Hazed Questions'!$C$2:$C$23,K83)+SUMIFS('3 Hazed Questions'!$K$2:$K$23,'3 Hazed Questions'!$A$2:$A$23,"Q4",'3 Hazed Questions'!$C$2:$C$23,L83))</f>
        <v/>
      </c>
      <c r="U83" s="14" t="str">
        <f aca="false">IF(COUNTA(I83:L83)=0,"",SUMIFS('3 Hazed Questions'!$L$2:$L$23,'3 Hazed Questions'!$A$2:$A$23,"Q1",'3 Hazed Questions'!$C$2:$C$23,I83)+SUMIFS('3 Hazed Questions'!$L$2:$L$23,'3 Hazed Questions'!$A$2:$A$23,"Q2",'3 Hazed Questions'!$C$2:$C$23,J83)+SUMIFS('3 Hazed Questions'!$L$2:$L$23,'3 Hazed Questions'!$A$2:$A$23,"Q3",'3 Hazed Questions'!$C$2:$C$23,K83)+SUMIFS('3 Hazed Questions'!$L$2:$L$23,'3 Hazed Questions'!$A$2:$A$23,"Q4",'3 Hazed Questions'!$C$2:$C$23,L83))</f>
        <v/>
      </c>
      <c r="V83" s="14" t="str">
        <f aca="false">IF(COUNTA(I83:L83)=0,"",SUMIFS('3 Hazed Questions'!$M$2:$M$23,'3 Hazed Questions'!$A$2:$A$23,"Q1",'3 Hazed Questions'!$C$2:$C$23,I83)+SUMIFS('3 Hazed Questions'!$M$2:$M$23,'3 Hazed Questions'!$A$2:$A$23,"Q2",'3 Hazed Questions'!$C$2:$C$23,J83)+SUMIFS('3 Hazed Questions'!$M$2:$M$23,'3 Hazed Questions'!$A$2:$A$23,"Q3",'3 Hazed Questions'!$C$2:$C$23,K83)+SUMIFS('3 Hazed Questions'!$M$2:$M$23,'3 Hazed Questions'!$A$2:$A$23,"Q4",'3 Hazed Questions'!$C$2:$C$23,L83))</f>
        <v/>
      </c>
      <c r="W83" s="14" t="str">
        <f aca="false">IF(COUNTA(I83:L83)=0,"",SUMIFS('3 Hazed Questions'!$N$2:$N$23,'3 Hazed Questions'!$A$2:$A$23,"Q1",'3 Hazed Questions'!$C$2:$C$23,I83)+SUMIFS('3 Hazed Questions'!$N$2:$N$23,'3 Hazed Questions'!$A$2:$A$23,"Q2",'3 Hazed Questions'!$C$2:$C$23,J83)+SUMIFS('3 Hazed Questions'!$N$2:$N$23,'3 Hazed Questions'!$A$2:$A$23,"Q3",'3 Hazed Questions'!$C$2:$C$23,K83)+SUMIFS('3 Hazed Questions'!$N$2:$N$23,'3 Hazed Questions'!$A$2:$A$23,"Q4",'3 Hazed Questions'!$C$2:$C$23,L83))</f>
        <v/>
      </c>
      <c r="X83" s="14" t="str">
        <f aca="false">IF(COUNTA(I83:L83)=0,"",INDEX(Fields!$B$2:$B$50,MATCH(SUBSTITUTE(INDEX($N$1:$W$1,MATCH(MAX($N83:$W83),$N83:$W83,0)),"Score: ",""),Fields!$A$2:$A$50,0)))</f>
        <v/>
      </c>
      <c r="Y83" s="14" t="str">
        <f aca="true">IF(COUNTA(I83:L83)=0,"",IF(LARGE($N83:$W83,2)=0,"-",INDEX(Fields!$B$2:$B$50,MATCH(SUBSTITUTE(INDEX($N$1:$W$1,IF(LARGE($N83:$W83,2)=MAX($N83:$W83),MATCH(MAX($N83:$W83),OFFSET($N83:$W83,0,MATCH(MAX($N83:$W83),$N83:$W83,0),1,10-MATCH(MAX($N83:$W83),$N83:$W83,0)),0)+MATCH(MAX($N83:$W83),$N83:$W83,0),MATCH(LARGE($N83:$W83,2),$N83:$W83,0))),"Score: ",""),Fields!$A$2:$A$50,0))))</f>
        <v/>
      </c>
      <c r="Z83" s="14" t="str">
        <f aca="false">IF(M83="","",IFERROR(INDEX('3 Hazed Questions'!$O$2:$O$23,MATCH(1,INDEX(('3 Hazed Questions'!$A$2:$A$23="Q5")*('3 Hazed Questions'!$C$2:$C$23=M83),0),0))&amp;"",""))</f>
        <v/>
      </c>
      <c r="AA83" s="18"/>
      <c r="AB83" s="18"/>
      <c r="AC83" s="19"/>
      <c r="AD83" s="19"/>
      <c r="AE83" s="18"/>
      <c r="AF83" s="18"/>
      <c r="AG83" s="18"/>
    </row>
    <row r="84" customFormat="false" ht="15" hidden="false" customHeight="false" outlineLevel="0" collapsed="false">
      <c r="A84" s="18"/>
      <c r="B84" s="19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4" t="str">
        <f aca="false">IF(COUNTA(I84:L84)=0,"",SUMIFS('3 Hazed Questions'!$E$2:$E$23,'3 Hazed Questions'!$A$2:$A$23,"Q1",'3 Hazed Questions'!$C$2:$C$23,I84)+SUMIFS('3 Hazed Questions'!$E$2:$E$23,'3 Hazed Questions'!$A$2:$A$23,"Q2",'3 Hazed Questions'!$C$2:$C$23,J84)+SUMIFS('3 Hazed Questions'!$E$2:$E$23,'3 Hazed Questions'!$A$2:$A$23,"Q3",'3 Hazed Questions'!$C$2:$C$23,K84)+SUMIFS('3 Hazed Questions'!$E$2:$E$23,'3 Hazed Questions'!$A$2:$A$23,"Q4",'3 Hazed Questions'!$C$2:$C$23,L84))</f>
        <v/>
      </c>
      <c r="O84" s="14" t="str">
        <f aca="false">IF(COUNTA(I84:L84)=0,"",SUMIFS('3 Hazed Questions'!$F$2:$F$23,'3 Hazed Questions'!$A$2:$A$23,"Q1",'3 Hazed Questions'!$C$2:$C$23,I84)+SUMIFS('3 Hazed Questions'!$F$2:$F$23,'3 Hazed Questions'!$A$2:$A$23,"Q2",'3 Hazed Questions'!$C$2:$C$23,J84)+SUMIFS('3 Hazed Questions'!$F$2:$F$23,'3 Hazed Questions'!$A$2:$A$23,"Q3",'3 Hazed Questions'!$C$2:$C$23,K84)+SUMIFS('3 Hazed Questions'!$F$2:$F$23,'3 Hazed Questions'!$A$2:$A$23,"Q4",'3 Hazed Questions'!$C$2:$C$23,L84))</f>
        <v/>
      </c>
      <c r="P84" s="14" t="str">
        <f aca="false">IF(COUNTA(I84:L84)=0,"",SUMIFS('3 Hazed Questions'!$G$2:$G$23,'3 Hazed Questions'!$A$2:$A$23,"Q1",'3 Hazed Questions'!$C$2:$C$23,I84)+SUMIFS('3 Hazed Questions'!$G$2:$G$23,'3 Hazed Questions'!$A$2:$A$23,"Q2",'3 Hazed Questions'!$C$2:$C$23,J84)+SUMIFS('3 Hazed Questions'!$G$2:$G$23,'3 Hazed Questions'!$A$2:$A$23,"Q3",'3 Hazed Questions'!$C$2:$C$23,K84)+SUMIFS('3 Hazed Questions'!$G$2:$G$23,'3 Hazed Questions'!$A$2:$A$23,"Q4",'3 Hazed Questions'!$C$2:$C$23,L84))</f>
        <v/>
      </c>
      <c r="Q84" s="14" t="str">
        <f aca="false">IF(COUNTA(I84:L84)=0,"",SUMIFS('3 Hazed Questions'!$H$2:$H$23,'3 Hazed Questions'!$A$2:$A$23,"Q1",'3 Hazed Questions'!$C$2:$C$23,I84)+SUMIFS('3 Hazed Questions'!$H$2:$H$23,'3 Hazed Questions'!$A$2:$A$23,"Q2",'3 Hazed Questions'!$C$2:$C$23,J84)+SUMIFS('3 Hazed Questions'!$H$2:$H$23,'3 Hazed Questions'!$A$2:$A$23,"Q3",'3 Hazed Questions'!$C$2:$C$23,K84)+SUMIFS('3 Hazed Questions'!$H$2:$H$23,'3 Hazed Questions'!$A$2:$A$23,"Q4",'3 Hazed Questions'!$C$2:$C$23,L84))</f>
        <v/>
      </c>
      <c r="R84" s="14" t="str">
        <f aca="false">IF(COUNTA(I84:L84)=0,"",SUMIFS('3 Hazed Questions'!$I$2:$I$23,'3 Hazed Questions'!$A$2:$A$23,"Q1",'3 Hazed Questions'!$C$2:$C$23,I84)+SUMIFS('3 Hazed Questions'!$I$2:$I$23,'3 Hazed Questions'!$A$2:$A$23,"Q2",'3 Hazed Questions'!$C$2:$C$23,J84)+SUMIFS('3 Hazed Questions'!$I$2:$I$23,'3 Hazed Questions'!$A$2:$A$23,"Q3",'3 Hazed Questions'!$C$2:$C$23,K84)+SUMIFS('3 Hazed Questions'!$I$2:$I$23,'3 Hazed Questions'!$A$2:$A$23,"Q4",'3 Hazed Questions'!$C$2:$C$23,L84))</f>
        <v/>
      </c>
      <c r="S84" s="14" t="str">
        <f aca="false">IF(COUNTA(I84:L84)=0,"",SUMIFS('3 Hazed Questions'!$J$2:$J$23,'3 Hazed Questions'!$A$2:$A$23,"Q1",'3 Hazed Questions'!$C$2:$C$23,I84)+SUMIFS('3 Hazed Questions'!$J$2:$J$23,'3 Hazed Questions'!$A$2:$A$23,"Q2",'3 Hazed Questions'!$C$2:$C$23,J84)+SUMIFS('3 Hazed Questions'!$J$2:$J$23,'3 Hazed Questions'!$A$2:$A$23,"Q3",'3 Hazed Questions'!$C$2:$C$23,K84)+SUMIFS('3 Hazed Questions'!$J$2:$J$23,'3 Hazed Questions'!$A$2:$A$23,"Q4",'3 Hazed Questions'!$C$2:$C$23,L84))</f>
        <v/>
      </c>
      <c r="T84" s="14" t="str">
        <f aca="false">IF(COUNTA(I84:L84)=0,"",SUMIFS('3 Hazed Questions'!$K$2:$K$23,'3 Hazed Questions'!$A$2:$A$23,"Q1",'3 Hazed Questions'!$C$2:$C$23,I84)+SUMIFS('3 Hazed Questions'!$K$2:$K$23,'3 Hazed Questions'!$A$2:$A$23,"Q2",'3 Hazed Questions'!$C$2:$C$23,J84)+SUMIFS('3 Hazed Questions'!$K$2:$K$23,'3 Hazed Questions'!$A$2:$A$23,"Q3",'3 Hazed Questions'!$C$2:$C$23,K84)+SUMIFS('3 Hazed Questions'!$K$2:$K$23,'3 Hazed Questions'!$A$2:$A$23,"Q4",'3 Hazed Questions'!$C$2:$C$23,L84))</f>
        <v/>
      </c>
      <c r="U84" s="14" t="str">
        <f aca="false">IF(COUNTA(I84:L84)=0,"",SUMIFS('3 Hazed Questions'!$L$2:$L$23,'3 Hazed Questions'!$A$2:$A$23,"Q1",'3 Hazed Questions'!$C$2:$C$23,I84)+SUMIFS('3 Hazed Questions'!$L$2:$L$23,'3 Hazed Questions'!$A$2:$A$23,"Q2",'3 Hazed Questions'!$C$2:$C$23,J84)+SUMIFS('3 Hazed Questions'!$L$2:$L$23,'3 Hazed Questions'!$A$2:$A$23,"Q3",'3 Hazed Questions'!$C$2:$C$23,K84)+SUMIFS('3 Hazed Questions'!$L$2:$L$23,'3 Hazed Questions'!$A$2:$A$23,"Q4",'3 Hazed Questions'!$C$2:$C$23,L84))</f>
        <v/>
      </c>
      <c r="V84" s="14" t="str">
        <f aca="false">IF(COUNTA(I84:L84)=0,"",SUMIFS('3 Hazed Questions'!$M$2:$M$23,'3 Hazed Questions'!$A$2:$A$23,"Q1",'3 Hazed Questions'!$C$2:$C$23,I84)+SUMIFS('3 Hazed Questions'!$M$2:$M$23,'3 Hazed Questions'!$A$2:$A$23,"Q2",'3 Hazed Questions'!$C$2:$C$23,J84)+SUMIFS('3 Hazed Questions'!$M$2:$M$23,'3 Hazed Questions'!$A$2:$A$23,"Q3",'3 Hazed Questions'!$C$2:$C$23,K84)+SUMIFS('3 Hazed Questions'!$M$2:$M$23,'3 Hazed Questions'!$A$2:$A$23,"Q4",'3 Hazed Questions'!$C$2:$C$23,L84))</f>
        <v/>
      </c>
      <c r="W84" s="14" t="str">
        <f aca="false">IF(COUNTA(I84:L84)=0,"",SUMIFS('3 Hazed Questions'!$N$2:$N$23,'3 Hazed Questions'!$A$2:$A$23,"Q1",'3 Hazed Questions'!$C$2:$C$23,I84)+SUMIFS('3 Hazed Questions'!$N$2:$N$23,'3 Hazed Questions'!$A$2:$A$23,"Q2",'3 Hazed Questions'!$C$2:$C$23,J84)+SUMIFS('3 Hazed Questions'!$N$2:$N$23,'3 Hazed Questions'!$A$2:$A$23,"Q3",'3 Hazed Questions'!$C$2:$C$23,K84)+SUMIFS('3 Hazed Questions'!$N$2:$N$23,'3 Hazed Questions'!$A$2:$A$23,"Q4",'3 Hazed Questions'!$C$2:$C$23,L84))</f>
        <v/>
      </c>
      <c r="X84" s="14" t="str">
        <f aca="false">IF(COUNTA(I84:L84)=0,"",INDEX(Fields!$B$2:$B$50,MATCH(SUBSTITUTE(INDEX($N$1:$W$1,MATCH(MAX($N84:$W84),$N84:$W84,0)),"Score: ",""),Fields!$A$2:$A$50,0)))</f>
        <v/>
      </c>
      <c r="Y84" s="14" t="str">
        <f aca="true">IF(COUNTA(I84:L84)=0,"",IF(LARGE($N84:$W84,2)=0,"-",INDEX(Fields!$B$2:$B$50,MATCH(SUBSTITUTE(INDEX($N$1:$W$1,IF(LARGE($N84:$W84,2)=MAX($N84:$W84),MATCH(MAX($N84:$W84),OFFSET($N84:$W84,0,MATCH(MAX($N84:$W84),$N84:$W84,0),1,10-MATCH(MAX($N84:$W84),$N84:$W84,0)),0)+MATCH(MAX($N84:$W84),$N84:$W84,0),MATCH(LARGE($N84:$W84,2),$N84:$W84,0))),"Score: ",""),Fields!$A$2:$A$50,0))))</f>
        <v/>
      </c>
      <c r="Z84" s="14" t="str">
        <f aca="false">IF(M84="","",IFERROR(INDEX('3 Hazed Questions'!$O$2:$O$23,MATCH(1,INDEX(('3 Hazed Questions'!$A$2:$A$23="Q5")*('3 Hazed Questions'!$C$2:$C$23=M84),0),0))&amp;"",""))</f>
        <v/>
      </c>
      <c r="AA84" s="18"/>
      <c r="AB84" s="18"/>
      <c r="AC84" s="19"/>
      <c r="AD84" s="19"/>
      <c r="AE84" s="18"/>
      <c r="AF84" s="18"/>
      <c r="AG84" s="18"/>
    </row>
    <row r="85" customFormat="false" ht="15" hidden="false" customHeight="false" outlineLevel="0" collapsed="false">
      <c r="A85" s="18"/>
      <c r="B85" s="19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4" t="str">
        <f aca="false">IF(COUNTA(I85:L85)=0,"",SUMIFS('3 Hazed Questions'!$E$2:$E$23,'3 Hazed Questions'!$A$2:$A$23,"Q1",'3 Hazed Questions'!$C$2:$C$23,I85)+SUMIFS('3 Hazed Questions'!$E$2:$E$23,'3 Hazed Questions'!$A$2:$A$23,"Q2",'3 Hazed Questions'!$C$2:$C$23,J85)+SUMIFS('3 Hazed Questions'!$E$2:$E$23,'3 Hazed Questions'!$A$2:$A$23,"Q3",'3 Hazed Questions'!$C$2:$C$23,K85)+SUMIFS('3 Hazed Questions'!$E$2:$E$23,'3 Hazed Questions'!$A$2:$A$23,"Q4",'3 Hazed Questions'!$C$2:$C$23,L85))</f>
        <v/>
      </c>
      <c r="O85" s="14" t="str">
        <f aca="false">IF(COUNTA(I85:L85)=0,"",SUMIFS('3 Hazed Questions'!$F$2:$F$23,'3 Hazed Questions'!$A$2:$A$23,"Q1",'3 Hazed Questions'!$C$2:$C$23,I85)+SUMIFS('3 Hazed Questions'!$F$2:$F$23,'3 Hazed Questions'!$A$2:$A$23,"Q2",'3 Hazed Questions'!$C$2:$C$23,J85)+SUMIFS('3 Hazed Questions'!$F$2:$F$23,'3 Hazed Questions'!$A$2:$A$23,"Q3",'3 Hazed Questions'!$C$2:$C$23,K85)+SUMIFS('3 Hazed Questions'!$F$2:$F$23,'3 Hazed Questions'!$A$2:$A$23,"Q4",'3 Hazed Questions'!$C$2:$C$23,L85))</f>
        <v/>
      </c>
      <c r="P85" s="14" t="str">
        <f aca="false">IF(COUNTA(I85:L85)=0,"",SUMIFS('3 Hazed Questions'!$G$2:$G$23,'3 Hazed Questions'!$A$2:$A$23,"Q1",'3 Hazed Questions'!$C$2:$C$23,I85)+SUMIFS('3 Hazed Questions'!$G$2:$G$23,'3 Hazed Questions'!$A$2:$A$23,"Q2",'3 Hazed Questions'!$C$2:$C$23,J85)+SUMIFS('3 Hazed Questions'!$G$2:$G$23,'3 Hazed Questions'!$A$2:$A$23,"Q3",'3 Hazed Questions'!$C$2:$C$23,K85)+SUMIFS('3 Hazed Questions'!$G$2:$G$23,'3 Hazed Questions'!$A$2:$A$23,"Q4",'3 Hazed Questions'!$C$2:$C$23,L85))</f>
        <v/>
      </c>
      <c r="Q85" s="14" t="str">
        <f aca="false">IF(COUNTA(I85:L85)=0,"",SUMIFS('3 Hazed Questions'!$H$2:$H$23,'3 Hazed Questions'!$A$2:$A$23,"Q1",'3 Hazed Questions'!$C$2:$C$23,I85)+SUMIFS('3 Hazed Questions'!$H$2:$H$23,'3 Hazed Questions'!$A$2:$A$23,"Q2",'3 Hazed Questions'!$C$2:$C$23,J85)+SUMIFS('3 Hazed Questions'!$H$2:$H$23,'3 Hazed Questions'!$A$2:$A$23,"Q3",'3 Hazed Questions'!$C$2:$C$23,K85)+SUMIFS('3 Hazed Questions'!$H$2:$H$23,'3 Hazed Questions'!$A$2:$A$23,"Q4",'3 Hazed Questions'!$C$2:$C$23,L85))</f>
        <v/>
      </c>
      <c r="R85" s="14" t="str">
        <f aca="false">IF(COUNTA(I85:L85)=0,"",SUMIFS('3 Hazed Questions'!$I$2:$I$23,'3 Hazed Questions'!$A$2:$A$23,"Q1",'3 Hazed Questions'!$C$2:$C$23,I85)+SUMIFS('3 Hazed Questions'!$I$2:$I$23,'3 Hazed Questions'!$A$2:$A$23,"Q2",'3 Hazed Questions'!$C$2:$C$23,J85)+SUMIFS('3 Hazed Questions'!$I$2:$I$23,'3 Hazed Questions'!$A$2:$A$23,"Q3",'3 Hazed Questions'!$C$2:$C$23,K85)+SUMIFS('3 Hazed Questions'!$I$2:$I$23,'3 Hazed Questions'!$A$2:$A$23,"Q4",'3 Hazed Questions'!$C$2:$C$23,L85))</f>
        <v/>
      </c>
      <c r="S85" s="14" t="str">
        <f aca="false">IF(COUNTA(I85:L85)=0,"",SUMIFS('3 Hazed Questions'!$J$2:$J$23,'3 Hazed Questions'!$A$2:$A$23,"Q1",'3 Hazed Questions'!$C$2:$C$23,I85)+SUMIFS('3 Hazed Questions'!$J$2:$J$23,'3 Hazed Questions'!$A$2:$A$23,"Q2",'3 Hazed Questions'!$C$2:$C$23,J85)+SUMIFS('3 Hazed Questions'!$J$2:$J$23,'3 Hazed Questions'!$A$2:$A$23,"Q3",'3 Hazed Questions'!$C$2:$C$23,K85)+SUMIFS('3 Hazed Questions'!$J$2:$J$23,'3 Hazed Questions'!$A$2:$A$23,"Q4",'3 Hazed Questions'!$C$2:$C$23,L85))</f>
        <v/>
      </c>
      <c r="T85" s="14" t="str">
        <f aca="false">IF(COUNTA(I85:L85)=0,"",SUMIFS('3 Hazed Questions'!$K$2:$K$23,'3 Hazed Questions'!$A$2:$A$23,"Q1",'3 Hazed Questions'!$C$2:$C$23,I85)+SUMIFS('3 Hazed Questions'!$K$2:$K$23,'3 Hazed Questions'!$A$2:$A$23,"Q2",'3 Hazed Questions'!$C$2:$C$23,J85)+SUMIFS('3 Hazed Questions'!$K$2:$K$23,'3 Hazed Questions'!$A$2:$A$23,"Q3",'3 Hazed Questions'!$C$2:$C$23,K85)+SUMIFS('3 Hazed Questions'!$K$2:$K$23,'3 Hazed Questions'!$A$2:$A$23,"Q4",'3 Hazed Questions'!$C$2:$C$23,L85))</f>
        <v/>
      </c>
      <c r="U85" s="14" t="str">
        <f aca="false">IF(COUNTA(I85:L85)=0,"",SUMIFS('3 Hazed Questions'!$L$2:$L$23,'3 Hazed Questions'!$A$2:$A$23,"Q1",'3 Hazed Questions'!$C$2:$C$23,I85)+SUMIFS('3 Hazed Questions'!$L$2:$L$23,'3 Hazed Questions'!$A$2:$A$23,"Q2",'3 Hazed Questions'!$C$2:$C$23,J85)+SUMIFS('3 Hazed Questions'!$L$2:$L$23,'3 Hazed Questions'!$A$2:$A$23,"Q3",'3 Hazed Questions'!$C$2:$C$23,K85)+SUMIFS('3 Hazed Questions'!$L$2:$L$23,'3 Hazed Questions'!$A$2:$A$23,"Q4",'3 Hazed Questions'!$C$2:$C$23,L85))</f>
        <v/>
      </c>
      <c r="V85" s="14" t="str">
        <f aca="false">IF(COUNTA(I85:L85)=0,"",SUMIFS('3 Hazed Questions'!$M$2:$M$23,'3 Hazed Questions'!$A$2:$A$23,"Q1",'3 Hazed Questions'!$C$2:$C$23,I85)+SUMIFS('3 Hazed Questions'!$M$2:$M$23,'3 Hazed Questions'!$A$2:$A$23,"Q2",'3 Hazed Questions'!$C$2:$C$23,J85)+SUMIFS('3 Hazed Questions'!$M$2:$M$23,'3 Hazed Questions'!$A$2:$A$23,"Q3",'3 Hazed Questions'!$C$2:$C$23,K85)+SUMIFS('3 Hazed Questions'!$M$2:$M$23,'3 Hazed Questions'!$A$2:$A$23,"Q4",'3 Hazed Questions'!$C$2:$C$23,L85))</f>
        <v/>
      </c>
      <c r="W85" s="14" t="str">
        <f aca="false">IF(COUNTA(I85:L85)=0,"",SUMIFS('3 Hazed Questions'!$N$2:$N$23,'3 Hazed Questions'!$A$2:$A$23,"Q1",'3 Hazed Questions'!$C$2:$C$23,I85)+SUMIFS('3 Hazed Questions'!$N$2:$N$23,'3 Hazed Questions'!$A$2:$A$23,"Q2",'3 Hazed Questions'!$C$2:$C$23,J85)+SUMIFS('3 Hazed Questions'!$N$2:$N$23,'3 Hazed Questions'!$A$2:$A$23,"Q3",'3 Hazed Questions'!$C$2:$C$23,K85)+SUMIFS('3 Hazed Questions'!$N$2:$N$23,'3 Hazed Questions'!$A$2:$A$23,"Q4",'3 Hazed Questions'!$C$2:$C$23,L85))</f>
        <v/>
      </c>
      <c r="X85" s="14" t="str">
        <f aca="false">IF(COUNTA(I85:L85)=0,"",INDEX(Fields!$B$2:$B$50,MATCH(SUBSTITUTE(INDEX($N$1:$W$1,MATCH(MAX($N85:$W85),$N85:$W85,0)),"Score: ",""),Fields!$A$2:$A$50,0)))</f>
        <v/>
      </c>
      <c r="Y85" s="14" t="str">
        <f aca="true">IF(COUNTA(I85:L85)=0,"",IF(LARGE($N85:$W85,2)=0,"-",INDEX(Fields!$B$2:$B$50,MATCH(SUBSTITUTE(INDEX($N$1:$W$1,IF(LARGE($N85:$W85,2)=MAX($N85:$W85),MATCH(MAX($N85:$W85),OFFSET($N85:$W85,0,MATCH(MAX($N85:$W85),$N85:$W85,0),1,10-MATCH(MAX($N85:$W85),$N85:$W85,0)),0)+MATCH(MAX($N85:$W85),$N85:$W85,0),MATCH(LARGE($N85:$W85,2),$N85:$W85,0))),"Score: ",""),Fields!$A$2:$A$50,0))))</f>
        <v/>
      </c>
      <c r="Z85" s="14" t="str">
        <f aca="false">IF(M85="","",IFERROR(INDEX('3 Hazed Questions'!$O$2:$O$23,MATCH(1,INDEX(('3 Hazed Questions'!$A$2:$A$23="Q5")*('3 Hazed Questions'!$C$2:$C$23=M85),0),0))&amp;"",""))</f>
        <v/>
      </c>
      <c r="AA85" s="18"/>
      <c r="AB85" s="18"/>
      <c r="AC85" s="19"/>
      <c r="AD85" s="19"/>
      <c r="AE85" s="18"/>
      <c r="AF85" s="18"/>
      <c r="AG85" s="18"/>
    </row>
    <row r="86" customFormat="false" ht="15" hidden="false" customHeight="false" outlineLevel="0" collapsed="false">
      <c r="A86" s="18"/>
      <c r="B86" s="19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4" t="str">
        <f aca="false">IF(COUNTA(I86:L86)=0,"",SUMIFS('3 Hazed Questions'!$E$2:$E$23,'3 Hazed Questions'!$A$2:$A$23,"Q1",'3 Hazed Questions'!$C$2:$C$23,I86)+SUMIFS('3 Hazed Questions'!$E$2:$E$23,'3 Hazed Questions'!$A$2:$A$23,"Q2",'3 Hazed Questions'!$C$2:$C$23,J86)+SUMIFS('3 Hazed Questions'!$E$2:$E$23,'3 Hazed Questions'!$A$2:$A$23,"Q3",'3 Hazed Questions'!$C$2:$C$23,K86)+SUMIFS('3 Hazed Questions'!$E$2:$E$23,'3 Hazed Questions'!$A$2:$A$23,"Q4",'3 Hazed Questions'!$C$2:$C$23,L86))</f>
        <v/>
      </c>
      <c r="O86" s="14" t="str">
        <f aca="false">IF(COUNTA(I86:L86)=0,"",SUMIFS('3 Hazed Questions'!$F$2:$F$23,'3 Hazed Questions'!$A$2:$A$23,"Q1",'3 Hazed Questions'!$C$2:$C$23,I86)+SUMIFS('3 Hazed Questions'!$F$2:$F$23,'3 Hazed Questions'!$A$2:$A$23,"Q2",'3 Hazed Questions'!$C$2:$C$23,J86)+SUMIFS('3 Hazed Questions'!$F$2:$F$23,'3 Hazed Questions'!$A$2:$A$23,"Q3",'3 Hazed Questions'!$C$2:$C$23,K86)+SUMIFS('3 Hazed Questions'!$F$2:$F$23,'3 Hazed Questions'!$A$2:$A$23,"Q4",'3 Hazed Questions'!$C$2:$C$23,L86))</f>
        <v/>
      </c>
      <c r="P86" s="14" t="str">
        <f aca="false">IF(COUNTA(I86:L86)=0,"",SUMIFS('3 Hazed Questions'!$G$2:$G$23,'3 Hazed Questions'!$A$2:$A$23,"Q1",'3 Hazed Questions'!$C$2:$C$23,I86)+SUMIFS('3 Hazed Questions'!$G$2:$G$23,'3 Hazed Questions'!$A$2:$A$23,"Q2",'3 Hazed Questions'!$C$2:$C$23,J86)+SUMIFS('3 Hazed Questions'!$G$2:$G$23,'3 Hazed Questions'!$A$2:$A$23,"Q3",'3 Hazed Questions'!$C$2:$C$23,K86)+SUMIFS('3 Hazed Questions'!$G$2:$G$23,'3 Hazed Questions'!$A$2:$A$23,"Q4",'3 Hazed Questions'!$C$2:$C$23,L86))</f>
        <v/>
      </c>
      <c r="Q86" s="14" t="str">
        <f aca="false">IF(COUNTA(I86:L86)=0,"",SUMIFS('3 Hazed Questions'!$H$2:$H$23,'3 Hazed Questions'!$A$2:$A$23,"Q1",'3 Hazed Questions'!$C$2:$C$23,I86)+SUMIFS('3 Hazed Questions'!$H$2:$H$23,'3 Hazed Questions'!$A$2:$A$23,"Q2",'3 Hazed Questions'!$C$2:$C$23,J86)+SUMIFS('3 Hazed Questions'!$H$2:$H$23,'3 Hazed Questions'!$A$2:$A$23,"Q3",'3 Hazed Questions'!$C$2:$C$23,K86)+SUMIFS('3 Hazed Questions'!$H$2:$H$23,'3 Hazed Questions'!$A$2:$A$23,"Q4",'3 Hazed Questions'!$C$2:$C$23,L86))</f>
        <v/>
      </c>
      <c r="R86" s="14" t="str">
        <f aca="false">IF(COUNTA(I86:L86)=0,"",SUMIFS('3 Hazed Questions'!$I$2:$I$23,'3 Hazed Questions'!$A$2:$A$23,"Q1",'3 Hazed Questions'!$C$2:$C$23,I86)+SUMIFS('3 Hazed Questions'!$I$2:$I$23,'3 Hazed Questions'!$A$2:$A$23,"Q2",'3 Hazed Questions'!$C$2:$C$23,J86)+SUMIFS('3 Hazed Questions'!$I$2:$I$23,'3 Hazed Questions'!$A$2:$A$23,"Q3",'3 Hazed Questions'!$C$2:$C$23,K86)+SUMIFS('3 Hazed Questions'!$I$2:$I$23,'3 Hazed Questions'!$A$2:$A$23,"Q4",'3 Hazed Questions'!$C$2:$C$23,L86))</f>
        <v/>
      </c>
      <c r="S86" s="14" t="str">
        <f aca="false">IF(COUNTA(I86:L86)=0,"",SUMIFS('3 Hazed Questions'!$J$2:$J$23,'3 Hazed Questions'!$A$2:$A$23,"Q1",'3 Hazed Questions'!$C$2:$C$23,I86)+SUMIFS('3 Hazed Questions'!$J$2:$J$23,'3 Hazed Questions'!$A$2:$A$23,"Q2",'3 Hazed Questions'!$C$2:$C$23,J86)+SUMIFS('3 Hazed Questions'!$J$2:$J$23,'3 Hazed Questions'!$A$2:$A$23,"Q3",'3 Hazed Questions'!$C$2:$C$23,K86)+SUMIFS('3 Hazed Questions'!$J$2:$J$23,'3 Hazed Questions'!$A$2:$A$23,"Q4",'3 Hazed Questions'!$C$2:$C$23,L86))</f>
        <v/>
      </c>
      <c r="T86" s="14" t="str">
        <f aca="false">IF(COUNTA(I86:L86)=0,"",SUMIFS('3 Hazed Questions'!$K$2:$K$23,'3 Hazed Questions'!$A$2:$A$23,"Q1",'3 Hazed Questions'!$C$2:$C$23,I86)+SUMIFS('3 Hazed Questions'!$K$2:$K$23,'3 Hazed Questions'!$A$2:$A$23,"Q2",'3 Hazed Questions'!$C$2:$C$23,J86)+SUMIFS('3 Hazed Questions'!$K$2:$K$23,'3 Hazed Questions'!$A$2:$A$23,"Q3",'3 Hazed Questions'!$C$2:$C$23,K86)+SUMIFS('3 Hazed Questions'!$K$2:$K$23,'3 Hazed Questions'!$A$2:$A$23,"Q4",'3 Hazed Questions'!$C$2:$C$23,L86))</f>
        <v/>
      </c>
      <c r="U86" s="14" t="str">
        <f aca="false">IF(COUNTA(I86:L86)=0,"",SUMIFS('3 Hazed Questions'!$L$2:$L$23,'3 Hazed Questions'!$A$2:$A$23,"Q1",'3 Hazed Questions'!$C$2:$C$23,I86)+SUMIFS('3 Hazed Questions'!$L$2:$L$23,'3 Hazed Questions'!$A$2:$A$23,"Q2",'3 Hazed Questions'!$C$2:$C$23,J86)+SUMIFS('3 Hazed Questions'!$L$2:$L$23,'3 Hazed Questions'!$A$2:$A$23,"Q3",'3 Hazed Questions'!$C$2:$C$23,K86)+SUMIFS('3 Hazed Questions'!$L$2:$L$23,'3 Hazed Questions'!$A$2:$A$23,"Q4",'3 Hazed Questions'!$C$2:$C$23,L86))</f>
        <v/>
      </c>
      <c r="V86" s="14" t="str">
        <f aca="false">IF(COUNTA(I86:L86)=0,"",SUMIFS('3 Hazed Questions'!$M$2:$M$23,'3 Hazed Questions'!$A$2:$A$23,"Q1",'3 Hazed Questions'!$C$2:$C$23,I86)+SUMIFS('3 Hazed Questions'!$M$2:$M$23,'3 Hazed Questions'!$A$2:$A$23,"Q2",'3 Hazed Questions'!$C$2:$C$23,J86)+SUMIFS('3 Hazed Questions'!$M$2:$M$23,'3 Hazed Questions'!$A$2:$A$23,"Q3",'3 Hazed Questions'!$C$2:$C$23,K86)+SUMIFS('3 Hazed Questions'!$M$2:$M$23,'3 Hazed Questions'!$A$2:$A$23,"Q4",'3 Hazed Questions'!$C$2:$C$23,L86))</f>
        <v/>
      </c>
      <c r="W86" s="14" t="str">
        <f aca="false">IF(COUNTA(I86:L86)=0,"",SUMIFS('3 Hazed Questions'!$N$2:$N$23,'3 Hazed Questions'!$A$2:$A$23,"Q1",'3 Hazed Questions'!$C$2:$C$23,I86)+SUMIFS('3 Hazed Questions'!$N$2:$N$23,'3 Hazed Questions'!$A$2:$A$23,"Q2",'3 Hazed Questions'!$C$2:$C$23,J86)+SUMIFS('3 Hazed Questions'!$N$2:$N$23,'3 Hazed Questions'!$A$2:$A$23,"Q3",'3 Hazed Questions'!$C$2:$C$23,K86)+SUMIFS('3 Hazed Questions'!$N$2:$N$23,'3 Hazed Questions'!$A$2:$A$23,"Q4",'3 Hazed Questions'!$C$2:$C$23,L86))</f>
        <v/>
      </c>
      <c r="X86" s="14" t="str">
        <f aca="false">IF(COUNTA(I86:L86)=0,"",INDEX(Fields!$B$2:$B$50,MATCH(SUBSTITUTE(INDEX($N$1:$W$1,MATCH(MAX($N86:$W86),$N86:$W86,0)),"Score: ",""),Fields!$A$2:$A$50,0)))</f>
        <v/>
      </c>
      <c r="Y86" s="14" t="str">
        <f aca="true">IF(COUNTA(I86:L86)=0,"",IF(LARGE($N86:$W86,2)=0,"-",INDEX(Fields!$B$2:$B$50,MATCH(SUBSTITUTE(INDEX($N$1:$W$1,IF(LARGE($N86:$W86,2)=MAX($N86:$W86),MATCH(MAX($N86:$W86),OFFSET($N86:$W86,0,MATCH(MAX($N86:$W86),$N86:$W86,0),1,10-MATCH(MAX($N86:$W86),$N86:$W86,0)),0)+MATCH(MAX($N86:$W86),$N86:$W86,0),MATCH(LARGE($N86:$W86,2),$N86:$W86,0))),"Score: ",""),Fields!$A$2:$A$50,0))))</f>
        <v/>
      </c>
      <c r="Z86" s="14" t="str">
        <f aca="false">IF(M86="","",IFERROR(INDEX('3 Hazed Questions'!$O$2:$O$23,MATCH(1,INDEX(('3 Hazed Questions'!$A$2:$A$23="Q5")*('3 Hazed Questions'!$C$2:$C$23=M86),0),0))&amp;"",""))</f>
        <v/>
      </c>
      <c r="AA86" s="18"/>
      <c r="AB86" s="18"/>
      <c r="AC86" s="19"/>
      <c r="AD86" s="19"/>
      <c r="AE86" s="18"/>
      <c r="AF86" s="18"/>
      <c r="AG86" s="18"/>
    </row>
    <row r="87" customFormat="false" ht="15" hidden="false" customHeight="false" outlineLevel="0" collapsed="false">
      <c r="A87" s="18"/>
      <c r="B87" s="19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4" t="str">
        <f aca="false">IF(COUNTA(I87:L87)=0,"",SUMIFS('3 Hazed Questions'!$E$2:$E$23,'3 Hazed Questions'!$A$2:$A$23,"Q1",'3 Hazed Questions'!$C$2:$C$23,I87)+SUMIFS('3 Hazed Questions'!$E$2:$E$23,'3 Hazed Questions'!$A$2:$A$23,"Q2",'3 Hazed Questions'!$C$2:$C$23,J87)+SUMIFS('3 Hazed Questions'!$E$2:$E$23,'3 Hazed Questions'!$A$2:$A$23,"Q3",'3 Hazed Questions'!$C$2:$C$23,K87)+SUMIFS('3 Hazed Questions'!$E$2:$E$23,'3 Hazed Questions'!$A$2:$A$23,"Q4",'3 Hazed Questions'!$C$2:$C$23,L87))</f>
        <v/>
      </c>
      <c r="O87" s="14" t="str">
        <f aca="false">IF(COUNTA(I87:L87)=0,"",SUMIFS('3 Hazed Questions'!$F$2:$F$23,'3 Hazed Questions'!$A$2:$A$23,"Q1",'3 Hazed Questions'!$C$2:$C$23,I87)+SUMIFS('3 Hazed Questions'!$F$2:$F$23,'3 Hazed Questions'!$A$2:$A$23,"Q2",'3 Hazed Questions'!$C$2:$C$23,J87)+SUMIFS('3 Hazed Questions'!$F$2:$F$23,'3 Hazed Questions'!$A$2:$A$23,"Q3",'3 Hazed Questions'!$C$2:$C$23,K87)+SUMIFS('3 Hazed Questions'!$F$2:$F$23,'3 Hazed Questions'!$A$2:$A$23,"Q4",'3 Hazed Questions'!$C$2:$C$23,L87))</f>
        <v/>
      </c>
      <c r="P87" s="14" t="str">
        <f aca="false">IF(COUNTA(I87:L87)=0,"",SUMIFS('3 Hazed Questions'!$G$2:$G$23,'3 Hazed Questions'!$A$2:$A$23,"Q1",'3 Hazed Questions'!$C$2:$C$23,I87)+SUMIFS('3 Hazed Questions'!$G$2:$G$23,'3 Hazed Questions'!$A$2:$A$23,"Q2",'3 Hazed Questions'!$C$2:$C$23,J87)+SUMIFS('3 Hazed Questions'!$G$2:$G$23,'3 Hazed Questions'!$A$2:$A$23,"Q3",'3 Hazed Questions'!$C$2:$C$23,K87)+SUMIFS('3 Hazed Questions'!$G$2:$G$23,'3 Hazed Questions'!$A$2:$A$23,"Q4",'3 Hazed Questions'!$C$2:$C$23,L87))</f>
        <v/>
      </c>
      <c r="Q87" s="14" t="str">
        <f aca="false">IF(COUNTA(I87:L87)=0,"",SUMIFS('3 Hazed Questions'!$H$2:$H$23,'3 Hazed Questions'!$A$2:$A$23,"Q1",'3 Hazed Questions'!$C$2:$C$23,I87)+SUMIFS('3 Hazed Questions'!$H$2:$H$23,'3 Hazed Questions'!$A$2:$A$23,"Q2",'3 Hazed Questions'!$C$2:$C$23,J87)+SUMIFS('3 Hazed Questions'!$H$2:$H$23,'3 Hazed Questions'!$A$2:$A$23,"Q3",'3 Hazed Questions'!$C$2:$C$23,K87)+SUMIFS('3 Hazed Questions'!$H$2:$H$23,'3 Hazed Questions'!$A$2:$A$23,"Q4",'3 Hazed Questions'!$C$2:$C$23,L87))</f>
        <v/>
      </c>
      <c r="R87" s="14" t="str">
        <f aca="false">IF(COUNTA(I87:L87)=0,"",SUMIFS('3 Hazed Questions'!$I$2:$I$23,'3 Hazed Questions'!$A$2:$A$23,"Q1",'3 Hazed Questions'!$C$2:$C$23,I87)+SUMIFS('3 Hazed Questions'!$I$2:$I$23,'3 Hazed Questions'!$A$2:$A$23,"Q2",'3 Hazed Questions'!$C$2:$C$23,J87)+SUMIFS('3 Hazed Questions'!$I$2:$I$23,'3 Hazed Questions'!$A$2:$A$23,"Q3",'3 Hazed Questions'!$C$2:$C$23,K87)+SUMIFS('3 Hazed Questions'!$I$2:$I$23,'3 Hazed Questions'!$A$2:$A$23,"Q4",'3 Hazed Questions'!$C$2:$C$23,L87))</f>
        <v/>
      </c>
      <c r="S87" s="14" t="str">
        <f aca="false">IF(COUNTA(I87:L87)=0,"",SUMIFS('3 Hazed Questions'!$J$2:$J$23,'3 Hazed Questions'!$A$2:$A$23,"Q1",'3 Hazed Questions'!$C$2:$C$23,I87)+SUMIFS('3 Hazed Questions'!$J$2:$J$23,'3 Hazed Questions'!$A$2:$A$23,"Q2",'3 Hazed Questions'!$C$2:$C$23,J87)+SUMIFS('3 Hazed Questions'!$J$2:$J$23,'3 Hazed Questions'!$A$2:$A$23,"Q3",'3 Hazed Questions'!$C$2:$C$23,K87)+SUMIFS('3 Hazed Questions'!$J$2:$J$23,'3 Hazed Questions'!$A$2:$A$23,"Q4",'3 Hazed Questions'!$C$2:$C$23,L87))</f>
        <v/>
      </c>
      <c r="T87" s="14" t="str">
        <f aca="false">IF(COUNTA(I87:L87)=0,"",SUMIFS('3 Hazed Questions'!$K$2:$K$23,'3 Hazed Questions'!$A$2:$A$23,"Q1",'3 Hazed Questions'!$C$2:$C$23,I87)+SUMIFS('3 Hazed Questions'!$K$2:$K$23,'3 Hazed Questions'!$A$2:$A$23,"Q2",'3 Hazed Questions'!$C$2:$C$23,J87)+SUMIFS('3 Hazed Questions'!$K$2:$K$23,'3 Hazed Questions'!$A$2:$A$23,"Q3",'3 Hazed Questions'!$C$2:$C$23,K87)+SUMIFS('3 Hazed Questions'!$K$2:$K$23,'3 Hazed Questions'!$A$2:$A$23,"Q4",'3 Hazed Questions'!$C$2:$C$23,L87))</f>
        <v/>
      </c>
      <c r="U87" s="14" t="str">
        <f aca="false">IF(COUNTA(I87:L87)=0,"",SUMIFS('3 Hazed Questions'!$L$2:$L$23,'3 Hazed Questions'!$A$2:$A$23,"Q1",'3 Hazed Questions'!$C$2:$C$23,I87)+SUMIFS('3 Hazed Questions'!$L$2:$L$23,'3 Hazed Questions'!$A$2:$A$23,"Q2",'3 Hazed Questions'!$C$2:$C$23,J87)+SUMIFS('3 Hazed Questions'!$L$2:$L$23,'3 Hazed Questions'!$A$2:$A$23,"Q3",'3 Hazed Questions'!$C$2:$C$23,K87)+SUMIFS('3 Hazed Questions'!$L$2:$L$23,'3 Hazed Questions'!$A$2:$A$23,"Q4",'3 Hazed Questions'!$C$2:$C$23,L87))</f>
        <v/>
      </c>
      <c r="V87" s="14" t="str">
        <f aca="false">IF(COUNTA(I87:L87)=0,"",SUMIFS('3 Hazed Questions'!$M$2:$M$23,'3 Hazed Questions'!$A$2:$A$23,"Q1",'3 Hazed Questions'!$C$2:$C$23,I87)+SUMIFS('3 Hazed Questions'!$M$2:$M$23,'3 Hazed Questions'!$A$2:$A$23,"Q2",'3 Hazed Questions'!$C$2:$C$23,J87)+SUMIFS('3 Hazed Questions'!$M$2:$M$23,'3 Hazed Questions'!$A$2:$A$23,"Q3",'3 Hazed Questions'!$C$2:$C$23,K87)+SUMIFS('3 Hazed Questions'!$M$2:$M$23,'3 Hazed Questions'!$A$2:$A$23,"Q4",'3 Hazed Questions'!$C$2:$C$23,L87))</f>
        <v/>
      </c>
      <c r="W87" s="14" t="str">
        <f aca="false">IF(COUNTA(I87:L87)=0,"",SUMIFS('3 Hazed Questions'!$N$2:$N$23,'3 Hazed Questions'!$A$2:$A$23,"Q1",'3 Hazed Questions'!$C$2:$C$23,I87)+SUMIFS('3 Hazed Questions'!$N$2:$N$23,'3 Hazed Questions'!$A$2:$A$23,"Q2",'3 Hazed Questions'!$C$2:$C$23,J87)+SUMIFS('3 Hazed Questions'!$N$2:$N$23,'3 Hazed Questions'!$A$2:$A$23,"Q3",'3 Hazed Questions'!$C$2:$C$23,K87)+SUMIFS('3 Hazed Questions'!$N$2:$N$23,'3 Hazed Questions'!$A$2:$A$23,"Q4",'3 Hazed Questions'!$C$2:$C$23,L87))</f>
        <v/>
      </c>
      <c r="X87" s="14" t="str">
        <f aca="false">IF(COUNTA(I87:L87)=0,"",INDEX(Fields!$B$2:$B$50,MATCH(SUBSTITUTE(INDEX($N$1:$W$1,MATCH(MAX($N87:$W87),$N87:$W87,0)),"Score: ",""),Fields!$A$2:$A$50,0)))</f>
        <v/>
      </c>
      <c r="Y87" s="14" t="str">
        <f aca="true">IF(COUNTA(I87:L87)=0,"",IF(LARGE($N87:$W87,2)=0,"-",INDEX(Fields!$B$2:$B$50,MATCH(SUBSTITUTE(INDEX($N$1:$W$1,IF(LARGE($N87:$W87,2)=MAX($N87:$W87),MATCH(MAX($N87:$W87),OFFSET($N87:$W87,0,MATCH(MAX($N87:$W87),$N87:$W87,0),1,10-MATCH(MAX($N87:$W87),$N87:$W87,0)),0)+MATCH(MAX($N87:$W87),$N87:$W87,0),MATCH(LARGE($N87:$W87,2),$N87:$W87,0))),"Score: ",""),Fields!$A$2:$A$50,0))))</f>
        <v/>
      </c>
      <c r="Z87" s="14" t="str">
        <f aca="false">IF(M87="","",IFERROR(INDEX('3 Hazed Questions'!$O$2:$O$23,MATCH(1,INDEX(('3 Hazed Questions'!$A$2:$A$23="Q5")*('3 Hazed Questions'!$C$2:$C$23=M87),0),0))&amp;"",""))</f>
        <v/>
      </c>
      <c r="AA87" s="18"/>
      <c r="AB87" s="18"/>
      <c r="AC87" s="19"/>
      <c r="AD87" s="19"/>
      <c r="AE87" s="18"/>
      <c r="AF87" s="18"/>
      <c r="AG87" s="18"/>
    </row>
    <row r="88" customFormat="false" ht="15" hidden="false" customHeight="false" outlineLevel="0" collapsed="false">
      <c r="A88" s="18"/>
      <c r="B88" s="19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4" t="str">
        <f aca="false">IF(COUNTA(I88:L88)=0,"",SUMIFS('3 Hazed Questions'!$E$2:$E$23,'3 Hazed Questions'!$A$2:$A$23,"Q1",'3 Hazed Questions'!$C$2:$C$23,I88)+SUMIFS('3 Hazed Questions'!$E$2:$E$23,'3 Hazed Questions'!$A$2:$A$23,"Q2",'3 Hazed Questions'!$C$2:$C$23,J88)+SUMIFS('3 Hazed Questions'!$E$2:$E$23,'3 Hazed Questions'!$A$2:$A$23,"Q3",'3 Hazed Questions'!$C$2:$C$23,K88)+SUMIFS('3 Hazed Questions'!$E$2:$E$23,'3 Hazed Questions'!$A$2:$A$23,"Q4",'3 Hazed Questions'!$C$2:$C$23,L88))</f>
        <v/>
      </c>
      <c r="O88" s="14" t="str">
        <f aca="false">IF(COUNTA(I88:L88)=0,"",SUMIFS('3 Hazed Questions'!$F$2:$F$23,'3 Hazed Questions'!$A$2:$A$23,"Q1",'3 Hazed Questions'!$C$2:$C$23,I88)+SUMIFS('3 Hazed Questions'!$F$2:$F$23,'3 Hazed Questions'!$A$2:$A$23,"Q2",'3 Hazed Questions'!$C$2:$C$23,J88)+SUMIFS('3 Hazed Questions'!$F$2:$F$23,'3 Hazed Questions'!$A$2:$A$23,"Q3",'3 Hazed Questions'!$C$2:$C$23,K88)+SUMIFS('3 Hazed Questions'!$F$2:$F$23,'3 Hazed Questions'!$A$2:$A$23,"Q4",'3 Hazed Questions'!$C$2:$C$23,L88))</f>
        <v/>
      </c>
      <c r="P88" s="14" t="str">
        <f aca="false">IF(COUNTA(I88:L88)=0,"",SUMIFS('3 Hazed Questions'!$G$2:$G$23,'3 Hazed Questions'!$A$2:$A$23,"Q1",'3 Hazed Questions'!$C$2:$C$23,I88)+SUMIFS('3 Hazed Questions'!$G$2:$G$23,'3 Hazed Questions'!$A$2:$A$23,"Q2",'3 Hazed Questions'!$C$2:$C$23,J88)+SUMIFS('3 Hazed Questions'!$G$2:$G$23,'3 Hazed Questions'!$A$2:$A$23,"Q3",'3 Hazed Questions'!$C$2:$C$23,K88)+SUMIFS('3 Hazed Questions'!$G$2:$G$23,'3 Hazed Questions'!$A$2:$A$23,"Q4",'3 Hazed Questions'!$C$2:$C$23,L88))</f>
        <v/>
      </c>
      <c r="Q88" s="14" t="str">
        <f aca="false">IF(COUNTA(I88:L88)=0,"",SUMIFS('3 Hazed Questions'!$H$2:$H$23,'3 Hazed Questions'!$A$2:$A$23,"Q1",'3 Hazed Questions'!$C$2:$C$23,I88)+SUMIFS('3 Hazed Questions'!$H$2:$H$23,'3 Hazed Questions'!$A$2:$A$23,"Q2",'3 Hazed Questions'!$C$2:$C$23,J88)+SUMIFS('3 Hazed Questions'!$H$2:$H$23,'3 Hazed Questions'!$A$2:$A$23,"Q3",'3 Hazed Questions'!$C$2:$C$23,K88)+SUMIFS('3 Hazed Questions'!$H$2:$H$23,'3 Hazed Questions'!$A$2:$A$23,"Q4",'3 Hazed Questions'!$C$2:$C$23,L88))</f>
        <v/>
      </c>
      <c r="R88" s="14" t="str">
        <f aca="false">IF(COUNTA(I88:L88)=0,"",SUMIFS('3 Hazed Questions'!$I$2:$I$23,'3 Hazed Questions'!$A$2:$A$23,"Q1",'3 Hazed Questions'!$C$2:$C$23,I88)+SUMIFS('3 Hazed Questions'!$I$2:$I$23,'3 Hazed Questions'!$A$2:$A$23,"Q2",'3 Hazed Questions'!$C$2:$C$23,J88)+SUMIFS('3 Hazed Questions'!$I$2:$I$23,'3 Hazed Questions'!$A$2:$A$23,"Q3",'3 Hazed Questions'!$C$2:$C$23,K88)+SUMIFS('3 Hazed Questions'!$I$2:$I$23,'3 Hazed Questions'!$A$2:$A$23,"Q4",'3 Hazed Questions'!$C$2:$C$23,L88))</f>
        <v/>
      </c>
      <c r="S88" s="14" t="str">
        <f aca="false">IF(COUNTA(I88:L88)=0,"",SUMIFS('3 Hazed Questions'!$J$2:$J$23,'3 Hazed Questions'!$A$2:$A$23,"Q1",'3 Hazed Questions'!$C$2:$C$23,I88)+SUMIFS('3 Hazed Questions'!$J$2:$J$23,'3 Hazed Questions'!$A$2:$A$23,"Q2",'3 Hazed Questions'!$C$2:$C$23,J88)+SUMIFS('3 Hazed Questions'!$J$2:$J$23,'3 Hazed Questions'!$A$2:$A$23,"Q3",'3 Hazed Questions'!$C$2:$C$23,K88)+SUMIFS('3 Hazed Questions'!$J$2:$J$23,'3 Hazed Questions'!$A$2:$A$23,"Q4",'3 Hazed Questions'!$C$2:$C$23,L88))</f>
        <v/>
      </c>
      <c r="T88" s="14" t="str">
        <f aca="false">IF(COUNTA(I88:L88)=0,"",SUMIFS('3 Hazed Questions'!$K$2:$K$23,'3 Hazed Questions'!$A$2:$A$23,"Q1",'3 Hazed Questions'!$C$2:$C$23,I88)+SUMIFS('3 Hazed Questions'!$K$2:$K$23,'3 Hazed Questions'!$A$2:$A$23,"Q2",'3 Hazed Questions'!$C$2:$C$23,J88)+SUMIFS('3 Hazed Questions'!$K$2:$K$23,'3 Hazed Questions'!$A$2:$A$23,"Q3",'3 Hazed Questions'!$C$2:$C$23,K88)+SUMIFS('3 Hazed Questions'!$K$2:$K$23,'3 Hazed Questions'!$A$2:$A$23,"Q4",'3 Hazed Questions'!$C$2:$C$23,L88))</f>
        <v/>
      </c>
      <c r="U88" s="14" t="str">
        <f aca="false">IF(COUNTA(I88:L88)=0,"",SUMIFS('3 Hazed Questions'!$L$2:$L$23,'3 Hazed Questions'!$A$2:$A$23,"Q1",'3 Hazed Questions'!$C$2:$C$23,I88)+SUMIFS('3 Hazed Questions'!$L$2:$L$23,'3 Hazed Questions'!$A$2:$A$23,"Q2",'3 Hazed Questions'!$C$2:$C$23,J88)+SUMIFS('3 Hazed Questions'!$L$2:$L$23,'3 Hazed Questions'!$A$2:$A$23,"Q3",'3 Hazed Questions'!$C$2:$C$23,K88)+SUMIFS('3 Hazed Questions'!$L$2:$L$23,'3 Hazed Questions'!$A$2:$A$23,"Q4",'3 Hazed Questions'!$C$2:$C$23,L88))</f>
        <v/>
      </c>
      <c r="V88" s="14" t="str">
        <f aca="false">IF(COUNTA(I88:L88)=0,"",SUMIFS('3 Hazed Questions'!$M$2:$M$23,'3 Hazed Questions'!$A$2:$A$23,"Q1",'3 Hazed Questions'!$C$2:$C$23,I88)+SUMIFS('3 Hazed Questions'!$M$2:$M$23,'3 Hazed Questions'!$A$2:$A$23,"Q2",'3 Hazed Questions'!$C$2:$C$23,J88)+SUMIFS('3 Hazed Questions'!$M$2:$M$23,'3 Hazed Questions'!$A$2:$A$23,"Q3",'3 Hazed Questions'!$C$2:$C$23,K88)+SUMIFS('3 Hazed Questions'!$M$2:$M$23,'3 Hazed Questions'!$A$2:$A$23,"Q4",'3 Hazed Questions'!$C$2:$C$23,L88))</f>
        <v/>
      </c>
      <c r="W88" s="14" t="str">
        <f aca="false">IF(COUNTA(I88:L88)=0,"",SUMIFS('3 Hazed Questions'!$N$2:$N$23,'3 Hazed Questions'!$A$2:$A$23,"Q1",'3 Hazed Questions'!$C$2:$C$23,I88)+SUMIFS('3 Hazed Questions'!$N$2:$N$23,'3 Hazed Questions'!$A$2:$A$23,"Q2",'3 Hazed Questions'!$C$2:$C$23,J88)+SUMIFS('3 Hazed Questions'!$N$2:$N$23,'3 Hazed Questions'!$A$2:$A$23,"Q3",'3 Hazed Questions'!$C$2:$C$23,K88)+SUMIFS('3 Hazed Questions'!$N$2:$N$23,'3 Hazed Questions'!$A$2:$A$23,"Q4",'3 Hazed Questions'!$C$2:$C$23,L88))</f>
        <v/>
      </c>
      <c r="X88" s="14" t="str">
        <f aca="false">IF(COUNTA(I88:L88)=0,"",INDEX(Fields!$B$2:$B$50,MATCH(SUBSTITUTE(INDEX($N$1:$W$1,MATCH(MAX($N88:$W88),$N88:$W88,0)),"Score: ",""),Fields!$A$2:$A$50,0)))</f>
        <v/>
      </c>
      <c r="Y88" s="14" t="str">
        <f aca="true">IF(COUNTA(I88:L88)=0,"",IF(LARGE($N88:$W88,2)=0,"-",INDEX(Fields!$B$2:$B$50,MATCH(SUBSTITUTE(INDEX($N$1:$W$1,IF(LARGE($N88:$W88,2)=MAX($N88:$W88),MATCH(MAX($N88:$W88),OFFSET($N88:$W88,0,MATCH(MAX($N88:$W88),$N88:$W88,0),1,10-MATCH(MAX($N88:$W88),$N88:$W88,0)),0)+MATCH(MAX($N88:$W88),$N88:$W88,0),MATCH(LARGE($N88:$W88,2),$N88:$W88,0))),"Score: ",""),Fields!$A$2:$A$50,0))))</f>
        <v/>
      </c>
      <c r="Z88" s="14" t="str">
        <f aca="false">IF(M88="","",IFERROR(INDEX('3 Hazed Questions'!$O$2:$O$23,MATCH(1,INDEX(('3 Hazed Questions'!$A$2:$A$23="Q5")*('3 Hazed Questions'!$C$2:$C$23=M88),0),0))&amp;"",""))</f>
        <v/>
      </c>
      <c r="AA88" s="18"/>
      <c r="AB88" s="18"/>
      <c r="AC88" s="19"/>
      <c r="AD88" s="19"/>
      <c r="AE88" s="18"/>
      <c r="AF88" s="18"/>
      <c r="AG88" s="18"/>
    </row>
    <row r="89" customFormat="false" ht="15" hidden="false" customHeight="false" outlineLevel="0" collapsed="false">
      <c r="A89" s="18"/>
      <c r="B89" s="19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4" t="str">
        <f aca="false">IF(COUNTA(I89:L89)=0,"",SUMIFS('3 Hazed Questions'!$E$2:$E$23,'3 Hazed Questions'!$A$2:$A$23,"Q1",'3 Hazed Questions'!$C$2:$C$23,I89)+SUMIFS('3 Hazed Questions'!$E$2:$E$23,'3 Hazed Questions'!$A$2:$A$23,"Q2",'3 Hazed Questions'!$C$2:$C$23,J89)+SUMIFS('3 Hazed Questions'!$E$2:$E$23,'3 Hazed Questions'!$A$2:$A$23,"Q3",'3 Hazed Questions'!$C$2:$C$23,K89)+SUMIFS('3 Hazed Questions'!$E$2:$E$23,'3 Hazed Questions'!$A$2:$A$23,"Q4",'3 Hazed Questions'!$C$2:$C$23,L89))</f>
        <v/>
      </c>
      <c r="O89" s="14" t="str">
        <f aca="false">IF(COUNTA(I89:L89)=0,"",SUMIFS('3 Hazed Questions'!$F$2:$F$23,'3 Hazed Questions'!$A$2:$A$23,"Q1",'3 Hazed Questions'!$C$2:$C$23,I89)+SUMIFS('3 Hazed Questions'!$F$2:$F$23,'3 Hazed Questions'!$A$2:$A$23,"Q2",'3 Hazed Questions'!$C$2:$C$23,J89)+SUMIFS('3 Hazed Questions'!$F$2:$F$23,'3 Hazed Questions'!$A$2:$A$23,"Q3",'3 Hazed Questions'!$C$2:$C$23,K89)+SUMIFS('3 Hazed Questions'!$F$2:$F$23,'3 Hazed Questions'!$A$2:$A$23,"Q4",'3 Hazed Questions'!$C$2:$C$23,L89))</f>
        <v/>
      </c>
      <c r="P89" s="14" t="str">
        <f aca="false">IF(COUNTA(I89:L89)=0,"",SUMIFS('3 Hazed Questions'!$G$2:$G$23,'3 Hazed Questions'!$A$2:$A$23,"Q1",'3 Hazed Questions'!$C$2:$C$23,I89)+SUMIFS('3 Hazed Questions'!$G$2:$G$23,'3 Hazed Questions'!$A$2:$A$23,"Q2",'3 Hazed Questions'!$C$2:$C$23,J89)+SUMIFS('3 Hazed Questions'!$G$2:$G$23,'3 Hazed Questions'!$A$2:$A$23,"Q3",'3 Hazed Questions'!$C$2:$C$23,K89)+SUMIFS('3 Hazed Questions'!$G$2:$G$23,'3 Hazed Questions'!$A$2:$A$23,"Q4",'3 Hazed Questions'!$C$2:$C$23,L89))</f>
        <v/>
      </c>
      <c r="Q89" s="14" t="str">
        <f aca="false">IF(COUNTA(I89:L89)=0,"",SUMIFS('3 Hazed Questions'!$H$2:$H$23,'3 Hazed Questions'!$A$2:$A$23,"Q1",'3 Hazed Questions'!$C$2:$C$23,I89)+SUMIFS('3 Hazed Questions'!$H$2:$H$23,'3 Hazed Questions'!$A$2:$A$23,"Q2",'3 Hazed Questions'!$C$2:$C$23,J89)+SUMIFS('3 Hazed Questions'!$H$2:$H$23,'3 Hazed Questions'!$A$2:$A$23,"Q3",'3 Hazed Questions'!$C$2:$C$23,K89)+SUMIFS('3 Hazed Questions'!$H$2:$H$23,'3 Hazed Questions'!$A$2:$A$23,"Q4",'3 Hazed Questions'!$C$2:$C$23,L89))</f>
        <v/>
      </c>
      <c r="R89" s="14" t="str">
        <f aca="false">IF(COUNTA(I89:L89)=0,"",SUMIFS('3 Hazed Questions'!$I$2:$I$23,'3 Hazed Questions'!$A$2:$A$23,"Q1",'3 Hazed Questions'!$C$2:$C$23,I89)+SUMIFS('3 Hazed Questions'!$I$2:$I$23,'3 Hazed Questions'!$A$2:$A$23,"Q2",'3 Hazed Questions'!$C$2:$C$23,J89)+SUMIFS('3 Hazed Questions'!$I$2:$I$23,'3 Hazed Questions'!$A$2:$A$23,"Q3",'3 Hazed Questions'!$C$2:$C$23,K89)+SUMIFS('3 Hazed Questions'!$I$2:$I$23,'3 Hazed Questions'!$A$2:$A$23,"Q4",'3 Hazed Questions'!$C$2:$C$23,L89))</f>
        <v/>
      </c>
      <c r="S89" s="14" t="str">
        <f aca="false">IF(COUNTA(I89:L89)=0,"",SUMIFS('3 Hazed Questions'!$J$2:$J$23,'3 Hazed Questions'!$A$2:$A$23,"Q1",'3 Hazed Questions'!$C$2:$C$23,I89)+SUMIFS('3 Hazed Questions'!$J$2:$J$23,'3 Hazed Questions'!$A$2:$A$23,"Q2",'3 Hazed Questions'!$C$2:$C$23,J89)+SUMIFS('3 Hazed Questions'!$J$2:$J$23,'3 Hazed Questions'!$A$2:$A$23,"Q3",'3 Hazed Questions'!$C$2:$C$23,K89)+SUMIFS('3 Hazed Questions'!$J$2:$J$23,'3 Hazed Questions'!$A$2:$A$23,"Q4",'3 Hazed Questions'!$C$2:$C$23,L89))</f>
        <v/>
      </c>
      <c r="T89" s="14" t="str">
        <f aca="false">IF(COUNTA(I89:L89)=0,"",SUMIFS('3 Hazed Questions'!$K$2:$K$23,'3 Hazed Questions'!$A$2:$A$23,"Q1",'3 Hazed Questions'!$C$2:$C$23,I89)+SUMIFS('3 Hazed Questions'!$K$2:$K$23,'3 Hazed Questions'!$A$2:$A$23,"Q2",'3 Hazed Questions'!$C$2:$C$23,J89)+SUMIFS('3 Hazed Questions'!$K$2:$K$23,'3 Hazed Questions'!$A$2:$A$23,"Q3",'3 Hazed Questions'!$C$2:$C$23,K89)+SUMIFS('3 Hazed Questions'!$K$2:$K$23,'3 Hazed Questions'!$A$2:$A$23,"Q4",'3 Hazed Questions'!$C$2:$C$23,L89))</f>
        <v/>
      </c>
      <c r="U89" s="14" t="str">
        <f aca="false">IF(COUNTA(I89:L89)=0,"",SUMIFS('3 Hazed Questions'!$L$2:$L$23,'3 Hazed Questions'!$A$2:$A$23,"Q1",'3 Hazed Questions'!$C$2:$C$23,I89)+SUMIFS('3 Hazed Questions'!$L$2:$L$23,'3 Hazed Questions'!$A$2:$A$23,"Q2",'3 Hazed Questions'!$C$2:$C$23,J89)+SUMIFS('3 Hazed Questions'!$L$2:$L$23,'3 Hazed Questions'!$A$2:$A$23,"Q3",'3 Hazed Questions'!$C$2:$C$23,K89)+SUMIFS('3 Hazed Questions'!$L$2:$L$23,'3 Hazed Questions'!$A$2:$A$23,"Q4",'3 Hazed Questions'!$C$2:$C$23,L89))</f>
        <v/>
      </c>
      <c r="V89" s="14" t="str">
        <f aca="false">IF(COUNTA(I89:L89)=0,"",SUMIFS('3 Hazed Questions'!$M$2:$M$23,'3 Hazed Questions'!$A$2:$A$23,"Q1",'3 Hazed Questions'!$C$2:$C$23,I89)+SUMIFS('3 Hazed Questions'!$M$2:$M$23,'3 Hazed Questions'!$A$2:$A$23,"Q2",'3 Hazed Questions'!$C$2:$C$23,J89)+SUMIFS('3 Hazed Questions'!$M$2:$M$23,'3 Hazed Questions'!$A$2:$A$23,"Q3",'3 Hazed Questions'!$C$2:$C$23,K89)+SUMIFS('3 Hazed Questions'!$M$2:$M$23,'3 Hazed Questions'!$A$2:$A$23,"Q4",'3 Hazed Questions'!$C$2:$C$23,L89))</f>
        <v/>
      </c>
      <c r="W89" s="14" t="str">
        <f aca="false">IF(COUNTA(I89:L89)=0,"",SUMIFS('3 Hazed Questions'!$N$2:$N$23,'3 Hazed Questions'!$A$2:$A$23,"Q1",'3 Hazed Questions'!$C$2:$C$23,I89)+SUMIFS('3 Hazed Questions'!$N$2:$N$23,'3 Hazed Questions'!$A$2:$A$23,"Q2",'3 Hazed Questions'!$C$2:$C$23,J89)+SUMIFS('3 Hazed Questions'!$N$2:$N$23,'3 Hazed Questions'!$A$2:$A$23,"Q3",'3 Hazed Questions'!$C$2:$C$23,K89)+SUMIFS('3 Hazed Questions'!$N$2:$N$23,'3 Hazed Questions'!$A$2:$A$23,"Q4",'3 Hazed Questions'!$C$2:$C$23,L89))</f>
        <v/>
      </c>
      <c r="X89" s="14" t="str">
        <f aca="false">IF(COUNTA(I89:L89)=0,"",INDEX(Fields!$B$2:$B$50,MATCH(SUBSTITUTE(INDEX($N$1:$W$1,MATCH(MAX($N89:$W89),$N89:$W89,0)),"Score: ",""),Fields!$A$2:$A$50,0)))</f>
        <v/>
      </c>
      <c r="Y89" s="14" t="str">
        <f aca="true">IF(COUNTA(I89:L89)=0,"",IF(LARGE($N89:$W89,2)=0,"-",INDEX(Fields!$B$2:$B$50,MATCH(SUBSTITUTE(INDEX($N$1:$W$1,IF(LARGE($N89:$W89,2)=MAX($N89:$W89),MATCH(MAX($N89:$W89),OFFSET($N89:$W89,0,MATCH(MAX($N89:$W89),$N89:$W89,0),1,10-MATCH(MAX($N89:$W89),$N89:$W89,0)),0)+MATCH(MAX($N89:$W89),$N89:$W89,0),MATCH(LARGE($N89:$W89,2),$N89:$W89,0))),"Score: ",""),Fields!$A$2:$A$50,0))))</f>
        <v/>
      </c>
      <c r="Z89" s="14" t="str">
        <f aca="false">IF(M89="","",IFERROR(INDEX('3 Hazed Questions'!$O$2:$O$23,MATCH(1,INDEX(('3 Hazed Questions'!$A$2:$A$23="Q5")*('3 Hazed Questions'!$C$2:$C$23=M89),0),0))&amp;"",""))</f>
        <v/>
      </c>
      <c r="AA89" s="18"/>
      <c r="AB89" s="18"/>
      <c r="AC89" s="19"/>
      <c r="AD89" s="19"/>
      <c r="AE89" s="18"/>
      <c r="AF89" s="18"/>
      <c r="AG89" s="18"/>
    </row>
    <row r="90" customFormat="false" ht="15" hidden="false" customHeight="false" outlineLevel="0" collapsed="false">
      <c r="A90" s="18"/>
      <c r="B90" s="19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4" t="str">
        <f aca="false">IF(COUNTA(I90:L90)=0,"",SUMIFS('3 Hazed Questions'!$E$2:$E$23,'3 Hazed Questions'!$A$2:$A$23,"Q1",'3 Hazed Questions'!$C$2:$C$23,I90)+SUMIFS('3 Hazed Questions'!$E$2:$E$23,'3 Hazed Questions'!$A$2:$A$23,"Q2",'3 Hazed Questions'!$C$2:$C$23,J90)+SUMIFS('3 Hazed Questions'!$E$2:$E$23,'3 Hazed Questions'!$A$2:$A$23,"Q3",'3 Hazed Questions'!$C$2:$C$23,K90)+SUMIFS('3 Hazed Questions'!$E$2:$E$23,'3 Hazed Questions'!$A$2:$A$23,"Q4",'3 Hazed Questions'!$C$2:$C$23,L90))</f>
        <v/>
      </c>
      <c r="O90" s="14" t="str">
        <f aca="false">IF(COUNTA(I90:L90)=0,"",SUMIFS('3 Hazed Questions'!$F$2:$F$23,'3 Hazed Questions'!$A$2:$A$23,"Q1",'3 Hazed Questions'!$C$2:$C$23,I90)+SUMIFS('3 Hazed Questions'!$F$2:$F$23,'3 Hazed Questions'!$A$2:$A$23,"Q2",'3 Hazed Questions'!$C$2:$C$23,J90)+SUMIFS('3 Hazed Questions'!$F$2:$F$23,'3 Hazed Questions'!$A$2:$A$23,"Q3",'3 Hazed Questions'!$C$2:$C$23,K90)+SUMIFS('3 Hazed Questions'!$F$2:$F$23,'3 Hazed Questions'!$A$2:$A$23,"Q4",'3 Hazed Questions'!$C$2:$C$23,L90))</f>
        <v/>
      </c>
      <c r="P90" s="14" t="str">
        <f aca="false">IF(COUNTA(I90:L90)=0,"",SUMIFS('3 Hazed Questions'!$G$2:$G$23,'3 Hazed Questions'!$A$2:$A$23,"Q1",'3 Hazed Questions'!$C$2:$C$23,I90)+SUMIFS('3 Hazed Questions'!$G$2:$G$23,'3 Hazed Questions'!$A$2:$A$23,"Q2",'3 Hazed Questions'!$C$2:$C$23,J90)+SUMIFS('3 Hazed Questions'!$G$2:$G$23,'3 Hazed Questions'!$A$2:$A$23,"Q3",'3 Hazed Questions'!$C$2:$C$23,K90)+SUMIFS('3 Hazed Questions'!$G$2:$G$23,'3 Hazed Questions'!$A$2:$A$23,"Q4",'3 Hazed Questions'!$C$2:$C$23,L90))</f>
        <v/>
      </c>
      <c r="Q90" s="14" t="str">
        <f aca="false">IF(COUNTA(I90:L90)=0,"",SUMIFS('3 Hazed Questions'!$H$2:$H$23,'3 Hazed Questions'!$A$2:$A$23,"Q1",'3 Hazed Questions'!$C$2:$C$23,I90)+SUMIFS('3 Hazed Questions'!$H$2:$H$23,'3 Hazed Questions'!$A$2:$A$23,"Q2",'3 Hazed Questions'!$C$2:$C$23,J90)+SUMIFS('3 Hazed Questions'!$H$2:$H$23,'3 Hazed Questions'!$A$2:$A$23,"Q3",'3 Hazed Questions'!$C$2:$C$23,K90)+SUMIFS('3 Hazed Questions'!$H$2:$H$23,'3 Hazed Questions'!$A$2:$A$23,"Q4",'3 Hazed Questions'!$C$2:$C$23,L90))</f>
        <v/>
      </c>
      <c r="R90" s="14" t="str">
        <f aca="false">IF(COUNTA(I90:L90)=0,"",SUMIFS('3 Hazed Questions'!$I$2:$I$23,'3 Hazed Questions'!$A$2:$A$23,"Q1",'3 Hazed Questions'!$C$2:$C$23,I90)+SUMIFS('3 Hazed Questions'!$I$2:$I$23,'3 Hazed Questions'!$A$2:$A$23,"Q2",'3 Hazed Questions'!$C$2:$C$23,J90)+SUMIFS('3 Hazed Questions'!$I$2:$I$23,'3 Hazed Questions'!$A$2:$A$23,"Q3",'3 Hazed Questions'!$C$2:$C$23,K90)+SUMIFS('3 Hazed Questions'!$I$2:$I$23,'3 Hazed Questions'!$A$2:$A$23,"Q4",'3 Hazed Questions'!$C$2:$C$23,L90))</f>
        <v/>
      </c>
      <c r="S90" s="14" t="str">
        <f aca="false">IF(COUNTA(I90:L90)=0,"",SUMIFS('3 Hazed Questions'!$J$2:$J$23,'3 Hazed Questions'!$A$2:$A$23,"Q1",'3 Hazed Questions'!$C$2:$C$23,I90)+SUMIFS('3 Hazed Questions'!$J$2:$J$23,'3 Hazed Questions'!$A$2:$A$23,"Q2",'3 Hazed Questions'!$C$2:$C$23,J90)+SUMIFS('3 Hazed Questions'!$J$2:$J$23,'3 Hazed Questions'!$A$2:$A$23,"Q3",'3 Hazed Questions'!$C$2:$C$23,K90)+SUMIFS('3 Hazed Questions'!$J$2:$J$23,'3 Hazed Questions'!$A$2:$A$23,"Q4",'3 Hazed Questions'!$C$2:$C$23,L90))</f>
        <v/>
      </c>
      <c r="T90" s="14" t="str">
        <f aca="false">IF(COUNTA(I90:L90)=0,"",SUMIFS('3 Hazed Questions'!$K$2:$K$23,'3 Hazed Questions'!$A$2:$A$23,"Q1",'3 Hazed Questions'!$C$2:$C$23,I90)+SUMIFS('3 Hazed Questions'!$K$2:$K$23,'3 Hazed Questions'!$A$2:$A$23,"Q2",'3 Hazed Questions'!$C$2:$C$23,J90)+SUMIFS('3 Hazed Questions'!$K$2:$K$23,'3 Hazed Questions'!$A$2:$A$23,"Q3",'3 Hazed Questions'!$C$2:$C$23,K90)+SUMIFS('3 Hazed Questions'!$K$2:$K$23,'3 Hazed Questions'!$A$2:$A$23,"Q4",'3 Hazed Questions'!$C$2:$C$23,L90))</f>
        <v/>
      </c>
      <c r="U90" s="14" t="str">
        <f aca="false">IF(COUNTA(I90:L90)=0,"",SUMIFS('3 Hazed Questions'!$L$2:$L$23,'3 Hazed Questions'!$A$2:$A$23,"Q1",'3 Hazed Questions'!$C$2:$C$23,I90)+SUMIFS('3 Hazed Questions'!$L$2:$L$23,'3 Hazed Questions'!$A$2:$A$23,"Q2",'3 Hazed Questions'!$C$2:$C$23,J90)+SUMIFS('3 Hazed Questions'!$L$2:$L$23,'3 Hazed Questions'!$A$2:$A$23,"Q3",'3 Hazed Questions'!$C$2:$C$23,K90)+SUMIFS('3 Hazed Questions'!$L$2:$L$23,'3 Hazed Questions'!$A$2:$A$23,"Q4",'3 Hazed Questions'!$C$2:$C$23,L90))</f>
        <v/>
      </c>
      <c r="V90" s="14" t="str">
        <f aca="false">IF(COUNTA(I90:L90)=0,"",SUMIFS('3 Hazed Questions'!$M$2:$M$23,'3 Hazed Questions'!$A$2:$A$23,"Q1",'3 Hazed Questions'!$C$2:$C$23,I90)+SUMIFS('3 Hazed Questions'!$M$2:$M$23,'3 Hazed Questions'!$A$2:$A$23,"Q2",'3 Hazed Questions'!$C$2:$C$23,J90)+SUMIFS('3 Hazed Questions'!$M$2:$M$23,'3 Hazed Questions'!$A$2:$A$23,"Q3",'3 Hazed Questions'!$C$2:$C$23,K90)+SUMIFS('3 Hazed Questions'!$M$2:$M$23,'3 Hazed Questions'!$A$2:$A$23,"Q4",'3 Hazed Questions'!$C$2:$C$23,L90))</f>
        <v/>
      </c>
      <c r="W90" s="14" t="str">
        <f aca="false">IF(COUNTA(I90:L90)=0,"",SUMIFS('3 Hazed Questions'!$N$2:$N$23,'3 Hazed Questions'!$A$2:$A$23,"Q1",'3 Hazed Questions'!$C$2:$C$23,I90)+SUMIFS('3 Hazed Questions'!$N$2:$N$23,'3 Hazed Questions'!$A$2:$A$23,"Q2",'3 Hazed Questions'!$C$2:$C$23,J90)+SUMIFS('3 Hazed Questions'!$N$2:$N$23,'3 Hazed Questions'!$A$2:$A$23,"Q3",'3 Hazed Questions'!$C$2:$C$23,K90)+SUMIFS('3 Hazed Questions'!$N$2:$N$23,'3 Hazed Questions'!$A$2:$A$23,"Q4",'3 Hazed Questions'!$C$2:$C$23,L90))</f>
        <v/>
      </c>
      <c r="X90" s="14" t="str">
        <f aca="false">IF(COUNTA(I90:L90)=0,"",INDEX(Fields!$B$2:$B$50,MATCH(SUBSTITUTE(INDEX($N$1:$W$1,MATCH(MAX($N90:$W90),$N90:$W90,0)),"Score: ",""),Fields!$A$2:$A$50,0)))</f>
        <v/>
      </c>
      <c r="Y90" s="14" t="str">
        <f aca="true">IF(COUNTA(I90:L90)=0,"",IF(LARGE($N90:$W90,2)=0,"-",INDEX(Fields!$B$2:$B$50,MATCH(SUBSTITUTE(INDEX($N$1:$W$1,IF(LARGE($N90:$W90,2)=MAX($N90:$W90),MATCH(MAX($N90:$W90),OFFSET($N90:$W90,0,MATCH(MAX($N90:$W90),$N90:$W90,0),1,10-MATCH(MAX($N90:$W90),$N90:$W90,0)),0)+MATCH(MAX($N90:$W90),$N90:$W90,0),MATCH(LARGE($N90:$W90,2),$N90:$W90,0))),"Score: ",""),Fields!$A$2:$A$50,0))))</f>
        <v/>
      </c>
      <c r="Z90" s="14" t="str">
        <f aca="false">IF(M90="","",IFERROR(INDEX('3 Hazed Questions'!$O$2:$O$23,MATCH(1,INDEX(('3 Hazed Questions'!$A$2:$A$23="Q5")*('3 Hazed Questions'!$C$2:$C$23=M90),0),0))&amp;"",""))</f>
        <v/>
      </c>
      <c r="AA90" s="18"/>
      <c r="AB90" s="18"/>
      <c r="AC90" s="19"/>
      <c r="AD90" s="19"/>
      <c r="AE90" s="18"/>
      <c r="AF90" s="18"/>
      <c r="AG90" s="18"/>
    </row>
    <row r="91" customFormat="false" ht="15" hidden="false" customHeight="false" outlineLevel="0" collapsed="false">
      <c r="A91" s="18"/>
      <c r="B91" s="19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4" t="str">
        <f aca="false">IF(COUNTA(I91:L91)=0,"",SUMIFS('3 Hazed Questions'!$E$2:$E$23,'3 Hazed Questions'!$A$2:$A$23,"Q1",'3 Hazed Questions'!$C$2:$C$23,I91)+SUMIFS('3 Hazed Questions'!$E$2:$E$23,'3 Hazed Questions'!$A$2:$A$23,"Q2",'3 Hazed Questions'!$C$2:$C$23,J91)+SUMIFS('3 Hazed Questions'!$E$2:$E$23,'3 Hazed Questions'!$A$2:$A$23,"Q3",'3 Hazed Questions'!$C$2:$C$23,K91)+SUMIFS('3 Hazed Questions'!$E$2:$E$23,'3 Hazed Questions'!$A$2:$A$23,"Q4",'3 Hazed Questions'!$C$2:$C$23,L91))</f>
        <v/>
      </c>
      <c r="O91" s="14" t="str">
        <f aca="false">IF(COUNTA(I91:L91)=0,"",SUMIFS('3 Hazed Questions'!$F$2:$F$23,'3 Hazed Questions'!$A$2:$A$23,"Q1",'3 Hazed Questions'!$C$2:$C$23,I91)+SUMIFS('3 Hazed Questions'!$F$2:$F$23,'3 Hazed Questions'!$A$2:$A$23,"Q2",'3 Hazed Questions'!$C$2:$C$23,J91)+SUMIFS('3 Hazed Questions'!$F$2:$F$23,'3 Hazed Questions'!$A$2:$A$23,"Q3",'3 Hazed Questions'!$C$2:$C$23,K91)+SUMIFS('3 Hazed Questions'!$F$2:$F$23,'3 Hazed Questions'!$A$2:$A$23,"Q4",'3 Hazed Questions'!$C$2:$C$23,L91))</f>
        <v/>
      </c>
      <c r="P91" s="14" t="str">
        <f aca="false">IF(COUNTA(I91:L91)=0,"",SUMIFS('3 Hazed Questions'!$G$2:$G$23,'3 Hazed Questions'!$A$2:$A$23,"Q1",'3 Hazed Questions'!$C$2:$C$23,I91)+SUMIFS('3 Hazed Questions'!$G$2:$G$23,'3 Hazed Questions'!$A$2:$A$23,"Q2",'3 Hazed Questions'!$C$2:$C$23,J91)+SUMIFS('3 Hazed Questions'!$G$2:$G$23,'3 Hazed Questions'!$A$2:$A$23,"Q3",'3 Hazed Questions'!$C$2:$C$23,K91)+SUMIFS('3 Hazed Questions'!$G$2:$G$23,'3 Hazed Questions'!$A$2:$A$23,"Q4",'3 Hazed Questions'!$C$2:$C$23,L91))</f>
        <v/>
      </c>
      <c r="Q91" s="14" t="str">
        <f aca="false">IF(COUNTA(I91:L91)=0,"",SUMIFS('3 Hazed Questions'!$H$2:$H$23,'3 Hazed Questions'!$A$2:$A$23,"Q1",'3 Hazed Questions'!$C$2:$C$23,I91)+SUMIFS('3 Hazed Questions'!$H$2:$H$23,'3 Hazed Questions'!$A$2:$A$23,"Q2",'3 Hazed Questions'!$C$2:$C$23,J91)+SUMIFS('3 Hazed Questions'!$H$2:$H$23,'3 Hazed Questions'!$A$2:$A$23,"Q3",'3 Hazed Questions'!$C$2:$C$23,K91)+SUMIFS('3 Hazed Questions'!$H$2:$H$23,'3 Hazed Questions'!$A$2:$A$23,"Q4",'3 Hazed Questions'!$C$2:$C$23,L91))</f>
        <v/>
      </c>
      <c r="R91" s="14" t="str">
        <f aca="false">IF(COUNTA(I91:L91)=0,"",SUMIFS('3 Hazed Questions'!$I$2:$I$23,'3 Hazed Questions'!$A$2:$A$23,"Q1",'3 Hazed Questions'!$C$2:$C$23,I91)+SUMIFS('3 Hazed Questions'!$I$2:$I$23,'3 Hazed Questions'!$A$2:$A$23,"Q2",'3 Hazed Questions'!$C$2:$C$23,J91)+SUMIFS('3 Hazed Questions'!$I$2:$I$23,'3 Hazed Questions'!$A$2:$A$23,"Q3",'3 Hazed Questions'!$C$2:$C$23,K91)+SUMIFS('3 Hazed Questions'!$I$2:$I$23,'3 Hazed Questions'!$A$2:$A$23,"Q4",'3 Hazed Questions'!$C$2:$C$23,L91))</f>
        <v/>
      </c>
      <c r="S91" s="14" t="str">
        <f aca="false">IF(COUNTA(I91:L91)=0,"",SUMIFS('3 Hazed Questions'!$J$2:$J$23,'3 Hazed Questions'!$A$2:$A$23,"Q1",'3 Hazed Questions'!$C$2:$C$23,I91)+SUMIFS('3 Hazed Questions'!$J$2:$J$23,'3 Hazed Questions'!$A$2:$A$23,"Q2",'3 Hazed Questions'!$C$2:$C$23,J91)+SUMIFS('3 Hazed Questions'!$J$2:$J$23,'3 Hazed Questions'!$A$2:$A$23,"Q3",'3 Hazed Questions'!$C$2:$C$23,K91)+SUMIFS('3 Hazed Questions'!$J$2:$J$23,'3 Hazed Questions'!$A$2:$A$23,"Q4",'3 Hazed Questions'!$C$2:$C$23,L91))</f>
        <v/>
      </c>
      <c r="T91" s="14" t="str">
        <f aca="false">IF(COUNTA(I91:L91)=0,"",SUMIFS('3 Hazed Questions'!$K$2:$K$23,'3 Hazed Questions'!$A$2:$A$23,"Q1",'3 Hazed Questions'!$C$2:$C$23,I91)+SUMIFS('3 Hazed Questions'!$K$2:$K$23,'3 Hazed Questions'!$A$2:$A$23,"Q2",'3 Hazed Questions'!$C$2:$C$23,J91)+SUMIFS('3 Hazed Questions'!$K$2:$K$23,'3 Hazed Questions'!$A$2:$A$23,"Q3",'3 Hazed Questions'!$C$2:$C$23,K91)+SUMIFS('3 Hazed Questions'!$K$2:$K$23,'3 Hazed Questions'!$A$2:$A$23,"Q4",'3 Hazed Questions'!$C$2:$C$23,L91))</f>
        <v/>
      </c>
      <c r="U91" s="14" t="str">
        <f aca="false">IF(COUNTA(I91:L91)=0,"",SUMIFS('3 Hazed Questions'!$L$2:$L$23,'3 Hazed Questions'!$A$2:$A$23,"Q1",'3 Hazed Questions'!$C$2:$C$23,I91)+SUMIFS('3 Hazed Questions'!$L$2:$L$23,'3 Hazed Questions'!$A$2:$A$23,"Q2",'3 Hazed Questions'!$C$2:$C$23,J91)+SUMIFS('3 Hazed Questions'!$L$2:$L$23,'3 Hazed Questions'!$A$2:$A$23,"Q3",'3 Hazed Questions'!$C$2:$C$23,K91)+SUMIFS('3 Hazed Questions'!$L$2:$L$23,'3 Hazed Questions'!$A$2:$A$23,"Q4",'3 Hazed Questions'!$C$2:$C$23,L91))</f>
        <v/>
      </c>
      <c r="V91" s="14" t="str">
        <f aca="false">IF(COUNTA(I91:L91)=0,"",SUMIFS('3 Hazed Questions'!$M$2:$M$23,'3 Hazed Questions'!$A$2:$A$23,"Q1",'3 Hazed Questions'!$C$2:$C$23,I91)+SUMIFS('3 Hazed Questions'!$M$2:$M$23,'3 Hazed Questions'!$A$2:$A$23,"Q2",'3 Hazed Questions'!$C$2:$C$23,J91)+SUMIFS('3 Hazed Questions'!$M$2:$M$23,'3 Hazed Questions'!$A$2:$A$23,"Q3",'3 Hazed Questions'!$C$2:$C$23,K91)+SUMIFS('3 Hazed Questions'!$M$2:$M$23,'3 Hazed Questions'!$A$2:$A$23,"Q4",'3 Hazed Questions'!$C$2:$C$23,L91))</f>
        <v/>
      </c>
      <c r="W91" s="14" t="str">
        <f aca="false">IF(COUNTA(I91:L91)=0,"",SUMIFS('3 Hazed Questions'!$N$2:$N$23,'3 Hazed Questions'!$A$2:$A$23,"Q1",'3 Hazed Questions'!$C$2:$C$23,I91)+SUMIFS('3 Hazed Questions'!$N$2:$N$23,'3 Hazed Questions'!$A$2:$A$23,"Q2",'3 Hazed Questions'!$C$2:$C$23,J91)+SUMIFS('3 Hazed Questions'!$N$2:$N$23,'3 Hazed Questions'!$A$2:$A$23,"Q3",'3 Hazed Questions'!$C$2:$C$23,K91)+SUMIFS('3 Hazed Questions'!$N$2:$N$23,'3 Hazed Questions'!$A$2:$A$23,"Q4",'3 Hazed Questions'!$C$2:$C$23,L91))</f>
        <v/>
      </c>
      <c r="X91" s="14" t="str">
        <f aca="false">IF(COUNTA(I91:L91)=0,"",INDEX(Fields!$B$2:$B$50,MATCH(SUBSTITUTE(INDEX($N$1:$W$1,MATCH(MAX($N91:$W91),$N91:$W91,0)),"Score: ",""),Fields!$A$2:$A$50,0)))</f>
        <v/>
      </c>
      <c r="Y91" s="14" t="str">
        <f aca="true">IF(COUNTA(I91:L91)=0,"",IF(LARGE($N91:$W91,2)=0,"-",INDEX(Fields!$B$2:$B$50,MATCH(SUBSTITUTE(INDEX($N$1:$W$1,IF(LARGE($N91:$W91,2)=MAX($N91:$W91),MATCH(MAX($N91:$W91),OFFSET($N91:$W91,0,MATCH(MAX($N91:$W91),$N91:$W91,0),1,10-MATCH(MAX($N91:$W91),$N91:$W91,0)),0)+MATCH(MAX($N91:$W91),$N91:$W91,0),MATCH(LARGE($N91:$W91,2),$N91:$W91,0))),"Score: ",""),Fields!$A$2:$A$50,0))))</f>
        <v/>
      </c>
      <c r="Z91" s="14" t="str">
        <f aca="false">IF(M91="","",IFERROR(INDEX('3 Hazed Questions'!$O$2:$O$23,MATCH(1,INDEX(('3 Hazed Questions'!$A$2:$A$23="Q5")*('3 Hazed Questions'!$C$2:$C$23=M91),0),0))&amp;"",""))</f>
        <v/>
      </c>
      <c r="AA91" s="18"/>
      <c r="AB91" s="18"/>
      <c r="AC91" s="19"/>
      <c r="AD91" s="19"/>
      <c r="AE91" s="18"/>
      <c r="AF91" s="18"/>
      <c r="AG91" s="18"/>
    </row>
    <row r="92" customFormat="false" ht="15" hidden="false" customHeight="false" outlineLevel="0" collapsed="false">
      <c r="A92" s="18"/>
      <c r="B92" s="19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4" t="str">
        <f aca="false">IF(COUNTA(I92:L92)=0,"",SUMIFS('3 Hazed Questions'!$E$2:$E$23,'3 Hazed Questions'!$A$2:$A$23,"Q1",'3 Hazed Questions'!$C$2:$C$23,I92)+SUMIFS('3 Hazed Questions'!$E$2:$E$23,'3 Hazed Questions'!$A$2:$A$23,"Q2",'3 Hazed Questions'!$C$2:$C$23,J92)+SUMIFS('3 Hazed Questions'!$E$2:$E$23,'3 Hazed Questions'!$A$2:$A$23,"Q3",'3 Hazed Questions'!$C$2:$C$23,K92)+SUMIFS('3 Hazed Questions'!$E$2:$E$23,'3 Hazed Questions'!$A$2:$A$23,"Q4",'3 Hazed Questions'!$C$2:$C$23,L92))</f>
        <v/>
      </c>
      <c r="O92" s="14" t="str">
        <f aca="false">IF(COUNTA(I92:L92)=0,"",SUMIFS('3 Hazed Questions'!$F$2:$F$23,'3 Hazed Questions'!$A$2:$A$23,"Q1",'3 Hazed Questions'!$C$2:$C$23,I92)+SUMIFS('3 Hazed Questions'!$F$2:$F$23,'3 Hazed Questions'!$A$2:$A$23,"Q2",'3 Hazed Questions'!$C$2:$C$23,J92)+SUMIFS('3 Hazed Questions'!$F$2:$F$23,'3 Hazed Questions'!$A$2:$A$23,"Q3",'3 Hazed Questions'!$C$2:$C$23,K92)+SUMIFS('3 Hazed Questions'!$F$2:$F$23,'3 Hazed Questions'!$A$2:$A$23,"Q4",'3 Hazed Questions'!$C$2:$C$23,L92))</f>
        <v/>
      </c>
      <c r="P92" s="14" t="str">
        <f aca="false">IF(COUNTA(I92:L92)=0,"",SUMIFS('3 Hazed Questions'!$G$2:$G$23,'3 Hazed Questions'!$A$2:$A$23,"Q1",'3 Hazed Questions'!$C$2:$C$23,I92)+SUMIFS('3 Hazed Questions'!$G$2:$G$23,'3 Hazed Questions'!$A$2:$A$23,"Q2",'3 Hazed Questions'!$C$2:$C$23,J92)+SUMIFS('3 Hazed Questions'!$G$2:$G$23,'3 Hazed Questions'!$A$2:$A$23,"Q3",'3 Hazed Questions'!$C$2:$C$23,K92)+SUMIFS('3 Hazed Questions'!$G$2:$G$23,'3 Hazed Questions'!$A$2:$A$23,"Q4",'3 Hazed Questions'!$C$2:$C$23,L92))</f>
        <v/>
      </c>
      <c r="Q92" s="14" t="str">
        <f aca="false">IF(COUNTA(I92:L92)=0,"",SUMIFS('3 Hazed Questions'!$H$2:$H$23,'3 Hazed Questions'!$A$2:$A$23,"Q1",'3 Hazed Questions'!$C$2:$C$23,I92)+SUMIFS('3 Hazed Questions'!$H$2:$H$23,'3 Hazed Questions'!$A$2:$A$23,"Q2",'3 Hazed Questions'!$C$2:$C$23,J92)+SUMIFS('3 Hazed Questions'!$H$2:$H$23,'3 Hazed Questions'!$A$2:$A$23,"Q3",'3 Hazed Questions'!$C$2:$C$23,K92)+SUMIFS('3 Hazed Questions'!$H$2:$H$23,'3 Hazed Questions'!$A$2:$A$23,"Q4",'3 Hazed Questions'!$C$2:$C$23,L92))</f>
        <v/>
      </c>
      <c r="R92" s="14" t="str">
        <f aca="false">IF(COUNTA(I92:L92)=0,"",SUMIFS('3 Hazed Questions'!$I$2:$I$23,'3 Hazed Questions'!$A$2:$A$23,"Q1",'3 Hazed Questions'!$C$2:$C$23,I92)+SUMIFS('3 Hazed Questions'!$I$2:$I$23,'3 Hazed Questions'!$A$2:$A$23,"Q2",'3 Hazed Questions'!$C$2:$C$23,J92)+SUMIFS('3 Hazed Questions'!$I$2:$I$23,'3 Hazed Questions'!$A$2:$A$23,"Q3",'3 Hazed Questions'!$C$2:$C$23,K92)+SUMIFS('3 Hazed Questions'!$I$2:$I$23,'3 Hazed Questions'!$A$2:$A$23,"Q4",'3 Hazed Questions'!$C$2:$C$23,L92))</f>
        <v/>
      </c>
      <c r="S92" s="14" t="str">
        <f aca="false">IF(COUNTA(I92:L92)=0,"",SUMIFS('3 Hazed Questions'!$J$2:$J$23,'3 Hazed Questions'!$A$2:$A$23,"Q1",'3 Hazed Questions'!$C$2:$C$23,I92)+SUMIFS('3 Hazed Questions'!$J$2:$J$23,'3 Hazed Questions'!$A$2:$A$23,"Q2",'3 Hazed Questions'!$C$2:$C$23,J92)+SUMIFS('3 Hazed Questions'!$J$2:$J$23,'3 Hazed Questions'!$A$2:$A$23,"Q3",'3 Hazed Questions'!$C$2:$C$23,K92)+SUMIFS('3 Hazed Questions'!$J$2:$J$23,'3 Hazed Questions'!$A$2:$A$23,"Q4",'3 Hazed Questions'!$C$2:$C$23,L92))</f>
        <v/>
      </c>
      <c r="T92" s="14" t="str">
        <f aca="false">IF(COUNTA(I92:L92)=0,"",SUMIFS('3 Hazed Questions'!$K$2:$K$23,'3 Hazed Questions'!$A$2:$A$23,"Q1",'3 Hazed Questions'!$C$2:$C$23,I92)+SUMIFS('3 Hazed Questions'!$K$2:$K$23,'3 Hazed Questions'!$A$2:$A$23,"Q2",'3 Hazed Questions'!$C$2:$C$23,J92)+SUMIFS('3 Hazed Questions'!$K$2:$K$23,'3 Hazed Questions'!$A$2:$A$23,"Q3",'3 Hazed Questions'!$C$2:$C$23,K92)+SUMIFS('3 Hazed Questions'!$K$2:$K$23,'3 Hazed Questions'!$A$2:$A$23,"Q4",'3 Hazed Questions'!$C$2:$C$23,L92))</f>
        <v/>
      </c>
      <c r="U92" s="14" t="str">
        <f aca="false">IF(COUNTA(I92:L92)=0,"",SUMIFS('3 Hazed Questions'!$L$2:$L$23,'3 Hazed Questions'!$A$2:$A$23,"Q1",'3 Hazed Questions'!$C$2:$C$23,I92)+SUMIFS('3 Hazed Questions'!$L$2:$L$23,'3 Hazed Questions'!$A$2:$A$23,"Q2",'3 Hazed Questions'!$C$2:$C$23,J92)+SUMIFS('3 Hazed Questions'!$L$2:$L$23,'3 Hazed Questions'!$A$2:$A$23,"Q3",'3 Hazed Questions'!$C$2:$C$23,K92)+SUMIFS('3 Hazed Questions'!$L$2:$L$23,'3 Hazed Questions'!$A$2:$A$23,"Q4",'3 Hazed Questions'!$C$2:$C$23,L92))</f>
        <v/>
      </c>
      <c r="V92" s="14" t="str">
        <f aca="false">IF(COUNTA(I92:L92)=0,"",SUMIFS('3 Hazed Questions'!$M$2:$M$23,'3 Hazed Questions'!$A$2:$A$23,"Q1",'3 Hazed Questions'!$C$2:$C$23,I92)+SUMIFS('3 Hazed Questions'!$M$2:$M$23,'3 Hazed Questions'!$A$2:$A$23,"Q2",'3 Hazed Questions'!$C$2:$C$23,J92)+SUMIFS('3 Hazed Questions'!$M$2:$M$23,'3 Hazed Questions'!$A$2:$A$23,"Q3",'3 Hazed Questions'!$C$2:$C$23,K92)+SUMIFS('3 Hazed Questions'!$M$2:$M$23,'3 Hazed Questions'!$A$2:$A$23,"Q4",'3 Hazed Questions'!$C$2:$C$23,L92))</f>
        <v/>
      </c>
      <c r="W92" s="14" t="str">
        <f aca="false">IF(COUNTA(I92:L92)=0,"",SUMIFS('3 Hazed Questions'!$N$2:$N$23,'3 Hazed Questions'!$A$2:$A$23,"Q1",'3 Hazed Questions'!$C$2:$C$23,I92)+SUMIFS('3 Hazed Questions'!$N$2:$N$23,'3 Hazed Questions'!$A$2:$A$23,"Q2",'3 Hazed Questions'!$C$2:$C$23,J92)+SUMIFS('3 Hazed Questions'!$N$2:$N$23,'3 Hazed Questions'!$A$2:$A$23,"Q3",'3 Hazed Questions'!$C$2:$C$23,K92)+SUMIFS('3 Hazed Questions'!$N$2:$N$23,'3 Hazed Questions'!$A$2:$A$23,"Q4",'3 Hazed Questions'!$C$2:$C$23,L92))</f>
        <v/>
      </c>
      <c r="X92" s="14" t="str">
        <f aca="false">IF(COUNTA(I92:L92)=0,"",INDEX(Fields!$B$2:$B$50,MATCH(SUBSTITUTE(INDEX($N$1:$W$1,MATCH(MAX($N92:$W92),$N92:$W92,0)),"Score: ",""),Fields!$A$2:$A$50,0)))</f>
        <v/>
      </c>
      <c r="Y92" s="14" t="str">
        <f aca="true">IF(COUNTA(I92:L92)=0,"",IF(LARGE($N92:$W92,2)=0,"-",INDEX(Fields!$B$2:$B$50,MATCH(SUBSTITUTE(INDEX($N$1:$W$1,IF(LARGE($N92:$W92,2)=MAX($N92:$W92),MATCH(MAX($N92:$W92),OFFSET($N92:$W92,0,MATCH(MAX($N92:$W92),$N92:$W92,0),1,10-MATCH(MAX($N92:$W92),$N92:$W92,0)),0)+MATCH(MAX($N92:$W92),$N92:$W92,0),MATCH(LARGE($N92:$W92,2),$N92:$W92,0))),"Score: ",""),Fields!$A$2:$A$50,0))))</f>
        <v/>
      </c>
      <c r="Z92" s="14" t="str">
        <f aca="false">IF(M92="","",IFERROR(INDEX('3 Hazed Questions'!$O$2:$O$23,MATCH(1,INDEX(('3 Hazed Questions'!$A$2:$A$23="Q5")*('3 Hazed Questions'!$C$2:$C$23=M92),0),0))&amp;"",""))</f>
        <v/>
      </c>
      <c r="AA92" s="18"/>
      <c r="AB92" s="18"/>
      <c r="AC92" s="19"/>
      <c r="AD92" s="19"/>
      <c r="AE92" s="18"/>
      <c r="AF92" s="18"/>
      <c r="AG92" s="18"/>
    </row>
    <row r="93" customFormat="false" ht="15" hidden="false" customHeight="false" outlineLevel="0" collapsed="false">
      <c r="A93" s="18"/>
      <c r="B93" s="19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4" t="str">
        <f aca="false">IF(COUNTA(I93:L93)=0,"",SUMIFS('3 Hazed Questions'!$E$2:$E$23,'3 Hazed Questions'!$A$2:$A$23,"Q1",'3 Hazed Questions'!$C$2:$C$23,I93)+SUMIFS('3 Hazed Questions'!$E$2:$E$23,'3 Hazed Questions'!$A$2:$A$23,"Q2",'3 Hazed Questions'!$C$2:$C$23,J93)+SUMIFS('3 Hazed Questions'!$E$2:$E$23,'3 Hazed Questions'!$A$2:$A$23,"Q3",'3 Hazed Questions'!$C$2:$C$23,K93)+SUMIFS('3 Hazed Questions'!$E$2:$E$23,'3 Hazed Questions'!$A$2:$A$23,"Q4",'3 Hazed Questions'!$C$2:$C$23,L93))</f>
        <v/>
      </c>
      <c r="O93" s="14" t="str">
        <f aca="false">IF(COUNTA(I93:L93)=0,"",SUMIFS('3 Hazed Questions'!$F$2:$F$23,'3 Hazed Questions'!$A$2:$A$23,"Q1",'3 Hazed Questions'!$C$2:$C$23,I93)+SUMIFS('3 Hazed Questions'!$F$2:$F$23,'3 Hazed Questions'!$A$2:$A$23,"Q2",'3 Hazed Questions'!$C$2:$C$23,J93)+SUMIFS('3 Hazed Questions'!$F$2:$F$23,'3 Hazed Questions'!$A$2:$A$23,"Q3",'3 Hazed Questions'!$C$2:$C$23,K93)+SUMIFS('3 Hazed Questions'!$F$2:$F$23,'3 Hazed Questions'!$A$2:$A$23,"Q4",'3 Hazed Questions'!$C$2:$C$23,L93))</f>
        <v/>
      </c>
      <c r="P93" s="14" t="str">
        <f aca="false">IF(COUNTA(I93:L93)=0,"",SUMIFS('3 Hazed Questions'!$G$2:$G$23,'3 Hazed Questions'!$A$2:$A$23,"Q1",'3 Hazed Questions'!$C$2:$C$23,I93)+SUMIFS('3 Hazed Questions'!$G$2:$G$23,'3 Hazed Questions'!$A$2:$A$23,"Q2",'3 Hazed Questions'!$C$2:$C$23,J93)+SUMIFS('3 Hazed Questions'!$G$2:$G$23,'3 Hazed Questions'!$A$2:$A$23,"Q3",'3 Hazed Questions'!$C$2:$C$23,K93)+SUMIFS('3 Hazed Questions'!$G$2:$G$23,'3 Hazed Questions'!$A$2:$A$23,"Q4",'3 Hazed Questions'!$C$2:$C$23,L93))</f>
        <v/>
      </c>
      <c r="Q93" s="14" t="str">
        <f aca="false">IF(COUNTA(I93:L93)=0,"",SUMIFS('3 Hazed Questions'!$H$2:$H$23,'3 Hazed Questions'!$A$2:$A$23,"Q1",'3 Hazed Questions'!$C$2:$C$23,I93)+SUMIFS('3 Hazed Questions'!$H$2:$H$23,'3 Hazed Questions'!$A$2:$A$23,"Q2",'3 Hazed Questions'!$C$2:$C$23,J93)+SUMIFS('3 Hazed Questions'!$H$2:$H$23,'3 Hazed Questions'!$A$2:$A$23,"Q3",'3 Hazed Questions'!$C$2:$C$23,K93)+SUMIFS('3 Hazed Questions'!$H$2:$H$23,'3 Hazed Questions'!$A$2:$A$23,"Q4",'3 Hazed Questions'!$C$2:$C$23,L93))</f>
        <v/>
      </c>
      <c r="R93" s="14" t="str">
        <f aca="false">IF(COUNTA(I93:L93)=0,"",SUMIFS('3 Hazed Questions'!$I$2:$I$23,'3 Hazed Questions'!$A$2:$A$23,"Q1",'3 Hazed Questions'!$C$2:$C$23,I93)+SUMIFS('3 Hazed Questions'!$I$2:$I$23,'3 Hazed Questions'!$A$2:$A$23,"Q2",'3 Hazed Questions'!$C$2:$C$23,J93)+SUMIFS('3 Hazed Questions'!$I$2:$I$23,'3 Hazed Questions'!$A$2:$A$23,"Q3",'3 Hazed Questions'!$C$2:$C$23,K93)+SUMIFS('3 Hazed Questions'!$I$2:$I$23,'3 Hazed Questions'!$A$2:$A$23,"Q4",'3 Hazed Questions'!$C$2:$C$23,L93))</f>
        <v/>
      </c>
      <c r="S93" s="14" t="str">
        <f aca="false">IF(COUNTA(I93:L93)=0,"",SUMIFS('3 Hazed Questions'!$J$2:$J$23,'3 Hazed Questions'!$A$2:$A$23,"Q1",'3 Hazed Questions'!$C$2:$C$23,I93)+SUMIFS('3 Hazed Questions'!$J$2:$J$23,'3 Hazed Questions'!$A$2:$A$23,"Q2",'3 Hazed Questions'!$C$2:$C$23,J93)+SUMIFS('3 Hazed Questions'!$J$2:$J$23,'3 Hazed Questions'!$A$2:$A$23,"Q3",'3 Hazed Questions'!$C$2:$C$23,K93)+SUMIFS('3 Hazed Questions'!$J$2:$J$23,'3 Hazed Questions'!$A$2:$A$23,"Q4",'3 Hazed Questions'!$C$2:$C$23,L93))</f>
        <v/>
      </c>
      <c r="T93" s="14" t="str">
        <f aca="false">IF(COUNTA(I93:L93)=0,"",SUMIFS('3 Hazed Questions'!$K$2:$K$23,'3 Hazed Questions'!$A$2:$A$23,"Q1",'3 Hazed Questions'!$C$2:$C$23,I93)+SUMIFS('3 Hazed Questions'!$K$2:$K$23,'3 Hazed Questions'!$A$2:$A$23,"Q2",'3 Hazed Questions'!$C$2:$C$23,J93)+SUMIFS('3 Hazed Questions'!$K$2:$K$23,'3 Hazed Questions'!$A$2:$A$23,"Q3",'3 Hazed Questions'!$C$2:$C$23,K93)+SUMIFS('3 Hazed Questions'!$K$2:$K$23,'3 Hazed Questions'!$A$2:$A$23,"Q4",'3 Hazed Questions'!$C$2:$C$23,L93))</f>
        <v/>
      </c>
      <c r="U93" s="14" t="str">
        <f aca="false">IF(COUNTA(I93:L93)=0,"",SUMIFS('3 Hazed Questions'!$L$2:$L$23,'3 Hazed Questions'!$A$2:$A$23,"Q1",'3 Hazed Questions'!$C$2:$C$23,I93)+SUMIFS('3 Hazed Questions'!$L$2:$L$23,'3 Hazed Questions'!$A$2:$A$23,"Q2",'3 Hazed Questions'!$C$2:$C$23,J93)+SUMIFS('3 Hazed Questions'!$L$2:$L$23,'3 Hazed Questions'!$A$2:$A$23,"Q3",'3 Hazed Questions'!$C$2:$C$23,K93)+SUMIFS('3 Hazed Questions'!$L$2:$L$23,'3 Hazed Questions'!$A$2:$A$23,"Q4",'3 Hazed Questions'!$C$2:$C$23,L93))</f>
        <v/>
      </c>
      <c r="V93" s="14" t="str">
        <f aca="false">IF(COUNTA(I93:L93)=0,"",SUMIFS('3 Hazed Questions'!$M$2:$M$23,'3 Hazed Questions'!$A$2:$A$23,"Q1",'3 Hazed Questions'!$C$2:$C$23,I93)+SUMIFS('3 Hazed Questions'!$M$2:$M$23,'3 Hazed Questions'!$A$2:$A$23,"Q2",'3 Hazed Questions'!$C$2:$C$23,J93)+SUMIFS('3 Hazed Questions'!$M$2:$M$23,'3 Hazed Questions'!$A$2:$A$23,"Q3",'3 Hazed Questions'!$C$2:$C$23,K93)+SUMIFS('3 Hazed Questions'!$M$2:$M$23,'3 Hazed Questions'!$A$2:$A$23,"Q4",'3 Hazed Questions'!$C$2:$C$23,L93))</f>
        <v/>
      </c>
      <c r="W93" s="14" t="str">
        <f aca="false">IF(COUNTA(I93:L93)=0,"",SUMIFS('3 Hazed Questions'!$N$2:$N$23,'3 Hazed Questions'!$A$2:$A$23,"Q1",'3 Hazed Questions'!$C$2:$C$23,I93)+SUMIFS('3 Hazed Questions'!$N$2:$N$23,'3 Hazed Questions'!$A$2:$A$23,"Q2",'3 Hazed Questions'!$C$2:$C$23,J93)+SUMIFS('3 Hazed Questions'!$N$2:$N$23,'3 Hazed Questions'!$A$2:$A$23,"Q3",'3 Hazed Questions'!$C$2:$C$23,K93)+SUMIFS('3 Hazed Questions'!$N$2:$N$23,'3 Hazed Questions'!$A$2:$A$23,"Q4",'3 Hazed Questions'!$C$2:$C$23,L93))</f>
        <v/>
      </c>
      <c r="X93" s="14" t="str">
        <f aca="false">IF(COUNTA(I93:L93)=0,"",INDEX(Fields!$B$2:$B$50,MATCH(SUBSTITUTE(INDEX($N$1:$W$1,MATCH(MAX($N93:$W93),$N93:$W93,0)),"Score: ",""),Fields!$A$2:$A$50,0)))</f>
        <v/>
      </c>
      <c r="Y93" s="14" t="str">
        <f aca="true">IF(COUNTA(I93:L93)=0,"",IF(LARGE($N93:$W93,2)=0,"-",INDEX(Fields!$B$2:$B$50,MATCH(SUBSTITUTE(INDEX($N$1:$W$1,IF(LARGE($N93:$W93,2)=MAX($N93:$W93),MATCH(MAX($N93:$W93),OFFSET($N93:$W93,0,MATCH(MAX($N93:$W93),$N93:$W93,0),1,10-MATCH(MAX($N93:$W93),$N93:$W93,0)),0)+MATCH(MAX($N93:$W93),$N93:$W93,0),MATCH(LARGE($N93:$W93,2),$N93:$W93,0))),"Score: ",""),Fields!$A$2:$A$50,0))))</f>
        <v/>
      </c>
      <c r="Z93" s="14" t="str">
        <f aca="false">IF(M93="","",IFERROR(INDEX('3 Hazed Questions'!$O$2:$O$23,MATCH(1,INDEX(('3 Hazed Questions'!$A$2:$A$23="Q5")*('3 Hazed Questions'!$C$2:$C$23=M93),0),0))&amp;"",""))</f>
        <v/>
      </c>
      <c r="AA93" s="18"/>
      <c r="AB93" s="18"/>
      <c r="AC93" s="19"/>
      <c r="AD93" s="19"/>
      <c r="AE93" s="18"/>
      <c r="AF93" s="18"/>
      <c r="AG93" s="18"/>
    </row>
    <row r="94" customFormat="false" ht="15" hidden="false" customHeight="false" outlineLevel="0" collapsed="false">
      <c r="A94" s="18"/>
      <c r="B94" s="19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4" t="str">
        <f aca="false">IF(COUNTA(I94:L94)=0,"",SUMIFS('3 Hazed Questions'!$E$2:$E$23,'3 Hazed Questions'!$A$2:$A$23,"Q1",'3 Hazed Questions'!$C$2:$C$23,I94)+SUMIFS('3 Hazed Questions'!$E$2:$E$23,'3 Hazed Questions'!$A$2:$A$23,"Q2",'3 Hazed Questions'!$C$2:$C$23,J94)+SUMIFS('3 Hazed Questions'!$E$2:$E$23,'3 Hazed Questions'!$A$2:$A$23,"Q3",'3 Hazed Questions'!$C$2:$C$23,K94)+SUMIFS('3 Hazed Questions'!$E$2:$E$23,'3 Hazed Questions'!$A$2:$A$23,"Q4",'3 Hazed Questions'!$C$2:$C$23,L94))</f>
        <v/>
      </c>
      <c r="O94" s="14" t="str">
        <f aca="false">IF(COUNTA(I94:L94)=0,"",SUMIFS('3 Hazed Questions'!$F$2:$F$23,'3 Hazed Questions'!$A$2:$A$23,"Q1",'3 Hazed Questions'!$C$2:$C$23,I94)+SUMIFS('3 Hazed Questions'!$F$2:$F$23,'3 Hazed Questions'!$A$2:$A$23,"Q2",'3 Hazed Questions'!$C$2:$C$23,J94)+SUMIFS('3 Hazed Questions'!$F$2:$F$23,'3 Hazed Questions'!$A$2:$A$23,"Q3",'3 Hazed Questions'!$C$2:$C$23,K94)+SUMIFS('3 Hazed Questions'!$F$2:$F$23,'3 Hazed Questions'!$A$2:$A$23,"Q4",'3 Hazed Questions'!$C$2:$C$23,L94))</f>
        <v/>
      </c>
      <c r="P94" s="14" t="str">
        <f aca="false">IF(COUNTA(I94:L94)=0,"",SUMIFS('3 Hazed Questions'!$G$2:$G$23,'3 Hazed Questions'!$A$2:$A$23,"Q1",'3 Hazed Questions'!$C$2:$C$23,I94)+SUMIFS('3 Hazed Questions'!$G$2:$G$23,'3 Hazed Questions'!$A$2:$A$23,"Q2",'3 Hazed Questions'!$C$2:$C$23,J94)+SUMIFS('3 Hazed Questions'!$G$2:$G$23,'3 Hazed Questions'!$A$2:$A$23,"Q3",'3 Hazed Questions'!$C$2:$C$23,K94)+SUMIFS('3 Hazed Questions'!$G$2:$G$23,'3 Hazed Questions'!$A$2:$A$23,"Q4",'3 Hazed Questions'!$C$2:$C$23,L94))</f>
        <v/>
      </c>
      <c r="Q94" s="14" t="str">
        <f aca="false">IF(COUNTA(I94:L94)=0,"",SUMIFS('3 Hazed Questions'!$H$2:$H$23,'3 Hazed Questions'!$A$2:$A$23,"Q1",'3 Hazed Questions'!$C$2:$C$23,I94)+SUMIFS('3 Hazed Questions'!$H$2:$H$23,'3 Hazed Questions'!$A$2:$A$23,"Q2",'3 Hazed Questions'!$C$2:$C$23,J94)+SUMIFS('3 Hazed Questions'!$H$2:$H$23,'3 Hazed Questions'!$A$2:$A$23,"Q3",'3 Hazed Questions'!$C$2:$C$23,K94)+SUMIFS('3 Hazed Questions'!$H$2:$H$23,'3 Hazed Questions'!$A$2:$A$23,"Q4",'3 Hazed Questions'!$C$2:$C$23,L94))</f>
        <v/>
      </c>
      <c r="R94" s="14" t="str">
        <f aca="false">IF(COUNTA(I94:L94)=0,"",SUMIFS('3 Hazed Questions'!$I$2:$I$23,'3 Hazed Questions'!$A$2:$A$23,"Q1",'3 Hazed Questions'!$C$2:$C$23,I94)+SUMIFS('3 Hazed Questions'!$I$2:$I$23,'3 Hazed Questions'!$A$2:$A$23,"Q2",'3 Hazed Questions'!$C$2:$C$23,J94)+SUMIFS('3 Hazed Questions'!$I$2:$I$23,'3 Hazed Questions'!$A$2:$A$23,"Q3",'3 Hazed Questions'!$C$2:$C$23,K94)+SUMIFS('3 Hazed Questions'!$I$2:$I$23,'3 Hazed Questions'!$A$2:$A$23,"Q4",'3 Hazed Questions'!$C$2:$C$23,L94))</f>
        <v/>
      </c>
      <c r="S94" s="14" t="str">
        <f aca="false">IF(COUNTA(I94:L94)=0,"",SUMIFS('3 Hazed Questions'!$J$2:$J$23,'3 Hazed Questions'!$A$2:$A$23,"Q1",'3 Hazed Questions'!$C$2:$C$23,I94)+SUMIFS('3 Hazed Questions'!$J$2:$J$23,'3 Hazed Questions'!$A$2:$A$23,"Q2",'3 Hazed Questions'!$C$2:$C$23,J94)+SUMIFS('3 Hazed Questions'!$J$2:$J$23,'3 Hazed Questions'!$A$2:$A$23,"Q3",'3 Hazed Questions'!$C$2:$C$23,K94)+SUMIFS('3 Hazed Questions'!$J$2:$J$23,'3 Hazed Questions'!$A$2:$A$23,"Q4",'3 Hazed Questions'!$C$2:$C$23,L94))</f>
        <v/>
      </c>
      <c r="T94" s="14" t="str">
        <f aca="false">IF(COUNTA(I94:L94)=0,"",SUMIFS('3 Hazed Questions'!$K$2:$K$23,'3 Hazed Questions'!$A$2:$A$23,"Q1",'3 Hazed Questions'!$C$2:$C$23,I94)+SUMIFS('3 Hazed Questions'!$K$2:$K$23,'3 Hazed Questions'!$A$2:$A$23,"Q2",'3 Hazed Questions'!$C$2:$C$23,J94)+SUMIFS('3 Hazed Questions'!$K$2:$K$23,'3 Hazed Questions'!$A$2:$A$23,"Q3",'3 Hazed Questions'!$C$2:$C$23,K94)+SUMIFS('3 Hazed Questions'!$K$2:$K$23,'3 Hazed Questions'!$A$2:$A$23,"Q4",'3 Hazed Questions'!$C$2:$C$23,L94))</f>
        <v/>
      </c>
      <c r="U94" s="14" t="str">
        <f aca="false">IF(COUNTA(I94:L94)=0,"",SUMIFS('3 Hazed Questions'!$L$2:$L$23,'3 Hazed Questions'!$A$2:$A$23,"Q1",'3 Hazed Questions'!$C$2:$C$23,I94)+SUMIFS('3 Hazed Questions'!$L$2:$L$23,'3 Hazed Questions'!$A$2:$A$23,"Q2",'3 Hazed Questions'!$C$2:$C$23,J94)+SUMIFS('3 Hazed Questions'!$L$2:$L$23,'3 Hazed Questions'!$A$2:$A$23,"Q3",'3 Hazed Questions'!$C$2:$C$23,K94)+SUMIFS('3 Hazed Questions'!$L$2:$L$23,'3 Hazed Questions'!$A$2:$A$23,"Q4",'3 Hazed Questions'!$C$2:$C$23,L94))</f>
        <v/>
      </c>
      <c r="V94" s="14" t="str">
        <f aca="false">IF(COUNTA(I94:L94)=0,"",SUMIFS('3 Hazed Questions'!$M$2:$M$23,'3 Hazed Questions'!$A$2:$A$23,"Q1",'3 Hazed Questions'!$C$2:$C$23,I94)+SUMIFS('3 Hazed Questions'!$M$2:$M$23,'3 Hazed Questions'!$A$2:$A$23,"Q2",'3 Hazed Questions'!$C$2:$C$23,J94)+SUMIFS('3 Hazed Questions'!$M$2:$M$23,'3 Hazed Questions'!$A$2:$A$23,"Q3",'3 Hazed Questions'!$C$2:$C$23,K94)+SUMIFS('3 Hazed Questions'!$M$2:$M$23,'3 Hazed Questions'!$A$2:$A$23,"Q4",'3 Hazed Questions'!$C$2:$C$23,L94))</f>
        <v/>
      </c>
      <c r="W94" s="14" t="str">
        <f aca="false">IF(COUNTA(I94:L94)=0,"",SUMIFS('3 Hazed Questions'!$N$2:$N$23,'3 Hazed Questions'!$A$2:$A$23,"Q1",'3 Hazed Questions'!$C$2:$C$23,I94)+SUMIFS('3 Hazed Questions'!$N$2:$N$23,'3 Hazed Questions'!$A$2:$A$23,"Q2",'3 Hazed Questions'!$C$2:$C$23,J94)+SUMIFS('3 Hazed Questions'!$N$2:$N$23,'3 Hazed Questions'!$A$2:$A$23,"Q3",'3 Hazed Questions'!$C$2:$C$23,K94)+SUMIFS('3 Hazed Questions'!$N$2:$N$23,'3 Hazed Questions'!$A$2:$A$23,"Q4",'3 Hazed Questions'!$C$2:$C$23,L94))</f>
        <v/>
      </c>
      <c r="X94" s="14" t="str">
        <f aca="false">IF(COUNTA(I94:L94)=0,"",INDEX(Fields!$B$2:$B$50,MATCH(SUBSTITUTE(INDEX($N$1:$W$1,MATCH(MAX($N94:$W94),$N94:$W94,0)),"Score: ",""),Fields!$A$2:$A$50,0)))</f>
        <v/>
      </c>
      <c r="Y94" s="14" t="str">
        <f aca="true">IF(COUNTA(I94:L94)=0,"",IF(LARGE($N94:$W94,2)=0,"-",INDEX(Fields!$B$2:$B$50,MATCH(SUBSTITUTE(INDEX($N$1:$W$1,IF(LARGE($N94:$W94,2)=MAX($N94:$W94),MATCH(MAX($N94:$W94),OFFSET($N94:$W94,0,MATCH(MAX($N94:$W94),$N94:$W94,0),1,10-MATCH(MAX($N94:$W94),$N94:$W94,0)),0)+MATCH(MAX($N94:$W94),$N94:$W94,0),MATCH(LARGE($N94:$W94,2),$N94:$W94,0))),"Score: ",""),Fields!$A$2:$A$50,0))))</f>
        <v/>
      </c>
      <c r="Z94" s="14" t="str">
        <f aca="false">IF(M94="","",IFERROR(INDEX('3 Hazed Questions'!$O$2:$O$23,MATCH(1,INDEX(('3 Hazed Questions'!$A$2:$A$23="Q5")*('3 Hazed Questions'!$C$2:$C$23=M94),0),0))&amp;"",""))</f>
        <v/>
      </c>
      <c r="AA94" s="18"/>
      <c r="AB94" s="18"/>
      <c r="AC94" s="19"/>
      <c r="AD94" s="19"/>
      <c r="AE94" s="18"/>
      <c r="AF94" s="18"/>
      <c r="AG94" s="18"/>
    </row>
    <row r="95" customFormat="false" ht="15" hidden="false" customHeight="false" outlineLevel="0" collapsed="false">
      <c r="A95" s="18"/>
      <c r="B95" s="19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4" t="str">
        <f aca="false">IF(COUNTA(I95:L95)=0,"",SUMIFS('3 Hazed Questions'!$E$2:$E$23,'3 Hazed Questions'!$A$2:$A$23,"Q1",'3 Hazed Questions'!$C$2:$C$23,I95)+SUMIFS('3 Hazed Questions'!$E$2:$E$23,'3 Hazed Questions'!$A$2:$A$23,"Q2",'3 Hazed Questions'!$C$2:$C$23,J95)+SUMIFS('3 Hazed Questions'!$E$2:$E$23,'3 Hazed Questions'!$A$2:$A$23,"Q3",'3 Hazed Questions'!$C$2:$C$23,K95)+SUMIFS('3 Hazed Questions'!$E$2:$E$23,'3 Hazed Questions'!$A$2:$A$23,"Q4",'3 Hazed Questions'!$C$2:$C$23,L95))</f>
        <v/>
      </c>
      <c r="O95" s="14" t="str">
        <f aca="false">IF(COUNTA(I95:L95)=0,"",SUMIFS('3 Hazed Questions'!$F$2:$F$23,'3 Hazed Questions'!$A$2:$A$23,"Q1",'3 Hazed Questions'!$C$2:$C$23,I95)+SUMIFS('3 Hazed Questions'!$F$2:$F$23,'3 Hazed Questions'!$A$2:$A$23,"Q2",'3 Hazed Questions'!$C$2:$C$23,J95)+SUMIFS('3 Hazed Questions'!$F$2:$F$23,'3 Hazed Questions'!$A$2:$A$23,"Q3",'3 Hazed Questions'!$C$2:$C$23,K95)+SUMIFS('3 Hazed Questions'!$F$2:$F$23,'3 Hazed Questions'!$A$2:$A$23,"Q4",'3 Hazed Questions'!$C$2:$C$23,L95))</f>
        <v/>
      </c>
      <c r="P95" s="14" t="str">
        <f aca="false">IF(COUNTA(I95:L95)=0,"",SUMIFS('3 Hazed Questions'!$G$2:$G$23,'3 Hazed Questions'!$A$2:$A$23,"Q1",'3 Hazed Questions'!$C$2:$C$23,I95)+SUMIFS('3 Hazed Questions'!$G$2:$G$23,'3 Hazed Questions'!$A$2:$A$23,"Q2",'3 Hazed Questions'!$C$2:$C$23,J95)+SUMIFS('3 Hazed Questions'!$G$2:$G$23,'3 Hazed Questions'!$A$2:$A$23,"Q3",'3 Hazed Questions'!$C$2:$C$23,K95)+SUMIFS('3 Hazed Questions'!$G$2:$G$23,'3 Hazed Questions'!$A$2:$A$23,"Q4",'3 Hazed Questions'!$C$2:$C$23,L95))</f>
        <v/>
      </c>
      <c r="Q95" s="14" t="str">
        <f aca="false">IF(COUNTA(I95:L95)=0,"",SUMIFS('3 Hazed Questions'!$H$2:$H$23,'3 Hazed Questions'!$A$2:$A$23,"Q1",'3 Hazed Questions'!$C$2:$C$23,I95)+SUMIFS('3 Hazed Questions'!$H$2:$H$23,'3 Hazed Questions'!$A$2:$A$23,"Q2",'3 Hazed Questions'!$C$2:$C$23,J95)+SUMIFS('3 Hazed Questions'!$H$2:$H$23,'3 Hazed Questions'!$A$2:$A$23,"Q3",'3 Hazed Questions'!$C$2:$C$23,K95)+SUMIFS('3 Hazed Questions'!$H$2:$H$23,'3 Hazed Questions'!$A$2:$A$23,"Q4",'3 Hazed Questions'!$C$2:$C$23,L95))</f>
        <v/>
      </c>
      <c r="R95" s="14" t="str">
        <f aca="false">IF(COUNTA(I95:L95)=0,"",SUMIFS('3 Hazed Questions'!$I$2:$I$23,'3 Hazed Questions'!$A$2:$A$23,"Q1",'3 Hazed Questions'!$C$2:$C$23,I95)+SUMIFS('3 Hazed Questions'!$I$2:$I$23,'3 Hazed Questions'!$A$2:$A$23,"Q2",'3 Hazed Questions'!$C$2:$C$23,J95)+SUMIFS('3 Hazed Questions'!$I$2:$I$23,'3 Hazed Questions'!$A$2:$A$23,"Q3",'3 Hazed Questions'!$C$2:$C$23,K95)+SUMIFS('3 Hazed Questions'!$I$2:$I$23,'3 Hazed Questions'!$A$2:$A$23,"Q4",'3 Hazed Questions'!$C$2:$C$23,L95))</f>
        <v/>
      </c>
      <c r="S95" s="14" t="str">
        <f aca="false">IF(COUNTA(I95:L95)=0,"",SUMIFS('3 Hazed Questions'!$J$2:$J$23,'3 Hazed Questions'!$A$2:$A$23,"Q1",'3 Hazed Questions'!$C$2:$C$23,I95)+SUMIFS('3 Hazed Questions'!$J$2:$J$23,'3 Hazed Questions'!$A$2:$A$23,"Q2",'3 Hazed Questions'!$C$2:$C$23,J95)+SUMIFS('3 Hazed Questions'!$J$2:$J$23,'3 Hazed Questions'!$A$2:$A$23,"Q3",'3 Hazed Questions'!$C$2:$C$23,K95)+SUMIFS('3 Hazed Questions'!$J$2:$J$23,'3 Hazed Questions'!$A$2:$A$23,"Q4",'3 Hazed Questions'!$C$2:$C$23,L95))</f>
        <v/>
      </c>
      <c r="T95" s="14" t="str">
        <f aca="false">IF(COUNTA(I95:L95)=0,"",SUMIFS('3 Hazed Questions'!$K$2:$K$23,'3 Hazed Questions'!$A$2:$A$23,"Q1",'3 Hazed Questions'!$C$2:$C$23,I95)+SUMIFS('3 Hazed Questions'!$K$2:$K$23,'3 Hazed Questions'!$A$2:$A$23,"Q2",'3 Hazed Questions'!$C$2:$C$23,J95)+SUMIFS('3 Hazed Questions'!$K$2:$K$23,'3 Hazed Questions'!$A$2:$A$23,"Q3",'3 Hazed Questions'!$C$2:$C$23,K95)+SUMIFS('3 Hazed Questions'!$K$2:$K$23,'3 Hazed Questions'!$A$2:$A$23,"Q4",'3 Hazed Questions'!$C$2:$C$23,L95))</f>
        <v/>
      </c>
      <c r="U95" s="14" t="str">
        <f aca="false">IF(COUNTA(I95:L95)=0,"",SUMIFS('3 Hazed Questions'!$L$2:$L$23,'3 Hazed Questions'!$A$2:$A$23,"Q1",'3 Hazed Questions'!$C$2:$C$23,I95)+SUMIFS('3 Hazed Questions'!$L$2:$L$23,'3 Hazed Questions'!$A$2:$A$23,"Q2",'3 Hazed Questions'!$C$2:$C$23,J95)+SUMIFS('3 Hazed Questions'!$L$2:$L$23,'3 Hazed Questions'!$A$2:$A$23,"Q3",'3 Hazed Questions'!$C$2:$C$23,K95)+SUMIFS('3 Hazed Questions'!$L$2:$L$23,'3 Hazed Questions'!$A$2:$A$23,"Q4",'3 Hazed Questions'!$C$2:$C$23,L95))</f>
        <v/>
      </c>
      <c r="V95" s="14" t="str">
        <f aca="false">IF(COUNTA(I95:L95)=0,"",SUMIFS('3 Hazed Questions'!$M$2:$M$23,'3 Hazed Questions'!$A$2:$A$23,"Q1",'3 Hazed Questions'!$C$2:$C$23,I95)+SUMIFS('3 Hazed Questions'!$M$2:$M$23,'3 Hazed Questions'!$A$2:$A$23,"Q2",'3 Hazed Questions'!$C$2:$C$23,J95)+SUMIFS('3 Hazed Questions'!$M$2:$M$23,'3 Hazed Questions'!$A$2:$A$23,"Q3",'3 Hazed Questions'!$C$2:$C$23,K95)+SUMIFS('3 Hazed Questions'!$M$2:$M$23,'3 Hazed Questions'!$A$2:$A$23,"Q4",'3 Hazed Questions'!$C$2:$C$23,L95))</f>
        <v/>
      </c>
      <c r="W95" s="14" t="str">
        <f aca="false">IF(COUNTA(I95:L95)=0,"",SUMIFS('3 Hazed Questions'!$N$2:$N$23,'3 Hazed Questions'!$A$2:$A$23,"Q1",'3 Hazed Questions'!$C$2:$C$23,I95)+SUMIFS('3 Hazed Questions'!$N$2:$N$23,'3 Hazed Questions'!$A$2:$A$23,"Q2",'3 Hazed Questions'!$C$2:$C$23,J95)+SUMIFS('3 Hazed Questions'!$N$2:$N$23,'3 Hazed Questions'!$A$2:$A$23,"Q3",'3 Hazed Questions'!$C$2:$C$23,K95)+SUMIFS('3 Hazed Questions'!$N$2:$N$23,'3 Hazed Questions'!$A$2:$A$23,"Q4",'3 Hazed Questions'!$C$2:$C$23,L95))</f>
        <v/>
      </c>
      <c r="X95" s="14" t="str">
        <f aca="false">IF(COUNTA(I95:L95)=0,"",INDEX(Fields!$B$2:$B$50,MATCH(SUBSTITUTE(INDEX($N$1:$W$1,MATCH(MAX($N95:$W95),$N95:$W95,0)),"Score: ",""),Fields!$A$2:$A$50,0)))</f>
        <v/>
      </c>
      <c r="Y95" s="14" t="str">
        <f aca="true">IF(COUNTA(I95:L95)=0,"",IF(LARGE($N95:$W95,2)=0,"-",INDEX(Fields!$B$2:$B$50,MATCH(SUBSTITUTE(INDEX($N$1:$W$1,IF(LARGE($N95:$W95,2)=MAX($N95:$W95),MATCH(MAX($N95:$W95),OFFSET($N95:$W95,0,MATCH(MAX($N95:$W95),$N95:$W95,0),1,10-MATCH(MAX($N95:$W95),$N95:$W95,0)),0)+MATCH(MAX($N95:$W95),$N95:$W95,0),MATCH(LARGE($N95:$W95,2),$N95:$W95,0))),"Score: ",""),Fields!$A$2:$A$50,0))))</f>
        <v/>
      </c>
      <c r="Z95" s="14" t="str">
        <f aca="false">IF(M95="","",IFERROR(INDEX('3 Hazed Questions'!$O$2:$O$23,MATCH(1,INDEX(('3 Hazed Questions'!$A$2:$A$23="Q5")*('3 Hazed Questions'!$C$2:$C$23=M95),0),0))&amp;"",""))</f>
        <v/>
      </c>
      <c r="AA95" s="18"/>
      <c r="AB95" s="18"/>
      <c r="AC95" s="19"/>
      <c r="AD95" s="19"/>
      <c r="AE95" s="18"/>
      <c r="AF95" s="18"/>
      <c r="AG95" s="18"/>
    </row>
    <row r="96" customFormat="false" ht="15" hidden="false" customHeight="false" outlineLevel="0" collapsed="false">
      <c r="A96" s="18"/>
      <c r="B96" s="19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4" t="str">
        <f aca="false">IF(COUNTA(I96:L96)=0,"",SUMIFS('3 Hazed Questions'!$E$2:$E$23,'3 Hazed Questions'!$A$2:$A$23,"Q1",'3 Hazed Questions'!$C$2:$C$23,I96)+SUMIFS('3 Hazed Questions'!$E$2:$E$23,'3 Hazed Questions'!$A$2:$A$23,"Q2",'3 Hazed Questions'!$C$2:$C$23,J96)+SUMIFS('3 Hazed Questions'!$E$2:$E$23,'3 Hazed Questions'!$A$2:$A$23,"Q3",'3 Hazed Questions'!$C$2:$C$23,K96)+SUMIFS('3 Hazed Questions'!$E$2:$E$23,'3 Hazed Questions'!$A$2:$A$23,"Q4",'3 Hazed Questions'!$C$2:$C$23,L96))</f>
        <v/>
      </c>
      <c r="O96" s="14" t="str">
        <f aca="false">IF(COUNTA(I96:L96)=0,"",SUMIFS('3 Hazed Questions'!$F$2:$F$23,'3 Hazed Questions'!$A$2:$A$23,"Q1",'3 Hazed Questions'!$C$2:$C$23,I96)+SUMIFS('3 Hazed Questions'!$F$2:$F$23,'3 Hazed Questions'!$A$2:$A$23,"Q2",'3 Hazed Questions'!$C$2:$C$23,J96)+SUMIFS('3 Hazed Questions'!$F$2:$F$23,'3 Hazed Questions'!$A$2:$A$23,"Q3",'3 Hazed Questions'!$C$2:$C$23,K96)+SUMIFS('3 Hazed Questions'!$F$2:$F$23,'3 Hazed Questions'!$A$2:$A$23,"Q4",'3 Hazed Questions'!$C$2:$C$23,L96))</f>
        <v/>
      </c>
      <c r="P96" s="14" t="str">
        <f aca="false">IF(COUNTA(I96:L96)=0,"",SUMIFS('3 Hazed Questions'!$G$2:$G$23,'3 Hazed Questions'!$A$2:$A$23,"Q1",'3 Hazed Questions'!$C$2:$C$23,I96)+SUMIFS('3 Hazed Questions'!$G$2:$G$23,'3 Hazed Questions'!$A$2:$A$23,"Q2",'3 Hazed Questions'!$C$2:$C$23,J96)+SUMIFS('3 Hazed Questions'!$G$2:$G$23,'3 Hazed Questions'!$A$2:$A$23,"Q3",'3 Hazed Questions'!$C$2:$C$23,K96)+SUMIFS('3 Hazed Questions'!$G$2:$G$23,'3 Hazed Questions'!$A$2:$A$23,"Q4",'3 Hazed Questions'!$C$2:$C$23,L96))</f>
        <v/>
      </c>
      <c r="Q96" s="14" t="str">
        <f aca="false">IF(COUNTA(I96:L96)=0,"",SUMIFS('3 Hazed Questions'!$H$2:$H$23,'3 Hazed Questions'!$A$2:$A$23,"Q1",'3 Hazed Questions'!$C$2:$C$23,I96)+SUMIFS('3 Hazed Questions'!$H$2:$H$23,'3 Hazed Questions'!$A$2:$A$23,"Q2",'3 Hazed Questions'!$C$2:$C$23,J96)+SUMIFS('3 Hazed Questions'!$H$2:$H$23,'3 Hazed Questions'!$A$2:$A$23,"Q3",'3 Hazed Questions'!$C$2:$C$23,K96)+SUMIFS('3 Hazed Questions'!$H$2:$H$23,'3 Hazed Questions'!$A$2:$A$23,"Q4",'3 Hazed Questions'!$C$2:$C$23,L96))</f>
        <v/>
      </c>
      <c r="R96" s="14" t="str">
        <f aca="false">IF(COUNTA(I96:L96)=0,"",SUMIFS('3 Hazed Questions'!$I$2:$I$23,'3 Hazed Questions'!$A$2:$A$23,"Q1",'3 Hazed Questions'!$C$2:$C$23,I96)+SUMIFS('3 Hazed Questions'!$I$2:$I$23,'3 Hazed Questions'!$A$2:$A$23,"Q2",'3 Hazed Questions'!$C$2:$C$23,J96)+SUMIFS('3 Hazed Questions'!$I$2:$I$23,'3 Hazed Questions'!$A$2:$A$23,"Q3",'3 Hazed Questions'!$C$2:$C$23,K96)+SUMIFS('3 Hazed Questions'!$I$2:$I$23,'3 Hazed Questions'!$A$2:$A$23,"Q4",'3 Hazed Questions'!$C$2:$C$23,L96))</f>
        <v/>
      </c>
      <c r="S96" s="14" t="str">
        <f aca="false">IF(COUNTA(I96:L96)=0,"",SUMIFS('3 Hazed Questions'!$J$2:$J$23,'3 Hazed Questions'!$A$2:$A$23,"Q1",'3 Hazed Questions'!$C$2:$C$23,I96)+SUMIFS('3 Hazed Questions'!$J$2:$J$23,'3 Hazed Questions'!$A$2:$A$23,"Q2",'3 Hazed Questions'!$C$2:$C$23,J96)+SUMIFS('3 Hazed Questions'!$J$2:$J$23,'3 Hazed Questions'!$A$2:$A$23,"Q3",'3 Hazed Questions'!$C$2:$C$23,K96)+SUMIFS('3 Hazed Questions'!$J$2:$J$23,'3 Hazed Questions'!$A$2:$A$23,"Q4",'3 Hazed Questions'!$C$2:$C$23,L96))</f>
        <v/>
      </c>
      <c r="T96" s="14" t="str">
        <f aca="false">IF(COUNTA(I96:L96)=0,"",SUMIFS('3 Hazed Questions'!$K$2:$K$23,'3 Hazed Questions'!$A$2:$A$23,"Q1",'3 Hazed Questions'!$C$2:$C$23,I96)+SUMIFS('3 Hazed Questions'!$K$2:$K$23,'3 Hazed Questions'!$A$2:$A$23,"Q2",'3 Hazed Questions'!$C$2:$C$23,J96)+SUMIFS('3 Hazed Questions'!$K$2:$K$23,'3 Hazed Questions'!$A$2:$A$23,"Q3",'3 Hazed Questions'!$C$2:$C$23,K96)+SUMIFS('3 Hazed Questions'!$K$2:$K$23,'3 Hazed Questions'!$A$2:$A$23,"Q4",'3 Hazed Questions'!$C$2:$C$23,L96))</f>
        <v/>
      </c>
      <c r="U96" s="14" t="str">
        <f aca="false">IF(COUNTA(I96:L96)=0,"",SUMIFS('3 Hazed Questions'!$L$2:$L$23,'3 Hazed Questions'!$A$2:$A$23,"Q1",'3 Hazed Questions'!$C$2:$C$23,I96)+SUMIFS('3 Hazed Questions'!$L$2:$L$23,'3 Hazed Questions'!$A$2:$A$23,"Q2",'3 Hazed Questions'!$C$2:$C$23,J96)+SUMIFS('3 Hazed Questions'!$L$2:$L$23,'3 Hazed Questions'!$A$2:$A$23,"Q3",'3 Hazed Questions'!$C$2:$C$23,K96)+SUMIFS('3 Hazed Questions'!$L$2:$L$23,'3 Hazed Questions'!$A$2:$A$23,"Q4",'3 Hazed Questions'!$C$2:$C$23,L96))</f>
        <v/>
      </c>
      <c r="V96" s="14" t="str">
        <f aca="false">IF(COUNTA(I96:L96)=0,"",SUMIFS('3 Hazed Questions'!$M$2:$M$23,'3 Hazed Questions'!$A$2:$A$23,"Q1",'3 Hazed Questions'!$C$2:$C$23,I96)+SUMIFS('3 Hazed Questions'!$M$2:$M$23,'3 Hazed Questions'!$A$2:$A$23,"Q2",'3 Hazed Questions'!$C$2:$C$23,J96)+SUMIFS('3 Hazed Questions'!$M$2:$M$23,'3 Hazed Questions'!$A$2:$A$23,"Q3",'3 Hazed Questions'!$C$2:$C$23,K96)+SUMIFS('3 Hazed Questions'!$M$2:$M$23,'3 Hazed Questions'!$A$2:$A$23,"Q4",'3 Hazed Questions'!$C$2:$C$23,L96))</f>
        <v/>
      </c>
      <c r="W96" s="14" t="str">
        <f aca="false">IF(COUNTA(I96:L96)=0,"",SUMIFS('3 Hazed Questions'!$N$2:$N$23,'3 Hazed Questions'!$A$2:$A$23,"Q1",'3 Hazed Questions'!$C$2:$C$23,I96)+SUMIFS('3 Hazed Questions'!$N$2:$N$23,'3 Hazed Questions'!$A$2:$A$23,"Q2",'3 Hazed Questions'!$C$2:$C$23,J96)+SUMIFS('3 Hazed Questions'!$N$2:$N$23,'3 Hazed Questions'!$A$2:$A$23,"Q3",'3 Hazed Questions'!$C$2:$C$23,K96)+SUMIFS('3 Hazed Questions'!$N$2:$N$23,'3 Hazed Questions'!$A$2:$A$23,"Q4",'3 Hazed Questions'!$C$2:$C$23,L96))</f>
        <v/>
      </c>
      <c r="X96" s="14" t="str">
        <f aca="false">IF(COUNTA(I96:L96)=0,"",INDEX(Fields!$B$2:$B$50,MATCH(SUBSTITUTE(INDEX($N$1:$W$1,MATCH(MAX($N96:$W96),$N96:$W96,0)),"Score: ",""),Fields!$A$2:$A$50,0)))</f>
        <v/>
      </c>
      <c r="Y96" s="14" t="str">
        <f aca="true">IF(COUNTA(I96:L96)=0,"",IF(LARGE($N96:$W96,2)=0,"-",INDEX(Fields!$B$2:$B$50,MATCH(SUBSTITUTE(INDEX($N$1:$W$1,IF(LARGE($N96:$W96,2)=MAX($N96:$W96),MATCH(MAX($N96:$W96),OFFSET($N96:$W96,0,MATCH(MAX($N96:$W96),$N96:$W96,0),1,10-MATCH(MAX($N96:$W96),$N96:$W96,0)),0)+MATCH(MAX($N96:$W96),$N96:$W96,0),MATCH(LARGE($N96:$W96,2),$N96:$W96,0))),"Score: ",""),Fields!$A$2:$A$50,0))))</f>
        <v/>
      </c>
      <c r="Z96" s="14" t="str">
        <f aca="false">IF(M96="","",IFERROR(INDEX('3 Hazed Questions'!$O$2:$O$23,MATCH(1,INDEX(('3 Hazed Questions'!$A$2:$A$23="Q5")*('3 Hazed Questions'!$C$2:$C$23=M96),0),0))&amp;"",""))</f>
        <v/>
      </c>
      <c r="AA96" s="18"/>
      <c r="AB96" s="18"/>
      <c r="AC96" s="19"/>
      <c r="AD96" s="19"/>
      <c r="AE96" s="18"/>
      <c r="AF96" s="18"/>
      <c r="AG96" s="18"/>
    </row>
    <row r="97" customFormat="false" ht="15" hidden="false" customHeight="false" outlineLevel="0" collapsed="false">
      <c r="A97" s="18"/>
      <c r="B97" s="19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4" t="str">
        <f aca="false">IF(COUNTA(I97:L97)=0,"",SUMIFS('3 Hazed Questions'!$E$2:$E$23,'3 Hazed Questions'!$A$2:$A$23,"Q1",'3 Hazed Questions'!$C$2:$C$23,I97)+SUMIFS('3 Hazed Questions'!$E$2:$E$23,'3 Hazed Questions'!$A$2:$A$23,"Q2",'3 Hazed Questions'!$C$2:$C$23,J97)+SUMIFS('3 Hazed Questions'!$E$2:$E$23,'3 Hazed Questions'!$A$2:$A$23,"Q3",'3 Hazed Questions'!$C$2:$C$23,K97)+SUMIFS('3 Hazed Questions'!$E$2:$E$23,'3 Hazed Questions'!$A$2:$A$23,"Q4",'3 Hazed Questions'!$C$2:$C$23,L97))</f>
        <v/>
      </c>
      <c r="O97" s="14" t="str">
        <f aca="false">IF(COUNTA(I97:L97)=0,"",SUMIFS('3 Hazed Questions'!$F$2:$F$23,'3 Hazed Questions'!$A$2:$A$23,"Q1",'3 Hazed Questions'!$C$2:$C$23,I97)+SUMIFS('3 Hazed Questions'!$F$2:$F$23,'3 Hazed Questions'!$A$2:$A$23,"Q2",'3 Hazed Questions'!$C$2:$C$23,J97)+SUMIFS('3 Hazed Questions'!$F$2:$F$23,'3 Hazed Questions'!$A$2:$A$23,"Q3",'3 Hazed Questions'!$C$2:$C$23,K97)+SUMIFS('3 Hazed Questions'!$F$2:$F$23,'3 Hazed Questions'!$A$2:$A$23,"Q4",'3 Hazed Questions'!$C$2:$C$23,L97))</f>
        <v/>
      </c>
      <c r="P97" s="14" t="str">
        <f aca="false">IF(COUNTA(I97:L97)=0,"",SUMIFS('3 Hazed Questions'!$G$2:$G$23,'3 Hazed Questions'!$A$2:$A$23,"Q1",'3 Hazed Questions'!$C$2:$C$23,I97)+SUMIFS('3 Hazed Questions'!$G$2:$G$23,'3 Hazed Questions'!$A$2:$A$23,"Q2",'3 Hazed Questions'!$C$2:$C$23,J97)+SUMIFS('3 Hazed Questions'!$G$2:$G$23,'3 Hazed Questions'!$A$2:$A$23,"Q3",'3 Hazed Questions'!$C$2:$C$23,K97)+SUMIFS('3 Hazed Questions'!$G$2:$G$23,'3 Hazed Questions'!$A$2:$A$23,"Q4",'3 Hazed Questions'!$C$2:$C$23,L97))</f>
        <v/>
      </c>
      <c r="Q97" s="14" t="str">
        <f aca="false">IF(COUNTA(I97:L97)=0,"",SUMIFS('3 Hazed Questions'!$H$2:$H$23,'3 Hazed Questions'!$A$2:$A$23,"Q1",'3 Hazed Questions'!$C$2:$C$23,I97)+SUMIFS('3 Hazed Questions'!$H$2:$H$23,'3 Hazed Questions'!$A$2:$A$23,"Q2",'3 Hazed Questions'!$C$2:$C$23,J97)+SUMIFS('3 Hazed Questions'!$H$2:$H$23,'3 Hazed Questions'!$A$2:$A$23,"Q3",'3 Hazed Questions'!$C$2:$C$23,K97)+SUMIFS('3 Hazed Questions'!$H$2:$H$23,'3 Hazed Questions'!$A$2:$A$23,"Q4",'3 Hazed Questions'!$C$2:$C$23,L97))</f>
        <v/>
      </c>
      <c r="R97" s="14" t="str">
        <f aca="false">IF(COUNTA(I97:L97)=0,"",SUMIFS('3 Hazed Questions'!$I$2:$I$23,'3 Hazed Questions'!$A$2:$A$23,"Q1",'3 Hazed Questions'!$C$2:$C$23,I97)+SUMIFS('3 Hazed Questions'!$I$2:$I$23,'3 Hazed Questions'!$A$2:$A$23,"Q2",'3 Hazed Questions'!$C$2:$C$23,J97)+SUMIFS('3 Hazed Questions'!$I$2:$I$23,'3 Hazed Questions'!$A$2:$A$23,"Q3",'3 Hazed Questions'!$C$2:$C$23,K97)+SUMIFS('3 Hazed Questions'!$I$2:$I$23,'3 Hazed Questions'!$A$2:$A$23,"Q4",'3 Hazed Questions'!$C$2:$C$23,L97))</f>
        <v/>
      </c>
      <c r="S97" s="14" t="str">
        <f aca="false">IF(COUNTA(I97:L97)=0,"",SUMIFS('3 Hazed Questions'!$J$2:$J$23,'3 Hazed Questions'!$A$2:$A$23,"Q1",'3 Hazed Questions'!$C$2:$C$23,I97)+SUMIFS('3 Hazed Questions'!$J$2:$J$23,'3 Hazed Questions'!$A$2:$A$23,"Q2",'3 Hazed Questions'!$C$2:$C$23,J97)+SUMIFS('3 Hazed Questions'!$J$2:$J$23,'3 Hazed Questions'!$A$2:$A$23,"Q3",'3 Hazed Questions'!$C$2:$C$23,K97)+SUMIFS('3 Hazed Questions'!$J$2:$J$23,'3 Hazed Questions'!$A$2:$A$23,"Q4",'3 Hazed Questions'!$C$2:$C$23,L97))</f>
        <v/>
      </c>
      <c r="T97" s="14" t="str">
        <f aca="false">IF(COUNTA(I97:L97)=0,"",SUMIFS('3 Hazed Questions'!$K$2:$K$23,'3 Hazed Questions'!$A$2:$A$23,"Q1",'3 Hazed Questions'!$C$2:$C$23,I97)+SUMIFS('3 Hazed Questions'!$K$2:$K$23,'3 Hazed Questions'!$A$2:$A$23,"Q2",'3 Hazed Questions'!$C$2:$C$23,J97)+SUMIFS('3 Hazed Questions'!$K$2:$K$23,'3 Hazed Questions'!$A$2:$A$23,"Q3",'3 Hazed Questions'!$C$2:$C$23,K97)+SUMIFS('3 Hazed Questions'!$K$2:$K$23,'3 Hazed Questions'!$A$2:$A$23,"Q4",'3 Hazed Questions'!$C$2:$C$23,L97))</f>
        <v/>
      </c>
      <c r="U97" s="14" t="str">
        <f aca="false">IF(COUNTA(I97:L97)=0,"",SUMIFS('3 Hazed Questions'!$L$2:$L$23,'3 Hazed Questions'!$A$2:$A$23,"Q1",'3 Hazed Questions'!$C$2:$C$23,I97)+SUMIFS('3 Hazed Questions'!$L$2:$L$23,'3 Hazed Questions'!$A$2:$A$23,"Q2",'3 Hazed Questions'!$C$2:$C$23,J97)+SUMIFS('3 Hazed Questions'!$L$2:$L$23,'3 Hazed Questions'!$A$2:$A$23,"Q3",'3 Hazed Questions'!$C$2:$C$23,K97)+SUMIFS('3 Hazed Questions'!$L$2:$L$23,'3 Hazed Questions'!$A$2:$A$23,"Q4",'3 Hazed Questions'!$C$2:$C$23,L97))</f>
        <v/>
      </c>
      <c r="V97" s="14" t="str">
        <f aca="false">IF(COUNTA(I97:L97)=0,"",SUMIFS('3 Hazed Questions'!$M$2:$M$23,'3 Hazed Questions'!$A$2:$A$23,"Q1",'3 Hazed Questions'!$C$2:$C$23,I97)+SUMIFS('3 Hazed Questions'!$M$2:$M$23,'3 Hazed Questions'!$A$2:$A$23,"Q2",'3 Hazed Questions'!$C$2:$C$23,J97)+SUMIFS('3 Hazed Questions'!$M$2:$M$23,'3 Hazed Questions'!$A$2:$A$23,"Q3",'3 Hazed Questions'!$C$2:$C$23,K97)+SUMIFS('3 Hazed Questions'!$M$2:$M$23,'3 Hazed Questions'!$A$2:$A$23,"Q4",'3 Hazed Questions'!$C$2:$C$23,L97))</f>
        <v/>
      </c>
      <c r="W97" s="14" t="str">
        <f aca="false">IF(COUNTA(I97:L97)=0,"",SUMIFS('3 Hazed Questions'!$N$2:$N$23,'3 Hazed Questions'!$A$2:$A$23,"Q1",'3 Hazed Questions'!$C$2:$C$23,I97)+SUMIFS('3 Hazed Questions'!$N$2:$N$23,'3 Hazed Questions'!$A$2:$A$23,"Q2",'3 Hazed Questions'!$C$2:$C$23,J97)+SUMIFS('3 Hazed Questions'!$N$2:$N$23,'3 Hazed Questions'!$A$2:$A$23,"Q3",'3 Hazed Questions'!$C$2:$C$23,K97)+SUMIFS('3 Hazed Questions'!$N$2:$N$23,'3 Hazed Questions'!$A$2:$A$23,"Q4",'3 Hazed Questions'!$C$2:$C$23,L97))</f>
        <v/>
      </c>
      <c r="X97" s="14" t="str">
        <f aca="false">IF(COUNTA(I97:L97)=0,"",INDEX(Fields!$B$2:$B$50,MATCH(SUBSTITUTE(INDEX($N$1:$W$1,MATCH(MAX($N97:$W97),$N97:$W97,0)),"Score: ",""),Fields!$A$2:$A$50,0)))</f>
        <v/>
      </c>
      <c r="Y97" s="14" t="str">
        <f aca="true">IF(COUNTA(I97:L97)=0,"",IF(LARGE($N97:$W97,2)=0,"-",INDEX(Fields!$B$2:$B$50,MATCH(SUBSTITUTE(INDEX($N$1:$W$1,IF(LARGE($N97:$W97,2)=MAX($N97:$W97),MATCH(MAX($N97:$W97),OFFSET($N97:$W97,0,MATCH(MAX($N97:$W97),$N97:$W97,0),1,10-MATCH(MAX($N97:$W97),$N97:$W97,0)),0)+MATCH(MAX($N97:$W97),$N97:$W97,0),MATCH(LARGE($N97:$W97,2),$N97:$W97,0))),"Score: ",""),Fields!$A$2:$A$50,0))))</f>
        <v/>
      </c>
      <c r="Z97" s="14" t="str">
        <f aca="false">IF(M97="","",IFERROR(INDEX('3 Hazed Questions'!$O$2:$O$23,MATCH(1,INDEX(('3 Hazed Questions'!$A$2:$A$23="Q5")*('3 Hazed Questions'!$C$2:$C$23=M97),0),0))&amp;"",""))</f>
        <v/>
      </c>
      <c r="AA97" s="18"/>
      <c r="AB97" s="18"/>
      <c r="AC97" s="19"/>
      <c r="AD97" s="19"/>
      <c r="AE97" s="18"/>
      <c r="AF97" s="18"/>
      <c r="AG97" s="18"/>
    </row>
    <row r="98" customFormat="false" ht="15" hidden="false" customHeight="false" outlineLevel="0" collapsed="false">
      <c r="A98" s="18"/>
      <c r="B98" s="19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4" t="str">
        <f aca="false">IF(COUNTA(I98:L98)=0,"",SUMIFS('3 Hazed Questions'!$E$2:$E$23,'3 Hazed Questions'!$A$2:$A$23,"Q1",'3 Hazed Questions'!$C$2:$C$23,I98)+SUMIFS('3 Hazed Questions'!$E$2:$E$23,'3 Hazed Questions'!$A$2:$A$23,"Q2",'3 Hazed Questions'!$C$2:$C$23,J98)+SUMIFS('3 Hazed Questions'!$E$2:$E$23,'3 Hazed Questions'!$A$2:$A$23,"Q3",'3 Hazed Questions'!$C$2:$C$23,K98)+SUMIFS('3 Hazed Questions'!$E$2:$E$23,'3 Hazed Questions'!$A$2:$A$23,"Q4",'3 Hazed Questions'!$C$2:$C$23,L98))</f>
        <v/>
      </c>
      <c r="O98" s="14" t="str">
        <f aca="false">IF(COUNTA(I98:L98)=0,"",SUMIFS('3 Hazed Questions'!$F$2:$F$23,'3 Hazed Questions'!$A$2:$A$23,"Q1",'3 Hazed Questions'!$C$2:$C$23,I98)+SUMIFS('3 Hazed Questions'!$F$2:$F$23,'3 Hazed Questions'!$A$2:$A$23,"Q2",'3 Hazed Questions'!$C$2:$C$23,J98)+SUMIFS('3 Hazed Questions'!$F$2:$F$23,'3 Hazed Questions'!$A$2:$A$23,"Q3",'3 Hazed Questions'!$C$2:$C$23,K98)+SUMIFS('3 Hazed Questions'!$F$2:$F$23,'3 Hazed Questions'!$A$2:$A$23,"Q4",'3 Hazed Questions'!$C$2:$C$23,L98))</f>
        <v/>
      </c>
      <c r="P98" s="14" t="str">
        <f aca="false">IF(COUNTA(I98:L98)=0,"",SUMIFS('3 Hazed Questions'!$G$2:$G$23,'3 Hazed Questions'!$A$2:$A$23,"Q1",'3 Hazed Questions'!$C$2:$C$23,I98)+SUMIFS('3 Hazed Questions'!$G$2:$G$23,'3 Hazed Questions'!$A$2:$A$23,"Q2",'3 Hazed Questions'!$C$2:$C$23,J98)+SUMIFS('3 Hazed Questions'!$G$2:$G$23,'3 Hazed Questions'!$A$2:$A$23,"Q3",'3 Hazed Questions'!$C$2:$C$23,K98)+SUMIFS('3 Hazed Questions'!$G$2:$G$23,'3 Hazed Questions'!$A$2:$A$23,"Q4",'3 Hazed Questions'!$C$2:$C$23,L98))</f>
        <v/>
      </c>
      <c r="Q98" s="14" t="str">
        <f aca="false">IF(COUNTA(I98:L98)=0,"",SUMIFS('3 Hazed Questions'!$H$2:$H$23,'3 Hazed Questions'!$A$2:$A$23,"Q1",'3 Hazed Questions'!$C$2:$C$23,I98)+SUMIFS('3 Hazed Questions'!$H$2:$H$23,'3 Hazed Questions'!$A$2:$A$23,"Q2",'3 Hazed Questions'!$C$2:$C$23,J98)+SUMIFS('3 Hazed Questions'!$H$2:$H$23,'3 Hazed Questions'!$A$2:$A$23,"Q3",'3 Hazed Questions'!$C$2:$C$23,K98)+SUMIFS('3 Hazed Questions'!$H$2:$H$23,'3 Hazed Questions'!$A$2:$A$23,"Q4",'3 Hazed Questions'!$C$2:$C$23,L98))</f>
        <v/>
      </c>
      <c r="R98" s="14" t="str">
        <f aca="false">IF(COUNTA(I98:L98)=0,"",SUMIFS('3 Hazed Questions'!$I$2:$I$23,'3 Hazed Questions'!$A$2:$A$23,"Q1",'3 Hazed Questions'!$C$2:$C$23,I98)+SUMIFS('3 Hazed Questions'!$I$2:$I$23,'3 Hazed Questions'!$A$2:$A$23,"Q2",'3 Hazed Questions'!$C$2:$C$23,J98)+SUMIFS('3 Hazed Questions'!$I$2:$I$23,'3 Hazed Questions'!$A$2:$A$23,"Q3",'3 Hazed Questions'!$C$2:$C$23,K98)+SUMIFS('3 Hazed Questions'!$I$2:$I$23,'3 Hazed Questions'!$A$2:$A$23,"Q4",'3 Hazed Questions'!$C$2:$C$23,L98))</f>
        <v/>
      </c>
      <c r="S98" s="14" t="str">
        <f aca="false">IF(COUNTA(I98:L98)=0,"",SUMIFS('3 Hazed Questions'!$J$2:$J$23,'3 Hazed Questions'!$A$2:$A$23,"Q1",'3 Hazed Questions'!$C$2:$C$23,I98)+SUMIFS('3 Hazed Questions'!$J$2:$J$23,'3 Hazed Questions'!$A$2:$A$23,"Q2",'3 Hazed Questions'!$C$2:$C$23,J98)+SUMIFS('3 Hazed Questions'!$J$2:$J$23,'3 Hazed Questions'!$A$2:$A$23,"Q3",'3 Hazed Questions'!$C$2:$C$23,K98)+SUMIFS('3 Hazed Questions'!$J$2:$J$23,'3 Hazed Questions'!$A$2:$A$23,"Q4",'3 Hazed Questions'!$C$2:$C$23,L98))</f>
        <v/>
      </c>
      <c r="T98" s="14" t="str">
        <f aca="false">IF(COUNTA(I98:L98)=0,"",SUMIFS('3 Hazed Questions'!$K$2:$K$23,'3 Hazed Questions'!$A$2:$A$23,"Q1",'3 Hazed Questions'!$C$2:$C$23,I98)+SUMIFS('3 Hazed Questions'!$K$2:$K$23,'3 Hazed Questions'!$A$2:$A$23,"Q2",'3 Hazed Questions'!$C$2:$C$23,J98)+SUMIFS('3 Hazed Questions'!$K$2:$K$23,'3 Hazed Questions'!$A$2:$A$23,"Q3",'3 Hazed Questions'!$C$2:$C$23,K98)+SUMIFS('3 Hazed Questions'!$K$2:$K$23,'3 Hazed Questions'!$A$2:$A$23,"Q4",'3 Hazed Questions'!$C$2:$C$23,L98))</f>
        <v/>
      </c>
      <c r="U98" s="14" t="str">
        <f aca="false">IF(COUNTA(I98:L98)=0,"",SUMIFS('3 Hazed Questions'!$L$2:$L$23,'3 Hazed Questions'!$A$2:$A$23,"Q1",'3 Hazed Questions'!$C$2:$C$23,I98)+SUMIFS('3 Hazed Questions'!$L$2:$L$23,'3 Hazed Questions'!$A$2:$A$23,"Q2",'3 Hazed Questions'!$C$2:$C$23,J98)+SUMIFS('3 Hazed Questions'!$L$2:$L$23,'3 Hazed Questions'!$A$2:$A$23,"Q3",'3 Hazed Questions'!$C$2:$C$23,K98)+SUMIFS('3 Hazed Questions'!$L$2:$L$23,'3 Hazed Questions'!$A$2:$A$23,"Q4",'3 Hazed Questions'!$C$2:$C$23,L98))</f>
        <v/>
      </c>
      <c r="V98" s="14" t="str">
        <f aca="false">IF(COUNTA(I98:L98)=0,"",SUMIFS('3 Hazed Questions'!$M$2:$M$23,'3 Hazed Questions'!$A$2:$A$23,"Q1",'3 Hazed Questions'!$C$2:$C$23,I98)+SUMIFS('3 Hazed Questions'!$M$2:$M$23,'3 Hazed Questions'!$A$2:$A$23,"Q2",'3 Hazed Questions'!$C$2:$C$23,J98)+SUMIFS('3 Hazed Questions'!$M$2:$M$23,'3 Hazed Questions'!$A$2:$A$23,"Q3",'3 Hazed Questions'!$C$2:$C$23,K98)+SUMIFS('3 Hazed Questions'!$M$2:$M$23,'3 Hazed Questions'!$A$2:$A$23,"Q4",'3 Hazed Questions'!$C$2:$C$23,L98))</f>
        <v/>
      </c>
      <c r="W98" s="14" t="str">
        <f aca="false">IF(COUNTA(I98:L98)=0,"",SUMIFS('3 Hazed Questions'!$N$2:$N$23,'3 Hazed Questions'!$A$2:$A$23,"Q1",'3 Hazed Questions'!$C$2:$C$23,I98)+SUMIFS('3 Hazed Questions'!$N$2:$N$23,'3 Hazed Questions'!$A$2:$A$23,"Q2",'3 Hazed Questions'!$C$2:$C$23,J98)+SUMIFS('3 Hazed Questions'!$N$2:$N$23,'3 Hazed Questions'!$A$2:$A$23,"Q3",'3 Hazed Questions'!$C$2:$C$23,K98)+SUMIFS('3 Hazed Questions'!$N$2:$N$23,'3 Hazed Questions'!$A$2:$A$23,"Q4",'3 Hazed Questions'!$C$2:$C$23,L98))</f>
        <v/>
      </c>
      <c r="X98" s="14" t="str">
        <f aca="false">IF(COUNTA(I98:L98)=0,"",INDEX(Fields!$B$2:$B$50,MATCH(SUBSTITUTE(INDEX($N$1:$W$1,MATCH(MAX($N98:$W98),$N98:$W98,0)),"Score: ",""),Fields!$A$2:$A$50,0)))</f>
        <v/>
      </c>
      <c r="Y98" s="14" t="str">
        <f aca="true">IF(COUNTA(I98:L98)=0,"",IF(LARGE($N98:$W98,2)=0,"-",INDEX(Fields!$B$2:$B$50,MATCH(SUBSTITUTE(INDEX($N$1:$W$1,IF(LARGE($N98:$W98,2)=MAX($N98:$W98),MATCH(MAX($N98:$W98),OFFSET($N98:$W98,0,MATCH(MAX($N98:$W98),$N98:$W98,0),1,10-MATCH(MAX($N98:$W98),$N98:$W98,0)),0)+MATCH(MAX($N98:$W98),$N98:$W98,0),MATCH(LARGE($N98:$W98,2),$N98:$W98,0))),"Score: ",""),Fields!$A$2:$A$50,0))))</f>
        <v/>
      </c>
      <c r="Z98" s="14" t="str">
        <f aca="false">IF(M98="","",IFERROR(INDEX('3 Hazed Questions'!$O$2:$O$23,MATCH(1,INDEX(('3 Hazed Questions'!$A$2:$A$23="Q5")*('3 Hazed Questions'!$C$2:$C$23=M98),0),0))&amp;"",""))</f>
        <v/>
      </c>
      <c r="AA98" s="18"/>
      <c r="AB98" s="18"/>
      <c r="AC98" s="19"/>
      <c r="AD98" s="19"/>
      <c r="AE98" s="18"/>
      <c r="AF98" s="18"/>
      <c r="AG98" s="18"/>
    </row>
    <row r="99" customFormat="false" ht="15" hidden="false" customHeight="false" outlineLevel="0" collapsed="false">
      <c r="A99" s="18"/>
      <c r="B99" s="19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4" t="str">
        <f aca="false">IF(COUNTA(I99:L99)=0,"",SUMIFS('3 Hazed Questions'!$E$2:$E$23,'3 Hazed Questions'!$A$2:$A$23,"Q1",'3 Hazed Questions'!$C$2:$C$23,I99)+SUMIFS('3 Hazed Questions'!$E$2:$E$23,'3 Hazed Questions'!$A$2:$A$23,"Q2",'3 Hazed Questions'!$C$2:$C$23,J99)+SUMIFS('3 Hazed Questions'!$E$2:$E$23,'3 Hazed Questions'!$A$2:$A$23,"Q3",'3 Hazed Questions'!$C$2:$C$23,K99)+SUMIFS('3 Hazed Questions'!$E$2:$E$23,'3 Hazed Questions'!$A$2:$A$23,"Q4",'3 Hazed Questions'!$C$2:$C$23,L99))</f>
        <v/>
      </c>
      <c r="O99" s="14" t="str">
        <f aca="false">IF(COUNTA(I99:L99)=0,"",SUMIFS('3 Hazed Questions'!$F$2:$F$23,'3 Hazed Questions'!$A$2:$A$23,"Q1",'3 Hazed Questions'!$C$2:$C$23,I99)+SUMIFS('3 Hazed Questions'!$F$2:$F$23,'3 Hazed Questions'!$A$2:$A$23,"Q2",'3 Hazed Questions'!$C$2:$C$23,J99)+SUMIFS('3 Hazed Questions'!$F$2:$F$23,'3 Hazed Questions'!$A$2:$A$23,"Q3",'3 Hazed Questions'!$C$2:$C$23,K99)+SUMIFS('3 Hazed Questions'!$F$2:$F$23,'3 Hazed Questions'!$A$2:$A$23,"Q4",'3 Hazed Questions'!$C$2:$C$23,L99))</f>
        <v/>
      </c>
      <c r="P99" s="14" t="str">
        <f aca="false">IF(COUNTA(I99:L99)=0,"",SUMIFS('3 Hazed Questions'!$G$2:$G$23,'3 Hazed Questions'!$A$2:$A$23,"Q1",'3 Hazed Questions'!$C$2:$C$23,I99)+SUMIFS('3 Hazed Questions'!$G$2:$G$23,'3 Hazed Questions'!$A$2:$A$23,"Q2",'3 Hazed Questions'!$C$2:$C$23,J99)+SUMIFS('3 Hazed Questions'!$G$2:$G$23,'3 Hazed Questions'!$A$2:$A$23,"Q3",'3 Hazed Questions'!$C$2:$C$23,K99)+SUMIFS('3 Hazed Questions'!$G$2:$G$23,'3 Hazed Questions'!$A$2:$A$23,"Q4",'3 Hazed Questions'!$C$2:$C$23,L99))</f>
        <v/>
      </c>
      <c r="Q99" s="14" t="str">
        <f aca="false">IF(COUNTA(I99:L99)=0,"",SUMIFS('3 Hazed Questions'!$H$2:$H$23,'3 Hazed Questions'!$A$2:$A$23,"Q1",'3 Hazed Questions'!$C$2:$C$23,I99)+SUMIFS('3 Hazed Questions'!$H$2:$H$23,'3 Hazed Questions'!$A$2:$A$23,"Q2",'3 Hazed Questions'!$C$2:$C$23,J99)+SUMIFS('3 Hazed Questions'!$H$2:$H$23,'3 Hazed Questions'!$A$2:$A$23,"Q3",'3 Hazed Questions'!$C$2:$C$23,K99)+SUMIFS('3 Hazed Questions'!$H$2:$H$23,'3 Hazed Questions'!$A$2:$A$23,"Q4",'3 Hazed Questions'!$C$2:$C$23,L99))</f>
        <v/>
      </c>
      <c r="R99" s="14" t="str">
        <f aca="false">IF(COUNTA(I99:L99)=0,"",SUMIFS('3 Hazed Questions'!$I$2:$I$23,'3 Hazed Questions'!$A$2:$A$23,"Q1",'3 Hazed Questions'!$C$2:$C$23,I99)+SUMIFS('3 Hazed Questions'!$I$2:$I$23,'3 Hazed Questions'!$A$2:$A$23,"Q2",'3 Hazed Questions'!$C$2:$C$23,J99)+SUMIFS('3 Hazed Questions'!$I$2:$I$23,'3 Hazed Questions'!$A$2:$A$23,"Q3",'3 Hazed Questions'!$C$2:$C$23,K99)+SUMIFS('3 Hazed Questions'!$I$2:$I$23,'3 Hazed Questions'!$A$2:$A$23,"Q4",'3 Hazed Questions'!$C$2:$C$23,L99))</f>
        <v/>
      </c>
      <c r="S99" s="14" t="str">
        <f aca="false">IF(COUNTA(I99:L99)=0,"",SUMIFS('3 Hazed Questions'!$J$2:$J$23,'3 Hazed Questions'!$A$2:$A$23,"Q1",'3 Hazed Questions'!$C$2:$C$23,I99)+SUMIFS('3 Hazed Questions'!$J$2:$J$23,'3 Hazed Questions'!$A$2:$A$23,"Q2",'3 Hazed Questions'!$C$2:$C$23,J99)+SUMIFS('3 Hazed Questions'!$J$2:$J$23,'3 Hazed Questions'!$A$2:$A$23,"Q3",'3 Hazed Questions'!$C$2:$C$23,K99)+SUMIFS('3 Hazed Questions'!$J$2:$J$23,'3 Hazed Questions'!$A$2:$A$23,"Q4",'3 Hazed Questions'!$C$2:$C$23,L99))</f>
        <v/>
      </c>
      <c r="T99" s="14" t="str">
        <f aca="false">IF(COUNTA(I99:L99)=0,"",SUMIFS('3 Hazed Questions'!$K$2:$K$23,'3 Hazed Questions'!$A$2:$A$23,"Q1",'3 Hazed Questions'!$C$2:$C$23,I99)+SUMIFS('3 Hazed Questions'!$K$2:$K$23,'3 Hazed Questions'!$A$2:$A$23,"Q2",'3 Hazed Questions'!$C$2:$C$23,J99)+SUMIFS('3 Hazed Questions'!$K$2:$K$23,'3 Hazed Questions'!$A$2:$A$23,"Q3",'3 Hazed Questions'!$C$2:$C$23,K99)+SUMIFS('3 Hazed Questions'!$K$2:$K$23,'3 Hazed Questions'!$A$2:$A$23,"Q4",'3 Hazed Questions'!$C$2:$C$23,L99))</f>
        <v/>
      </c>
      <c r="U99" s="14" t="str">
        <f aca="false">IF(COUNTA(I99:L99)=0,"",SUMIFS('3 Hazed Questions'!$L$2:$L$23,'3 Hazed Questions'!$A$2:$A$23,"Q1",'3 Hazed Questions'!$C$2:$C$23,I99)+SUMIFS('3 Hazed Questions'!$L$2:$L$23,'3 Hazed Questions'!$A$2:$A$23,"Q2",'3 Hazed Questions'!$C$2:$C$23,J99)+SUMIFS('3 Hazed Questions'!$L$2:$L$23,'3 Hazed Questions'!$A$2:$A$23,"Q3",'3 Hazed Questions'!$C$2:$C$23,K99)+SUMIFS('3 Hazed Questions'!$L$2:$L$23,'3 Hazed Questions'!$A$2:$A$23,"Q4",'3 Hazed Questions'!$C$2:$C$23,L99))</f>
        <v/>
      </c>
      <c r="V99" s="14" t="str">
        <f aca="false">IF(COUNTA(I99:L99)=0,"",SUMIFS('3 Hazed Questions'!$M$2:$M$23,'3 Hazed Questions'!$A$2:$A$23,"Q1",'3 Hazed Questions'!$C$2:$C$23,I99)+SUMIFS('3 Hazed Questions'!$M$2:$M$23,'3 Hazed Questions'!$A$2:$A$23,"Q2",'3 Hazed Questions'!$C$2:$C$23,J99)+SUMIFS('3 Hazed Questions'!$M$2:$M$23,'3 Hazed Questions'!$A$2:$A$23,"Q3",'3 Hazed Questions'!$C$2:$C$23,K99)+SUMIFS('3 Hazed Questions'!$M$2:$M$23,'3 Hazed Questions'!$A$2:$A$23,"Q4",'3 Hazed Questions'!$C$2:$C$23,L99))</f>
        <v/>
      </c>
      <c r="W99" s="14" t="str">
        <f aca="false">IF(COUNTA(I99:L99)=0,"",SUMIFS('3 Hazed Questions'!$N$2:$N$23,'3 Hazed Questions'!$A$2:$A$23,"Q1",'3 Hazed Questions'!$C$2:$C$23,I99)+SUMIFS('3 Hazed Questions'!$N$2:$N$23,'3 Hazed Questions'!$A$2:$A$23,"Q2",'3 Hazed Questions'!$C$2:$C$23,J99)+SUMIFS('3 Hazed Questions'!$N$2:$N$23,'3 Hazed Questions'!$A$2:$A$23,"Q3",'3 Hazed Questions'!$C$2:$C$23,K99)+SUMIFS('3 Hazed Questions'!$N$2:$N$23,'3 Hazed Questions'!$A$2:$A$23,"Q4",'3 Hazed Questions'!$C$2:$C$23,L99))</f>
        <v/>
      </c>
      <c r="X99" s="14" t="str">
        <f aca="false">IF(COUNTA(I99:L99)=0,"",INDEX(Fields!$B$2:$B$50,MATCH(SUBSTITUTE(INDEX($N$1:$W$1,MATCH(MAX($N99:$W99),$N99:$W99,0)),"Score: ",""),Fields!$A$2:$A$50,0)))</f>
        <v/>
      </c>
      <c r="Y99" s="14" t="str">
        <f aca="true">IF(COUNTA(I99:L99)=0,"",IF(LARGE($N99:$W99,2)=0,"-",INDEX(Fields!$B$2:$B$50,MATCH(SUBSTITUTE(INDEX($N$1:$W$1,IF(LARGE($N99:$W99,2)=MAX($N99:$W99),MATCH(MAX($N99:$W99),OFFSET($N99:$W99,0,MATCH(MAX($N99:$W99),$N99:$W99,0),1,10-MATCH(MAX($N99:$W99),$N99:$W99,0)),0)+MATCH(MAX($N99:$W99),$N99:$W99,0),MATCH(LARGE($N99:$W99,2),$N99:$W99,0))),"Score: ",""),Fields!$A$2:$A$50,0))))</f>
        <v/>
      </c>
      <c r="Z99" s="14" t="str">
        <f aca="false">IF(M99="","",IFERROR(INDEX('3 Hazed Questions'!$O$2:$O$23,MATCH(1,INDEX(('3 Hazed Questions'!$A$2:$A$23="Q5")*('3 Hazed Questions'!$C$2:$C$23=M99),0),0))&amp;"",""))</f>
        <v/>
      </c>
      <c r="AA99" s="18"/>
      <c r="AB99" s="18"/>
      <c r="AC99" s="19"/>
      <c r="AD99" s="19"/>
      <c r="AE99" s="18"/>
      <c r="AF99" s="18"/>
      <c r="AG99" s="18"/>
    </row>
    <row r="100" customFormat="false" ht="15" hidden="false" customHeight="false" outlineLevel="0" collapsed="false">
      <c r="A100" s="18"/>
      <c r="B100" s="19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4" t="str">
        <f aca="false">IF(COUNTA(I100:L100)=0,"",SUMIFS('3 Hazed Questions'!$E$2:$E$23,'3 Hazed Questions'!$A$2:$A$23,"Q1",'3 Hazed Questions'!$C$2:$C$23,I100)+SUMIFS('3 Hazed Questions'!$E$2:$E$23,'3 Hazed Questions'!$A$2:$A$23,"Q2",'3 Hazed Questions'!$C$2:$C$23,J100)+SUMIFS('3 Hazed Questions'!$E$2:$E$23,'3 Hazed Questions'!$A$2:$A$23,"Q3",'3 Hazed Questions'!$C$2:$C$23,K100)+SUMIFS('3 Hazed Questions'!$E$2:$E$23,'3 Hazed Questions'!$A$2:$A$23,"Q4",'3 Hazed Questions'!$C$2:$C$23,L100))</f>
        <v/>
      </c>
      <c r="O100" s="14" t="str">
        <f aca="false">IF(COUNTA(I100:L100)=0,"",SUMIFS('3 Hazed Questions'!$F$2:$F$23,'3 Hazed Questions'!$A$2:$A$23,"Q1",'3 Hazed Questions'!$C$2:$C$23,I100)+SUMIFS('3 Hazed Questions'!$F$2:$F$23,'3 Hazed Questions'!$A$2:$A$23,"Q2",'3 Hazed Questions'!$C$2:$C$23,J100)+SUMIFS('3 Hazed Questions'!$F$2:$F$23,'3 Hazed Questions'!$A$2:$A$23,"Q3",'3 Hazed Questions'!$C$2:$C$23,K100)+SUMIFS('3 Hazed Questions'!$F$2:$F$23,'3 Hazed Questions'!$A$2:$A$23,"Q4",'3 Hazed Questions'!$C$2:$C$23,L100))</f>
        <v/>
      </c>
      <c r="P100" s="14" t="str">
        <f aca="false">IF(COUNTA(I100:L100)=0,"",SUMIFS('3 Hazed Questions'!$G$2:$G$23,'3 Hazed Questions'!$A$2:$A$23,"Q1",'3 Hazed Questions'!$C$2:$C$23,I100)+SUMIFS('3 Hazed Questions'!$G$2:$G$23,'3 Hazed Questions'!$A$2:$A$23,"Q2",'3 Hazed Questions'!$C$2:$C$23,J100)+SUMIFS('3 Hazed Questions'!$G$2:$G$23,'3 Hazed Questions'!$A$2:$A$23,"Q3",'3 Hazed Questions'!$C$2:$C$23,K100)+SUMIFS('3 Hazed Questions'!$G$2:$G$23,'3 Hazed Questions'!$A$2:$A$23,"Q4",'3 Hazed Questions'!$C$2:$C$23,L100))</f>
        <v/>
      </c>
      <c r="Q100" s="14" t="str">
        <f aca="false">IF(COUNTA(I100:L100)=0,"",SUMIFS('3 Hazed Questions'!$H$2:$H$23,'3 Hazed Questions'!$A$2:$A$23,"Q1",'3 Hazed Questions'!$C$2:$C$23,I100)+SUMIFS('3 Hazed Questions'!$H$2:$H$23,'3 Hazed Questions'!$A$2:$A$23,"Q2",'3 Hazed Questions'!$C$2:$C$23,J100)+SUMIFS('3 Hazed Questions'!$H$2:$H$23,'3 Hazed Questions'!$A$2:$A$23,"Q3",'3 Hazed Questions'!$C$2:$C$23,K100)+SUMIFS('3 Hazed Questions'!$H$2:$H$23,'3 Hazed Questions'!$A$2:$A$23,"Q4",'3 Hazed Questions'!$C$2:$C$23,L100))</f>
        <v/>
      </c>
      <c r="R100" s="14" t="str">
        <f aca="false">IF(COUNTA(I100:L100)=0,"",SUMIFS('3 Hazed Questions'!$I$2:$I$23,'3 Hazed Questions'!$A$2:$A$23,"Q1",'3 Hazed Questions'!$C$2:$C$23,I100)+SUMIFS('3 Hazed Questions'!$I$2:$I$23,'3 Hazed Questions'!$A$2:$A$23,"Q2",'3 Hazed Questions'!$C$2:$C$23,J100)+SUMIFS('3 Hazed Questions'!$I$2:$I$23,'3 Hazed Questions'!$A$2:$A$23,"Q3",'3 Hazed Questions'!$C$2:$C$23,K100)+SUMIFS('3 Hazed Questions'!$I$2:$I$23,'3 Hazed Questions'!$A$2:$A$23,"Q4",'3 Hazed Questions'!$C$2:$C$23,L100))</f>
        <v/>
      </c>
      <c r="S100" s="14" t="str">
        <f aca="false">IF(COUNTA(I100:L100)=0,"",SUMIFS('3 Hazed Questions'!$J$2:$J$23,'3 Hazed Questions'!$A$2:$A$23,"Q1",'3 Hazed Questions'!$C$2:$C$23,I100)+SUMIFS('3 Hazed Questions'!$J$2:$J$23,'3 Hazed Questions'!$A$2:$A$23,"Q2",'3 Hazed Questions'!$C$2:$C$23,J100)+SUMIFS('3 Hazed Questions'!$J$2:$J$23,'3 Hazed Questions'!$A$2:$A$23,"Q3",'3 Hazed Questions'!$C$2:$C$23,K100)+SUMIFS('3 Hazed Questions'!$J$2:$J$23,'3 Hazed Questions'!$A$2:$A$23,"Q4",'3 Hazed Questions'!$C$2:$C$23,L100))</f>
        <v/>
      </c>
      <c r="T100" s="14" t="str">
        <f aca="false">IF(COUNTA(I100:L100)=0,"",SUMIFS('3 Hazed Questions'!$K$2:$K$23,'3 Hazed Questions'!$A$2:$A$23,"Q1",'3 Hazed Questions'!$C$2:$C$23,I100)+SUMIFS('3 Hazed Questions'!$K$2:$K$23,'3 Hazed Questions'!$A$2:$A$23,"Q2",'3 Hazed Questions'!$C$2:$C$23,J100)+SUMIFS('3 Hazed Questions'!$K$2:$K$23,'3 Hazed Questions'!$A$2:$A$23,"Q3",'3 Hazed Questions'!$C$2:$C$23,K100)+SUMIFS('3 Hazed Questions'!$K$2:$K$23,'3 Hazed Questions'!$A$2:$A$23,"Q4",'3 Hazed Questions'!$C$2:$C$23,L100))</f>
        <v/>
      </c>
      <c r="U100" s="14" t="str">
        <f aca="false">IF(COUNTA(I100:L100)=0,"",SUMIFS('3 Hazed Questions'!$L$2:$L$23,'3 Hazed Questions'!$A$2:$A$23,"Q1",'3 Hazed Questions'!$C$2:$C$23,I100)+SUMIFS('3 Hazed Questions'!$L$2:$L$23,'3 Hazed Questions'!$A$2:$A$23,"Q2",'3 Hazed Questions'!$C$2:$C$23,J100)+SUMIFS('3 Hazed Questions'!$L$2:$L$23,'3 Hazed Questions'!$A$2:$A$23,"Q3",'3 Hazed Questions'!$C$2:$C$23,K100)+SUMIFS('3 Hazed Questions'!$L$2:$L$23,'3 Hazed Questions'!$A$2:$A$23,"Q4",'3 Hazed Questions'!$C$2:$C$23,L100))</f>
        <v/>
      </c>
      <c r="V100" s="14" t="str">
        <f aca="false">IF(COUNTA(I100:L100)=0,"",SUMIFS('3 Hazed Questions'!$M$2:$M$23,'3 Hazed Questions'!$A$2:$A$23,"Q1",'3 Hazed Questions'!$C$2:$C$23,I100)+SUMIFS('3 Hazed Questions'!$M$2:$M$23,'3 Hazed Questions'!$A$2:$A$23,"Q2",'3 Hazed Questions'!$C$2:$C$23,J100)+SUMIFS('3 Hazed Questions'!$M$2:$M$23,'3 Hazed Questions'!$A$2:$A$23,"Q3",'3 Hazed Questions'!$C$2:$C$23,K100)+SUMIFS('3 Hazed Questions'!$M$2:$M$23,'3 Hazed Questions'!$A$2:$A$23,"Q4",'3 Hazed Questions'!$C$2:$C$23,L100))</f>
        <v/>
      </c>
      <c r="W100" s="14" t="str">
        <f aca="false">IF(COUNTA(I100:L100)=0,"",SUMIFS('3 Hazed Questions'!$N$2:$N$23,'3 Hazed Questions'!$A$2:$A$23,"Q1",'3 Hazed Questions'!$C$2:$C$23,I100)+SUMIFS('3 Hazed Questions'!$N$2:$N$23,'3 Hazed Questions'!$A$2:$A$23,"Q2",'3 Hazed Questions'!$C$2:$C$23,J100)+SUMIFS('3 Hazed Questions'!$N$2:$N$23,'3 Hazed Questions'!$A$2:$A$23,"Q3",'3 Hazed Questions'!$C$2:$C$23,K100)+SUMIFS('3 Hazed Questions'!$N$2:$N$23,'3 Hazed Questions'!$A$2:$A$23,"Q4",'3 Hazed Questions'!$C$2:$C$23,L100))</f>
        <v/>
      </c>
      <c r="X100" s="14" t="str">
        <f aca="false">IF(COUNTA(I100:L100)=0,"",INDEX(Fields!$B$2:$B$50,MATCH(SUBSTITUTE(INDEX($N$1:$W$1,MATCH(MAX($N100:$W100),$N100:$W100,0)),"Score: ",""),Fields!$A$2:$A$50,0)))</f>
        <v/>
      </c>
      <c r="Y100" s="14" t="str">
        <f aca="true">IF(COUNTA(I100:L100)=0,"",IF(LARGE($N100:$W100,2)=0,"-",INDEX(Fields!$B$2:$B$50,MATCH(SUBSTITUTE(INDEX($N$1:$W$1,IF(LARGE($N100:$W100,2)=MAX($N100:$W100),MATCH(MAX($N100:$W100),OFFSET($N100:$W100,0,MATCH(MAX($N100:$W100),$N100:$W100,0),1,10-MATCH(MAX($N100:$W100),$N100:$W100,0)),0)+MATCH(MAX($N100:$W100),$N100:$W100,0),MATCH(LARGE($N100:$W100,2),$N100:$W100,0))),"Score: ",""),Fields!$A$2:$A$50,0))))</f>
        <v/>
      </c>
      <c r="Z100" s="14" t="str">
        <f aca="false">IF(M100="","",IFERROR(INDEX('3 Hazed Questions'!$O$2:$O$23,MATCH(1,INDEX(('3 Hazed Questions'!$A$2:$A$23="Q5")*('3 Hazed Questions'!$C$2:$C$23=M100),0),0))&amp;"",""))</f>
        <v/>
      </c>
      <c r="AA100" s="18"/>
      <c r="AB100" s="18"/>
      <c r="AC100" s="19"/>
      <c r="AD100" s="19"/>
      <c r="AE100" s="18"/>
      <c r="AF100" s="18"/>
      <c r="AG100" s="18"/>
    </row>
    <row r="101" customFormat="false" ht="15" hidden="false" customHeight="false" outlineLevel="0" collapsed="false">
      <c r="A101" s="18"/>
      <c r="B101" s="19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4" t="str">
        <f aca="false">IF(COUNTA(I101:L101)=0,"",SUMIFS('3 Hazed Questions'!$E$2:$E$23,'3 Hazed Questions'!$A$2:$A$23,"Q1",'3 Hazed Questions'!$C$2:$C$23,I101)+SUMIFS('3 Hazed Questions'!$E$2:$E$23,'3 Hazed Questions'!$A$2:$A$23,"Q2",'3 Hazed Questions'!$C$2:$C$23,J101)+SUMIFS('3 Hazed Questions'!$E$2:$E$23,'3 Hazed Questions'!$A$2:$A$23,"Q3",'3 Hazed Questions'!$C$2:$C$23,K101)+SUMIFS('3 Hazed Questions'!$E$2:$E$23,'3 Hazed Questions'!$A$2:$A$23,"Q4",'3 Hazed Questions'!$C$2:$C$23,L101))</f>
        <v/>
      </c>
      <c r="O101" s="14" t="str">
        <f aca="false">IF(COUNTA(I101:L101)=0,"",SUMIFS('3 Hazed Questions'!$F$2:$F$23,'3 Hazed Questions'!$A$2:$A$23,"Q1",'3 Hazed Questions'!$C$2:$C$23,I101)+SUMIFS('3 Hazed Questions'!$F$2:$F$23,'3 Hazed Questions'!$A$2:$A$23,"Q2",'3 Hazed Questions'!$C$2:$C$23,J101)+SUMIFS('3 Hazed Questions'!$F$2:$F$23,'3 Hazed Questions'!$A$2:$A$23,"Q3",'3 Hazed Questions'!$C$2:$C$23,K101)+SUMIFS('3 Hazed Questions'!$F$2:$F$23,'3 Hazed Questions'!$A$2:$A$23,"Q4",'3 Hazed Questions'!$C$2:$C$23,L101))</f>
        <v/>
      </c>
      <c r="P101" s="14" t="str">
        <f aca="false">IF(COUNTA(I101:L101)=0,"",SUMIFS('3 Hazed Questions'!$G$2:$G$23,'3 Hazed Questions'!$A$2:$A$23,"Q1",'3 Hazed Questions'!$C$2:$C$23,I101)+SUMIFS('3 Hazed Questions'!$G$2:$G$23,'3 Hazed Questions'!$A$2:$A$23,"Q2",'3 Hazed Questions'!$C$2:$C$23,J101)+SUMIFS('3 Hazed Questions'!$G$2:$G$23,'3 Hazed Questions'!$A$2:$A$23,"Q3",'3 Hazed Questions'!$C$2:$C$23,K101)+SUMIFS('3 Hazed Questions'!$G$2:$G$23,'3 Hazed Questions'!$A$2:$A$23,"Q4",'3 Hazed Questions'!$C$2:$C$23,L101))</f>
        <v/>
      </c>
      <c r="Q101" s="14" t="str">
        <f aca="false">IF(COUNTA(I101:L101)=0,"",SUMIFS('3 Hazed Questions'!$H$2:$H$23,'3 Hazed Questions'!$A$2:$A$23,"Q1",'3 Hazed Questions'!$C$2:$C$23,I101)+SUMIFS('3 Hazed Questions'!$H$2:$H$23,'3 Hazed Questions'!$A$2:$A$23,"Q2",'3 Hazed Questions'!$C$2:$C$23,J101)+SUMIFS('3 Hazed Questions'!$H$2:$H$23,'3 Hazed Questions'!$A$2:$A$23,"Q3",'3 Hazed Questions'!$C$2:$C$23,K101)+SUMIFS('3 Hazed Questions'!$H$2:$H$23,'3 Hazed Questions'!$A$2:$A$23,"Q4",'3 Hazed Questions'!$C$2:$C$23,L101))</f>
        <v/>
      </c>
      <c r="R101" s="14" t="str">
        <f aca="false">IF(COUNTA(I101:L101)=0,"",SUMIFS('3 Hazed Questions'!$I$2:$I$23,'3 Hazed Questions'!$A$2:$A$23,"Q1",'3 Hazed Questions'!$C$2:$C$23,I101)+SUMIFS('3 Hazed Questions'!$I$2:$I$23,'3 Hazed Questions'!$A$2:$A$23,"Q2",'3 Hazed Questions'!$C$2:$C$23,J101)+SUMIFS('3 Hazed Questions'!$I$2:$I$23,'3 Hazed Questions'!$A$2:$A$23,"Q3",'3 Hazed Questions'!$C$2:$C$23,K101)+SUMIFS('3 Hazed Questions'!$I$2:$I$23,'3 Hazed Questions'!$A$2:$A$23,"Q4",'3 Hazed Questions'!$C$2:$C$23,L101))</f>
        <v/>
      </c>
      <c r="S101" s="14" t="str">
        <f aca="false">IF(COUNTA(I101:L101)=0,"",SUMIFS('3 Hazed Questions'!$J$2:$J$23,'3 Hazed Questions'!$A$2:$A$23,"Q1",'3 Hazed Questions'!$C$2:$C$23,I101)+SUMIFS('3 Hazed Questions'!$J$2:$J$23,'3 Hazed Questions'!$A$2:$A$23,"Q2",'3 Hazed Questions'!$C$2:$C$23,J101)+SUMIFS('3 Hazed Questions'!$J$2:$J$23,'3 Hazed Questions'!$A$2:$A$23,"Q3",'3 Hazed Questions'!$C$2:$C$23,K101)+SUMIFS('3 Hazed Questions'!$J$2:$J$23,'3 Hazed Questions'!$A$2:$A$23,"Q4",'3 Hazed Questions'!$C$2:$C$23,L101))</f>
        <v/>
      </c>
      <c r="T101" s="14" t="str">
        <f aca="false">IF(COUNTA(I101:L101)=0,"",SUMIFS('3 Hazed Questions'!$K$2:$K$23,'3 Hazed Questions'!$A$2:$A$23,"Q1",'3 Hazed Questions'!$C$2:$C$23,I101)+SUMIFS('3 Hazed Questions'!$K$2:$K$23,'3 Hazed Questions'!$A$2:$A$23,"Q2",'3 Hazed Questions'!$C$2:$C$23,J101)+SUMIFS('3 Hazed Questions'!$K$2:$K$23,'3 Hazed Questions'!$A$2:$A$23,"Q3",'3 Hazed Questions'!$C$2:$C$23,K101)+SUMIFS('3 Hazed Questions'!$K$2:$K$23,'3 Hazed Questions'!$A$2:$A$23,"Q4",'3 Hazed Questions'!$C$2:$C$23,L101))</f>
        <v/>
      </c>
      <c r="U101" s="14" t="str">
        <f aca="false">IF(COUNTA(I101:L101)=0,"",SUMIFS('3 Hazed Questions'!$L$2:$L$23,'3 Hazed Questions'!$A$2:$A$23,"Q1",'3 Hazed Questions'!$C$2:$C$23,I101)+SUMIFS('3 Hazed Questions'!$L$2:$L$23,'3 Hazed Questions'!$A$2:$A$23,"Q2",'3 Hazed Questions'!$C$2:$C$23,J101)+SUMIFS('3 Hazed Questions'!$L$2:$L$23,'3 Hazed Questions'!$A$2:$A$23,"Q3",'3 Hazed Questions'!$C$2:$C$23,K101)+SUMIFS('3 Hazed Questions'!$L$2:$L$23,'3 Hazed Questions'!$A$2:$A$23,"Q4",'3 Hazed Questions'!$C$2:$C$23,L101))</f>
        <v/>
      </c>
      <c r="V101" s="14" t="str">
        <f aca="false">IF(COUNTA(I101:L101)=0,"",SUMIFS('3 Hazed Questions'!$M$2:$M$23,'3 Hazed Questions'!$A$2:$A$23,"Q1",'3 Hazed Questions'!$C$2:$C$23,I101)+SUMIFS('3 Hazed Questions'!$M$2:$M$23,'3 Hazed Questions'!$A$2:$A$23,"Q2",'3 Hazed Questions'!$C$2:$C$23,J101)+SUMIFS('3 Hazed Questions'!$M$2:$M$23,'3 Hazed Questions'!$A$2:$A$23,"Q3",'3 Hazed Questions'!$C$2:$C$23,K101)+SUMIFS('3 Hazed Questions'!$M$2:$M$23,'3 Hazed Questions'!$A$2:$A$23,"Q4",'3 Hazed Questions'!$C$2:$C$23,L101))</f>
        <v/>
      </c>
      <c r="W101" s="14" t="str">
        <f aca="false">IF(COUNTA(I101:L101)=0,"",SUMIFS('3 Hazed Questions'!$N$2:$N$23,'3 Hazed Questions'!$A$2:$A$23,"Q1",'3 Hazed Questions'!$C$2:$C$23,I101)+SUMIFS('3 Hazed Questions'!$N$2:$N$23,'3 Hazed Questions'!$A$2:$A$23,"Q2",'3 Hazed Questions'!$C$2:$C$23,J101)+SUMIFS('3 Hazed Questions'!$N$2:$N$23,'3 Hazed Questions'!$A$2:$A$23,"Q3",'3 Hazed Questions'!$C$2:$C$23,K101)+SUMIFS('3 Hazed Questions'!$N$2:$N$23,'3 Hazed Questions'!$A$2:$A$23,"Q4",'3 Hazed Questions'!$C$2:$C$23,L101))</f>
        <v/>
      </c>
      <c r="X101" s="14" t="str">
        <f aca="false">IF(COUNTA(I101:L101)=0,"",INDEX(Fields!$B$2:$B$50,MATCH(SUBSTITUTE(INDEX($N$1:$W$1,MATCH(MAX($N101:$W101),$N101:$W101,0)),"Score: ",""),Fields!$A$2:$A$50,0)))</f>
        <v/>
      </c>
      <c r="Y101" s="14" t="str">
        <f aca="true">IF(COUNTA(I101:L101)=0,"",IF(LARGE($N101:$W101,2)=0,"-",INDEX(Fields!$B$2:$B$50,MATCH(SUBSTITUTE(INDEX($N$1:$W$1,IF(LARGE($N101:$W101,2)=MAX($N101:$W101),MATCH(MAX($N101:$W101),OFFSET($N101:$W101,0,MATCH(MAX($N101:$W101),$N101:$W101,0),1,10-MATCH(MAX($N101:$W101),$N101:$W101,0)),0)+MATCH(MAX($N101:$W101),$N101:$W101,0),MATCH(LARGE($N101:$W101,2),$N101:$W101,0))),"Score: ",""),Fields!$A$2:$A$50,0))))</f>
        <v/>
      </c>
      <c r="Z101" s="14" t="str">
        <f aca="false">IF(M101="","",IFERROR(INDEX('3 Hazed Questions'!$O$2:$O$23,MATCH(1,INDEX(('3 Hazed Questions'!$A$2:$A$23="Q5")*('3 Hazed Questions'!$C$2:$C$23=M101),0),0))&amp;"",""))</f>
        <v/>
      </c>
      <c r="AA101" s="18"/>
      <c r="AB101" s="18"/>
      <c r="AC101" s="19"/>
      <c r="AD101" s="19"/>
      <c r="AE101" s="18"/>
      <c r="AF101" s="18"/>
      <c r="AG101" s="18"/>
    </row>
    <row r="102" customFormat="false" ht="15" hidden="false" customHeight="false" outlineLevel="0" collapsed="false">
      <c r="A102" s="18"/>
      <c r="B102" s="19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4" t="str">
        <f aca="false">IF(COUNTA(I102:L102)=0,"",SUMIFS('3 Hazed Questions'!$E$2:$E$23,'3 Hazed Questions'!$A$2:$A$23,"Q1",'3 Hazed Questions'!$C$2:$C$23,I102)+SUMIFS('3 Hazed Questions'!$E$2:$E$23,'3 Hazed Questions'!$A$2:$A$23,"Q2",'3 Hazed Questions'!$C$2:$C$23,J102)+SUMIFS('3 Hazed Questions'!$E$2:$E$23,'3 Hazed Questions'!$A$2:$A$23,"Q3",'3 Hazed Questions'!$C$2:$C$23,K102)+SUMIFS('3 Hazed Questions'!$E$2:$E$23,'3 Hazed Questions'!$A$2:$A$23,"Q4",'3 Hazed Questions'!$C$2:$C$23,L102))</f>
        <v/>
      </c>
      <c r="O102" s="14" t="str">
        <f aca="false">IF(COUNTA(I102:L102)=0,"",SUMIFS('3 Hazed Questions'!$F$2:$F$23,'3 Hazed Questions'!$A$2:$A$23,"Q1",'3 Hazed Questions'!$C$2:$C$23,I102)+SUMIFS('3 Hazed Questions'!$F$2:$F$23,'3 Hazed Questions'!$A$2:$A$23,"Q2",'3 Hazed Questions'!$C$2:$C$23,J102)+SUMIFS('3 Hazed Questions'!$F$2:$F$23,'3 Hazed Questions'!$A$2:$A$23,"Q3",'3 Hazed Questions'!$C$2:$C$23,K102)+SUMIFS('3 Hazed Questions'!$F$2:$F$23,'3 Hazed Questions'!$A$2:$A$23,"Q4",'3 Hazed Questions'!$C$2:$C$23,L102))</f>
        <v/>
      </c>
      <c r="P102" s="14" t="str">
        <f aca="false">IF(COUNTA(I102:L102)=0,"",SUMIFS('3 Hazed Questions'!$G$2:$G$23,'3 Hazed Questions'!$A$2:$A$23,"Q1",'3 Hazed Questions'!$C$2:$C$23,I102)+SUMIFS('3 Hazed Questions'!$G$2:$G$23,'3 Hazed Questions'!$A$2:$A$23,"Q2",'3 Hazed Questions'!$C$2:$C$23,J102)+SUMIFS('3 Hazed Questions'!$G$2:$G$23,'3 Hazed Questions'!$A$2:$A$23,"Q3",'3 Hazed Questions'!$C$2:$C$23,K102)+SUMIFS('3 Hazed Questions'!$G$2:$G$23,'3 Hazed Questions'!$A$2:$A$23,"Q4",'3 Hazed Questions'!$C$2:$C$23,L102))</f>
        <v/>
      </c>
      <c r="Q102" s="14" t="str">
        <f aca="false">IF(COUNTA(I102:L102)=0,"",SUMIFS('3 Hazed Questions'!$H$2:$H$23,'3 Hazed Questions'!$A$2:$A$23,"Q1",'3 Hazed Questions'!$C$2:$C$23,I102)+SUMIFS('3 Hazed Questions'!$H$2:$H$23,'3 Hazed Questions'!$A$2:$A$23,"Q2",'3 Hazed Questions'!$C$2:$C$23,J102)+SUMIFS('3 Hazed Questions'!$H$2:$H$23,'3 Hazed Questions'!$A$2:$A$23,"Q3",'3 Hazed Questions'!$C$2:$C$23,K102)+SUMIFS('3 Hazed Questions'!$H$2:$H$23,'3 Hazed Questions'!$A$2:$A$23,"Q4",'3 Hazed Questions'!$C$2:$C$23,L102))</f>
        <v/>
      </c>
      <c r="R102" s="14" t="str">
        <f aca="false">IF(COUNTA(I102:L102)=0,"",SUMIFS('3 Hazed Questions'!$I$2:$I$23,'3 Hazed Questions'!$A$2:$A$23,"Q1",'3 Hazed Questions'!$C$2:$C$23,I102)+SUMIFS('3 Hazed Questions'!$I$2:$I$23,'3 Hazed Questions'!$A$2:$A$23,"Q2",'3 Hazed Questions'!$C$2:$C$23,J102)+SUMIFS('3 Hazed Questions'!$I$2:$I$23,'3 Hazed Questions'!$A$2:$A$23,"Q3",'3 Hazed Questions'!$C$2:$C$23,K102)+SUMIFS('3 Hazed Questions'!$I$2:$I$23,'3 Hazed Questions'!$A$2:$A$23,"Q4",'3 Hazed Questions'!$C$2:$C$23,L102))</f>
        <v/>
      </c>
      <c r="S102" s="14" t="str">
        <f aca="false">IF(COUNTA(I102:L102)=0,"",SUMIFS('3 Hazed Questions'!$J$2:$J$23,'3 Hazed Questions'!$A$2:$A$23,"Q1",'3 Hazed Questions'!$C$2:$C$23,I102)+SUMIFS('3 Hazed Questions'!$J$2:$J$23,'3 Hazed Questions'!$A$2:$A$23,"Q2",'3 Hazed Questions'!$C$2:$C$23,J102)+SUMIFS('3 Hazed Questions'!$J$2:$J$23,'3 Hazed Questions'!$A$2:$A$23,"Q3",'3 Hazed Questions'!$C$2:$C$23,K102)+SUMIFS('3 Hazed Questions'!$J$2:$J$23,'3 Hazed Questions'!$A$2:$A$23,"Q4",'3 Hazed Questions'!$C$2:$C$23,L102))</f>
        <v/>
      </c>
      <c r="T102" s="14" t="str">
        <f aca="false">IF(COUNTA(I102:L102)=0,"",SUMIFS('3 Hazed Questions'!$K$2:$K$23,'3 Hazed Questions'!$A$2:$A$23,"Q1",'3 Hazed Questions'!$C$2:$C$23,I102)+SUMIFS('3 Hazed Questions'!$K$2:$K$23,'3 Hazed Questions'!$A$2:$A$23,"Q2",'3 Hazed Questions'!$C$2:$C$23,J102)+SUMIFS('3 Hazed Questions'!$K$2:$K$23,'3 Hazed Questions'!$A$2:$A$23,"Q3",'3 Hazed Questions'!$C$2:$C$23,K102)+SUMIFS('3 Hazed Questions'!$K$2:$K$23,'3 Hazed Questions'!$A$2:$A$23,"Q4",'3 Hazed Questions'!$C$2:$C$23,L102))</f>
        <v/>
      </c>
      <c r="U102" s="14" t="str">
        <f aca="false">IF(COUNTA(I102:L102)=0,"",SUMIFS('3 Hazed Questions'!$L$2:$L$23,'3 Hazed Questions'!$A$2:$A$23,"Q1",'3 Hazed Questions'!$C$2:$C$23,I102)+SUMIFS('3 Hazed Questions'!$L$2:$L$23,'3 Hazed Questions'!$A$2:$A$23,"Q2",'3 Hazed Questions'!$C$2:$C$23,J102)+SUMIFS('3 Hazed Questions'!$L$2:$L$23,'3 Hazed Questions'!$A$2:$A$23,"Q3",'3 Hazed Questions'!$C$2:$C$23,K102)+SUMIFS('3 Hazed Questions'!$L$2:$L$23,'3 Hazed Questions'!$A$2:$A$23,"Q4",'3 Hazed Questions'!$C$2:$C$23,L102))</f>
        <v/>
      </c>
      <c r="V102" s="14" t="str">
        <f aca="false">IF(COUNTA(I102:L102)=0,"",SUMIFS('3 Hazed Questions'!$M$2:$M$23,'3 Hazed Questions'!$A$2:$A$23,"Q1",'3 Hazed Questions'!$C$2:$C$23,I102)+SUMIFS('3 Hazed Questions'!$M$2:$M$23,'3 Hazed Questions'!$A$2:$A$23,"Q2",'3 Hazed Questions'!$C$2:$C$23,J102)+SUMIFS('3 Hazed Questions'!$M$2:$M$23,'3 Hazed Questions'!$A$2:$A$23,"Q3",'3 Hazed Questions'!$C$2:$C$23,K102)+SUMIFS('3 Hazed Questions'!$M$2:$M$23,'3 Hazed Questions'!$A$2:$A$23,"Q4",'3 Hazed Questions'!$C$2:$C$23,L102))</f>
        <v/>
      </c>
      <c r="W102" s="14" t="str">
        <f aca="false">IF(COUNTA(I102:L102)=0,"",SUMIFS('3 Hazed Questions'!$N$2:$N$23,'3 Hazed Questions'!$A$2:$A$23,"Q1",'3 Hazed Questions'!$C$2:$C$23,I102)+SUMIFS('3 Hazed Questions'!$N$2:$N$23,'3 Hazed Questions'!$A$2:$A$23,"Q2",'3 Hazed Questions'!$C$2:$C$23,J102)+SUMIFS('3 Hazed Questions'!$N$2:$N$23,'3 Hazed Questions'!$A$2:$A$23,"Q3",'3 Hazed Questions'!$C$2:$C$23,K102)+SUMIFS('3 Hazed Questions'!$N$2:$N$23,'3 Hazed Questions'!$A$2:$A$23,"Q4",'3 Hazed Questions'!$C$2:$C$23,L102))</f>
        <v/>
      </c>
      <c r="X102" s="14" t="str">
        <f aca="false">IF(COUNTA(I102:L102)=0,"",INDEX(Fields!$B$2:$B$50,MATCH(SUBSTITUTE(INDEX($N$1:$W$1,MATCH(MAX($N102:$W102),$N102:$W102,0)),"Score: ",""),Fields!$A$2:$A$50,0)))</f>
        <v/>
      </c>
      <c r="Y102" s="14" t="str">
        <f aca="true">IF(COUNTA(I102:L102)=0,"",IF(LARGE($N102:$W102,2)=0,"-",INDEX(Fields!$B$2:$B$50,MATCH(SUBSTITUTE(INDEX($N$1:$W$1,IF(LARGE($N102:$W102,2)=MAX($N102:$W102),MATCH(MAX($N102:$W102),OFFSET($N102:$W102,0,MATCH(MAX($N102:$W102),$N102:$W102,0),1,10-MATCH(MAX($N102:$W102),$N102:$W102,0)),0)+MATCH(MAX($N102:$W102),$N102:$W102,0),MATCH(LARGE($N102:$W102,2),$N102:$W102,0))),"Score: ",""),Fields!$A$2:$A$50,0))))</f>
        <v/>
      </c>
      <c r="Z102" s="14" t="str">
        <f aca="false">IF(M102="","",IFERROR(INDEX('3 Hazed Questions'!$O$2:$O$23,MATCH(1,INDEX(('3 Hazed Questions'!$A$2:$A$23="Q5")*('3 Hazed Questions'!$C$2:$C$23=M102),0),0))&amp;"",""))</f>
        <v/>
      </c>
      <c r="AA102" s="18"/>
      <c r="AB102" s="18"/>
      <c r="AC102" s="19"/>
      <c r="AD102" s="19"/>
      <c r="AE102" s="18"/>
      <c r="AF102" s="18"/>
      <c r="AG102" s="18"/>
    </row>
    <row r="103" customFormat="false" ht="15" hidden="false" customHeight="false" outlineLevel="0" collapsed="false">
      <c r="A103" s="18"/>
      <c r="B103" s="19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4" t="str">
        <f aca="false">IF(COUNTA(I103:L103)=0,"",SUMIFS('3 Hazed Questions'!$E$2:$E$23,'3 Hazed Questions'!$A$2:$A$23,"Q1",'3 Hazed Questions'!$C$2:$C$23,I103)+SUMIFS('3 Hazed Questions'!$E$2:$E$23,'3 Hazed Questions'!$A$2:$A$23,"Q2",'3 Hazed Questions'!$C$2:$C$23,J103)+SUMIFS('3 Hazed Questions'!$E$2:$E$23,'3 Hazed Questions'!$A$2:$A$23,"Q3",'3 Hazed Questions'!$C$2:$C$23,K103)+SUMIFS('3 Hazed Questions'!$E$2:$E$23,'3 Hazed Questions'!$A$2:$A$23,"Q4",'3 Hazed Questions'!$C$2:$C$23,L103))</f>
        <v/>
      </c>
      <c r="O103" s="14" t="str">
        <f aca="false">IF(COUNTA(I103:L103)=0,"",SUMIFS('3 Hazed Questions'!$F$2:$F$23,'3 Hazed Questions'!$A$2:$A$23,"Q1",'3 Hazed Questions'!$C$2:$C$23,I103)+SUMIFS('3 Hazed Questions'!$F$2:$F$23,'3 Hazed Questions'!$A$2:$A$23,"Q2",'3 Hazed Questions'!$C$2:$C$23,J103)+SUMIFS('3 Hazed Questions'!$F$2:$F$23,'3 Hazed Questions'!$A$2:$A$23,"Q3",'3 Hazed Questions'!$C$2:$C$23,K103)+SUMIFS('3 Hazed Questions'!$F$2:$F$23,'3 Hazed Questions'!$A$2:$A$23,"Q4",'3 Hazed Questions'!$C$2:$C$23,L103))</f>
        <v/>
      </c>
      <c r="P103" s="14" t="str">
        <f aca="false">IF(COUNTA(I103:L103)=0,"",SUMIFS('3 Hazed Questions'!$G$2:$G$23,'3 Hazed Questions'!$A$2:$A$23,"Q1",'3 Hazed Questions'!$C$2:$C$23,I103)+SUMIFS('3 Hazed Questions'!$G$2:$G$23,'3 Hazed Questions'!$A$2:$A$23,"Q2",'3 Hazed Questions'!$C$2:$C$23,J103)+SUMIFS('3 Hazed Questions'!$G$2:$G$23,'3 Hazed Questions'!$A$2:$A$23,"Q3",'3 Hazed Questions'!$C$2:$C$23,K103)+SUMIFS('3 Hazed Questions'!$G$2:$G$23,'3 Hazed Questions'!$A$2:$A$23,"Q4",'3 Hazed Questions'!$C$2:$C$23,L103))</f>
        <v/>
      </c>
      <c r="Q103" s="14" t="str">
        <f aca="false">IF(COUNTA(I103:L103)=0,"",SUMIFS('3 Hazed Questions'!$H$2:$H$23,'3 Hazed Questions'!$A$2:$A$23,"Q1",'3 Hazed Questions'!$C$2:$C$23,I103)+SUMIFS('3 Hazed Questions'!$H$2:$H$23,'3 Hazed Questions'!$A$2:$A$23,"Q2",'3 Hazed Questions'!$C$2:$C$23,J103)+SUMIFS('3 Hazed Questions'!$H$2:$H$23,'3 Hazed Questions'!$A$2:$A$23,"Q3",'3 Hazed Questions'!$C$2:$C$23,K103)+SUMIFS('3 Hazed Questions'!$H$2:$H$23,'3 Hazed Questions'!$A$2:$A$23,"Q4",'3 Hazed Questions'!$C$2:$C$23,L103))</f>
        <v/>
      </c>
      <c r="R103" s="14" t="str">
        <f aca="false">IF(COUNTA(I103:L103)=0,"",SUMIFS('3 Hazed Questions'!$I$2:$I$23,'3 Hazed Questions'!$A$2:$A$23,"Q1",'3 Hazed Questions'!$C$2:$C$23,I103)+SUMIFS('3 Hazed Questions'!$I$2:$I$23,'3 Hazed Questions'!$A$2:$A$23,"Q2",'3 Hazed Questions'!$C$2:$C$23,J103)+SUMIFS('3 Hazed Questions'!$I$2:$I$23,'3 Hazed Questions'!$A$2:$A$23,"Q3",'3 Hazed Questions'!$C$2:$C$23,K103)+SUMIFS('3 Hazed Questions'!$I$2:$I$23,'3 Hazed Questions'!$A$2:$A$23,"Q4",'3 Hazed Questions'!$C$2:$C$23,L103))</f>
        <v/>
      </c>
      <c r="S103" s="14" t="str">
        <f aca="false">IF(COUNTA(I103:L103)=0,"",SUMIFS('3 Hazed Questions'!$J$2:$J$23,'3 Hazed Questions'!$A$2:$A$23,"Q1",'3 Hazed Questions'!$C$2:$C$23,I103)+SUMIFS('3 Hazed Questions'!$J$2:$J$23,'3 Hazed Questions'!$A$2:$A$23,"Q2",'3 Hazed Questions'!$C$2:$C$23,J103)+SUMIFS('3 Hazed Questions'!$J$2:$J$23,'3 Hazed Questions'!$A$2:$A$23,"Q3",'3 Hazed Questions'!$C$2:$C$23,K103)+SUMIFS('3 Hazed Questions'!$J$2:$J$23,'3 Hazed Questions'!$A$2:$A$23,"Q4",'3 Hazed Questions'!$C$2:$C$23,L103))</f>
        <v/>
      </c>
      <c r="T103" s="14" t="str">
        <f aca="false">IF(COUNTA(I103:L103)=0,"",SUMIFS('3 Hazed Questions'!$K$2:$K$23,'3 Hazed Questions'!$A$2:$A$23,"Q1",'3 Hazed Questions'!$C$2:$C$23,I103)+SUMIFS('3 Hazed Questions'!$K$2:$K$23,'3 Hazed Questions'!$A$2:$A$23,"Q2",'3 Hazed Questions'!$C$2:$C$23,J103)+SUMIFS('3 Hazed Questions'!$K$2:$K$23,'3 Hazed Questions'!$A$2:$A$23,"Q3",'3 Hazed Questions'!$C$2:$C$23,K103)+SUMIFS('3 Hazed Questions'!$K$2:$K$23,'3 Hazed Questions'!$A$2:$A$23,"Q4",'3 Hazed Questions'!$C$2:$C$23,L103))</f>
        <v/>
      </c>
      <c r="U103" s="14" t="str">
        <f aca="false">IF(COUNTA(I103:L103)=0,"",SUMIFS('3 Hazed Questions'!$L$2:$L$23,'3 Hazed Questions'!$A$2:$A$23,"Q1",'3 Hazed Questions'!$C$2:$C$23,I103)+SUMIFS('3 Hazed Questions'!$L$2:$L$23,'3 Hazed Questions'!$A$2:$A$23,"Q2",'3 Hazed Questions'!$C$2:$C$23,J103)+SUMIFS('3 Hazed Questions'!$L$2:$L$23,'3 Hazed Questions'!$A$2:$A$23,"Q3",'3 Hazed Questions'!$C$2:$C$23,K103)+SUMIFS('3 Hazed Questions'!$L$2:$L$23,'3 Hazed Questions'!$A$2:$A$23,"Q4",'3 Hazed Questions'!$C$2:$C$23,L103))</f>
        <v/>
      </c>
      <c r="V103" s="14" t="str">
        <f aca="false">IF(COUNTA(I103:L103)=0,"",SUMIFS('3 Hazed Questions'!$M$2:$M$23,'3 Hazed Questions'!$A$2:$A$23,"Q1",'3 Hazed Questions'!$C$2:$C$23,I103)+SUMIFS('3 Hazed Questions'!$M$2:$M$23,'3 Hazed Questions'!$A$2:$A$23,"Q2",'3 Hazed Questions'!$C$2:$C$23,J103)+SUMIFS('3 Hazed Questions'!$M$2:$M$23,'3 Hazed Questions'!$A$2:$A$23,"Q3",'3 Hazed Questions'!$C$2:$C$23,K103)+SUMIFS('3 Hazed Questions'!$M$2:$M$23,'3 Hazed Questions'!$A$2:$A$23,"Q4",'3 Hazed Questions'!$C$2:$C$23,L103))</f>
        <v/>
      </c>
      <c r="W103" s="14" t="str">
        <f aca="false">IF(COUNTA(I103:L103)=0,"",SUMIFS('3 Hazed Questions'!$N$2:$N$23,'3 Hazed Questions'!$A$2:$A$23,"Q1",'3 Hazed Questions'!$C$2:$C$23,I103)+SUMIFS('3 Hazed Questions'!$N$2:$N$23,'3 Hazed Questions'!$A$2:$A$23,"Q2",'3 Hazed Questions'!$C$2:$C$23,J103)+SUMIFS('3 Hazed Questions'!$N$2:$N$23,'3 Hazed Questions'!$A$2:$A$23,"Q3",'3 Hazed Questions'!$C$2:$C$23,K103)+SUMIFS('3 Hazed Questions'!$N$2:$N$23,'3 Hazed Questions'!$A$2:$A$23,"Q4",'3 Hazed Questions'!$C$2:$C$23,L103))</f>
        <v/>
      </c>
      <c r="X103" s="14" t="str">
        <f aca="false">IF(COUNTA(I103:L103)=0,"",INDEX(Fields!$B$2:$B$50,MATCH(SUBSTITUTE(INDEX($N$1:$W$1,MATCH(MAX($N103:$W103),$N103:$W103,0)),"Score: ",""),Fields!$A$2:$A$50,0)))</f>
        <v/>
      </c>
      <c r="Y103" s="14" t="str">
        <f aca="true">IF(COUNTA(I103:L103)=0,"",IF(LARGE($N103:$W103,2)=0,"-",INDEX(Fields!$B$2:$B$50,MATCH(SUBSTITUTE(INDEX($N$1:$W$1,IF(LARGE($N103:$W103,2)=MAX($N103:$W103),MATCH(MAX($N103:$W103),OFFSET($N103:$W103,0,MATCH(MAX($N103:$W103),$N103:$W103,0),1,10-MATCH(MAX($N103:$W103),$N103:$W103,0)),0)+MATCH(MAX($N103:$W103),$N103:$W103,0),MATCH(LARGE($N103:$W103,2),$N103:$W103,0))),"Score: ",""),Fields!$A$2:$A$50,0))))</f>
        <v/>
      </c>
      <c r="Z103" s="14" t="str">
        <f aca="false">IF(M103="","",IFERROR(INDEX('3 Hazed Questions'!$O$2:$O$23,MATCH(1,INDEX(('3 Hazed Questions'!$A$2:$A$23="Q5")*('3 Hazed Questions'!$C$2:$C$23=M103),0),0))&amp;"",""))</f>
        <v/>
      </c>
      <c r="AA103" s="18"/>
      <c r="AB103" s="18"/>
      <c r="AC103" s="19"/>
      <c r="AD103" s="19"/>
      <c r="AE103" s="18"/>
      <c r="AF103" s="18"/>
      <c r="AG103" s="18"/>
    </row>
    <row r="104" customFormat="false" ht="15" hidden="false" customHeight="false" outlineLevel="0" collapsed="false">
      <c r="A104" s="18"/>
      <c r="B104" s="19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4" t="str">
        <f aca="false">IF(COUNTA(I104:L104)=0,"",SUMIFS('3 Hazed Questions'!$E$2:$E$23,'3 Hazed Questions'!$A$2:$A$23,"Q1",'3 Hazed Questions'!$C$2:$C$23,I104)+SUMIFS('3 Hazed Questions'!$E$2:$E$23,'3 Hazed Questions'!$A$2:$A$23,"Q2",'3 Hazed Questions'!$C$2:$C$23,J104)+SUMIFS('3 Hazed Questions'!$E$2:$E$23,'3 Hazed Questions'!$A$2:$A$23,"Q3",'3 Hazed Questions'!$C$2:$C$23,K104)+SUMIFS('3 Hazed Questions'!$E$2:$E$23,'3 Hazed Questions'!$A$2:$A$23,"Q4",'3 Hazed Questions'!$C$2:$C$23,L104))</f>
        <v/>
      </c>
      <c r="O104" s="14" t="str">
        <f aca="false">IF(COUNTA(I104:L104)=0,"",SUMIFS('3 Hazed Questions'!$F$2:$F$23,'3 Hazed Questions'!$A$2:$A$23,"Q1",'3 Hazed Questions'!$C$2:$C$23,I104)+SUMIFS('3 Hazed Questions'!$F$2:$F$23,'3 Hazed Questions'!$A$2:$A$23,"Q2",'3 Hazed Questions'!$C$2:$C$23,J104)+SUMIFS('3 Hazed Questions'!$F$2:$F$23,'3 Hazed Questions'!$A$2:$A$23,"Q3",'3 Hazed Questions'!$C$2:$C$23,K104)+SUMIFS('3 Hazed Questions'!$F$2:$F$23,'3 Hazed Questions'!$A$2:$A$23,"Q4",'3 Hazed Questions'!$C$2:$C$23,L104))</f>
        <v/>
      </c>
      <c r="P104" s="14" t="str">
        <f aca="false">IF(COUNTA(I104:L104)=0,"",SUMIFS('3 Hazed Questions'!$G$2:$G$23,'3 Hazed Questions'!$A$2:$A$23,"Q1",'3 Hazed Questions'!$C$2:$C$23,I104)+SUMIFS('3 Hazed Questions'!$G$2:$G$23,'3 Hazed Questions'!$A$2:$A$23,"Q2",'3 Hazed Questions'!$C$2:$C$23,J104)+SUMIFS('3 Hazed Questions'!$G$2:$G$23,'3 Hazed Questions'!$A$2:$A$23,"Q3",'3 Hazed Questions'!$C$2:$C$23,K104)+SUMIFS('3 Hazed Questions'!$G$2:$G$23,'3 Hazed Questions'!$A$2:$A$23,"Q4",'3 Hazed Questions'!$C$2:$C$23,L104))</f>
        <v/>
      </c>
      <c r="Q104" s="14" t="str">
        <f aca="false">IF(COUNTA(I104:L104)=0,"",SUMIFS('3 Hazed Questions'!$H$2:$H$23,'3 Hazed Questions'!$A$2:$A$23,"Q1",'3 Hazed Questions'!$C$2:$C$23,I104)+SUMIFS('3 Hazed Questions'!$H$2:$H$23,'3 Hazed Questions'!$A$2:$A$23,"Q2",'3 Hazed Questions'!$C$2:$C$23,J104)+SUMIFS('3 Hazed Questions'!$H$2:$H$23,'3 Hazed Questions'!$A$2:$A$23,"Q3",'3 Hazed Questions'!$C$2:$C$23,K104)+SUMIFS('3 Hazed Questions'!$H$2:$H$23,'3 Hazed Questions'!$A$2:$A$23,"Q4",'3 Hazed Questions'!$C$2:$C$23,L104))</f>
        <v/>
      </c>
      <c r="R104" s="14" t="str">
        <f aca="false">IF(COUNTA(I104:L104)=0,"",SUMIFS('3 Hazed Questions'!$I$2:$I$23,'3 Hazed Questions'!$A$2:$A$23,"Q1",'3 Hazed Questions'!$C$2:$C$23,I104)+SUMIFS('3 Hazed Questions'!$I$2:$I$23,'3 Hazed Questions'!$A$2:$A$23,"Q2",'3 Hazed Questions'!$C$2:$C$23,J104)+SUMIFS('3 Hazed Questions'!$I$2:$I$23,'3 Hazed Questions'!$A$2:$A$23,"Q3",'3 Hazed Questions'!$C$2:$C$23,K104)+SUMIFS('3 Hazed Questions'!$I$2:$I$23,'3 Hazed Questions'!$A$2:$A$23,"Q4",'3 Hazed Questions'!$C$2:$C$23,L104))</f>
        <v/>
      </c>
      <c r="S104" s="14" t="str">
        <f aca="false">IF(COUNTA(I104:L104)=0,"",SUMIFS('3 Hazed Questions'!$J$2:$J$23,'3 Hazed Questions'!$A$2:$A$23,"Q1",'3 Hazed Questions'!$C$2:$C$23,I104)+SUMIFS('3 Hazed Questions'!$J$2:$J$23,'3 Hazed Questions'!$A$2:$A$23,"Q2",'3 Hazed Questions'!$C$2:$C$23,J104)+SUMIFS('3 Hazed Questions'!$J$2:$J$23,'3 Hazed Questions'!$A$2:$A$23,"Q3",'3 Hazed Questions'!$C$2:$C$23,K104)+SUMIFS('3 Hazed Questions'!$J$2:$J$23,'3 Hazed Questions'!$A$2:$A$23,"Q4",'3 Hazed Questions'!$C$2:$C$23,L104))</f>
        <v/>
      </c>
      <c r="T104" s="14" t="str">
        <f aca="false">IF(COUNTA(I104:L104)=0,"",SUMIFS('3 Hazed Questions'!$K$2:$K$23,'3 Hazed Questions'!$A$2:$A$23,"Q1",'3 Hazed Questions'!$C$2:$C$23,I104)+SUMIFS('3 Hazed Questions'!$K$2:$K$23,'3 Hazed Questions'!$A$2:$A$23,"Q2",'3 Hazed Questions'!$C$2:$C$23,J104)+SUMIFS('3 Hazed Questions'!$K$2:$K$23,'3 Hazed Questions'!$A$2:$A$23,"Q3",'3 Hazed Questions'!$C$2:$C$23,K104)+SUMIFS('3 Hazed Questions'!$K$2:$K$23,'3 Hazed Questions'!$A$2:$A$23,"Q4",'3 Hazed Questions'!$C$2:$C$23,L104))</f>
        <v/>
      </c>
      <c r="U104" s="14" t="str">
        <f aca="false">IF(COUNTA(I104:L104)=0,"",SUMIFS('3 Hazed Questions'!$L$2:$L$23,'3 Hazed Questions'!$A$2:$A$23,"Q1",'3 Hazed Questions'!$C$2:$C$23,I104)+SUMIFS('3 Hazed Questions'!$L$2:$L$23,'3 Hazed Questions'!$A$2:$A$23,"Q2",'3 Hazed Questions'!$C$2:$C$23,J104)+SUMIFS('3 Hazed Questions'!$L$2:$L$23,'3 Hazed Questions'!$A$2:$A$23,"Q3",'3 Hazed Questions'!$C$2:$C$23,K104)+SUMIFS('3 Hazed Questions'!$L$2:$L$23,'3 Hazed Questions'!$A$2:$A$23,"Q4",'3 Hazed Questions'!$C$2:$C$23,L104))</f>
        <v/>
      </c>
      <c r="V104" s="14" t="str">
        <f aca="false">IF(COUNTA(I104:L104)=0,"",SUMIFS('3 Hazed Questions'!$M$2:$M$23,'3 Hazed Questions'!$A$2:$A$23,"Q1",'3 Hazed Questions'!$C$2:$C$23,I104)+SUMIFS('3 Hazed Questions'!$M$2:$M$23,'3 Hazed Questions'!$A$2:$A$23,"Q2",'3 Hazed Questions'!$C$2:$C$23,J104)+SUMIFS('3 Hazed Questions'!$M$2:$M$23,'3 Hazed Questions'!$A$2:$A$23,"Q3",'3 Hazed Questions'!$C$2:$C$23,K104)+SUMIFS('3 Hazed Questions'!$M$2:$M$23,'3 Hazed Questions'!$A$2:$A$23,"Q4",'3 Hazed Questions'!$C$2:$C$23,L104))</f>
        <v/>
      </c>
      <c r="W104" s="14" t="str">
        <f aca="false">IF(COUNTA(I104:L104)=0,"",SUMIFS('3 Hazed Questions'!$N$2:$N$23,'3 Hazed Questions'!$A$2:$A$23,"Q1",'3 Hazed Questions'!$C$2:$C$23,I104)+SUMIFS('3 Hazed Questions'!$N$2:$N$23,'3 Hazed Questions'!$A$2:$A$23,"Q2",'3 Hazed Questions'!$C$2:$C$23,J104)+SUMIFS('3 Hazed Questions'!$N$2:$N$23,'3 Hazed Questions'!$A$2:$A$23,"Q3",'3 Hazed Questions'!$C$2:$C$23,K104)+SUMIFS('3 Hazed Questions'!$N$2:$N$23,'3 Hazed Questions'!$A$2:$A$23,"Q4",'3 Hazed Questions'!$C$2:$C$23,L104))</f>
        <v/>
      </c>
      <c r="X104" s="14" t="str">
        <f aca="false">IF(COUNTA(I104:L104)=0,"",INDEX(Fields!$B$2:$B$50,MATCH(SUBSTITUTE(INDEX($N$1:$W$1,MATCH(MAX($N104:$W104),$N104:$W104,0)),"Score: ",""),Fields!$A$2:$A$50,0)))</f>
        <v/>
      </c>
      <c r="Y104" s="14" t="str">
        <f aca="true">IF(COUNTA(I104:L104)=0,"",IF(LARGE($N104:$W104,2)=0,"-",INDEX(Fields!$B$2:$B$50,MATCH(SUBSTITUTE(INDEX($N$1:$W$1,IF(LARGE($N104:$W104,2)=MAX($N104:$W104),MATCH(MAX($N104:$W104),OFFSET($N104:$W104,0,MATCH(MAX($N104:$W104),$N104:$W104,0),1,10-MATCH(MAX($N104:$W104),$N104:$W104,0)),0)+MATCH(MAX($N104:$W104),$N104:$W104,0),MATCH(LARGE($N104:$W104,2),$N104:$W104,0))),"Score: ",""),Fields!$A$2:$A$50,0))))</f>
        <v/>
      </c>
      <c r="Z104" s="14" t="str">
        <f aca="false">IF(M104="","",IFERROR(INDEX('3 Hazed Questions'!$O$2:$O$23,MATCH(1,INDEX(('3 Hazed Questions'!$A$2:$A$23="Q5")*('3 Hazed Questions'!$C$2:$C$23=M104),0),0))&amp;"",""))</f>
        <v/>
      </c>
      <c r="AA104" s="18"/>
      <c r="AB104" s="18"/>
      <c r="AC104" s="19"/>
      <c r="AD104" s="19"/>
      <c r="AE104" s="18"/>
      <c r="AF104" s="18"/>
      <c r="AG104" s="18"/>
    </row>
    <row r="105" customFormat="false" ht="15" hidden="false" customHeight="false" outlineLevel="0" collapsed="false">
      <c r="A105" s="18"/>
      <c r="B105" s="19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4" t="str">
        <f aca="false">IF(COUNTA(I105:L105)=0,"",SUMIFS('3 Hazed Questions'!$E$2:$E$23,'3 Hazed Questions'!$A$2:$A$23,"Q1",'3 Hazed Questions'!$C$2:$C$23,I105)+SUMIFS('3 Hazed Questions'!$E$2:$E$23,'3 Hazed Questions'!$A$2:$A$23,"Q2",'3 Hazed Questions'!$C$2:$C$23,J105)+SUMIFS('3 Hazed Questions'!$E$2:$E$23,'3 Hazed Questions'!$A$2:$A$23,"Q3",'3 Hazed Questions'!$C$2:$C$23,K105)+SUMIFS('3 Hazed Questions'!$E$2:$E$23,'3 Hazed Questions'!$A$2:$A$23,"Q4",'3 Hazed Questions'!$C$2:$C$23,L105))</f>
        <v/>
      </c>
      <c r="O105" s="14" t="str">
        <f aca="false">IF(COUNTA(I105:L105)=0,"",SUMIFS('3 Hazed Questions'!$F$2:$F$23,'3 Hazed Questions'!$A$2:$A$23,"Q1",'3 Hazed Questions'!$C$2:$C$23,I105)+SUMIFS('3 Hazed Questions'!$F$2:$F$23,'3 Hazed Questions'!$A$2:$A$23,"Q2",'3 Hazed Questions'!$C$2:$C$23,J105)+SUMIFS('3 Hazed Questions'!$F$2:$F$23,'3 Hazed Questions'!$A$2:$A$23,"Q3",'3 Hazed Questions'!$C$2:$C$23,K105)+SUMIFS('3 Hazed Questions'!$F$2:$F$23,'3 Hazed Questions'!$A$2:$A$23,"Q4",'3 Hazed Questions'!$C$2:$C$23,L105))</f>
        <v/>
      </c>
      <c r="P105" s="14" t="str">
        <f aca="false">IF(COUNTA(I105:L105)=0,"",SUMIFS('3 Hazed Questions'!$G$2:$G$23,'3 Hazed Questions'!$A$2:$A$23,"Q1",'3 Hazed Questions'!$C$2:$C$23,I105)+SUMIFS('3 Hazed Questions'!$G$2:$G$23,'3 Hazed Questions'!$A$2:$A$23,"Q2",'3 Hazed Questions'!$C$2:$C$23,J105)+SUMIFS('3 Hazed Questions'!$G$2:$G$23,'3 Hazed Questions'!$A$2:$A$23,"Q3",'3 Hazed Questions'!$C$2:$C$23,K105)+SUMIFS('3 Hazed Questions'!$G$2:$G$23,'3 Hazed Questions'!$A$2:$A$23,"Q4",'3 Hazed Questions'!$C$2:$C$23,L105))</f>
        <v/>
      </c>
      <c r="Q105" s="14" t="str">
        <f aca="false">IF(COUNTA(I105:L105)=0,"",SUMIFS('3 Hazed Questions'!$H$2:$H$23,'3 Hazed Questions'!$A$2:$A$23,"Q1",'3 Hazed Questions'!$C$2:$C$23,I105)+SUMIFS('3 Hazed Questions'!$H$2:$H$23,'3 Hazed Questions'!$A$2:$A$23,"Q2",'3 Hazed Questions'!$C$2:$C$23,J105)+SUMIFS('3 Hazed Questions'!$H$2:$H$23,'3 Hazed Questions'!$A$2:$A$23,"Q3",'3 Hazed Questions'!$C$2:$C$23,K105)+SUMIFS('3 Hazed Questions'!$H$2:$H$23,'3 Hazed Questions'!$A$2:$A$23,"Q4",'3 Hazed Questions'!$C$2:$C$23,L105))</f>
        <v/>
      </c>
      <c r="R105" s="14" t="str">
        <f aca="false">IF(COUNTA(I105:L105)=0,"",SUMIFS('3 Hazed Questions'!$I$2:$I$23,'3 Hazed Questions'!$A$2:$A$23,"Q1",'3 Hazed Questions'!$C$2:$C$23,I105)+SUMIFS('3 Hazed Questions'!$I$2:$I$23,'3 Hazed Questions'!$A$2:$A$23,"Q2",'3 Hazed Questions'!$C$2:$C$23,J105)+SUMIFS('3 Hazed Questions'!$I$2:$I$23,'3 Hazed Questions'!$A$2:$A$23,"Q3",'3 Hazed Questions'!$C$2:$C$23,K105)+SUMIFS('3 Hazed Questions'!$I$2:$I$23,'3 Hazed Questions'!$A$2:$A$23,"Q4",'3 Hazed Questions'!$C$2:$C$23,L105))</f>
        <v/>
      </c>
      <c r="S105" s="14" t="str">
        <f aca="false">IF(COUNTA(I105:L105)=0,"",SUMIFS('3 Hazed Questions'!$J$2:$J$23,'3 Hazed Questions'!$A$2:$A$23,"Q1",'3 Hazed Questions'!$C$2:$C$23,I105)+SUMIFS('3 Hazed Questions'!$J$2:$J$23,'3 Hazed Questions'!$A$2:$A$23,"Q2",'3 Hazed Questions'!$C$2:$C$23,J105)+SUMIFS('3 Hazed Questions'!$J$2:$J$23,'3 Hazed Questions'!$A$2:$A$23,"Q3",'3 Hazed Questions'!$C$2:$C$23,K105)+SUMIFS('3 Hazed Questions'!$J$2:$J$23,'3 Hazed Questions'!$A$2:$A$23,"Q4",'3 Hazed Questions'!$C$2:$C$23,L105))</f>
        <v/>
      </c>
      <c r="T105" s="14" t="str">
        <f aca="false">IF(COUNTA(I105:L105)=0,"",SUMIFS('3 Hazed Questions'!$K$2:$K$23,'3 Hazed Questions'!$A$2:$A$23,"Q1",'3 Hazed Questions'!$C$2:$C$23,I105)+SUMIFS('3 Hazed Questions'!$K$2:$K$23,'3 Hazed Questions'!$A$2:$A$23,"Q2",'3 Hazed Questions'!$C$2:$C$23,J105)+SUMIFS('3 Hazed Questions'!$K$2:$K$23,'3 Hazed Questions'!$A$2:$A$23,"Q3",'3 Hazed Questions'!$C$2:$C$23,K105)+SUMIFS('3 Hazed Questions'!$K$2:$K$23,'3 Hazed Questions'!$A$2:$A$23,"Q4",'3 Hazed Questions'!$C$2:$C$23,L105))</f>
        <v/>
      </c>
      <c r="U105" s="14" t="str">
        <f aca="false">IF(COUNTA(I105:L105)=0,"",SUMIFS('3 Hazed Questions'!$L$2:$L$23,'3 Hazed Questions'!$A$2:$A$23,"Q1",'3 Hazed Questions'!$C$2:$C$23,I105)+SUMIFS('3 Hazed Questions'!$L$2:$L$23,'3 Hazed Questions'!$A$2:$A$23,"Q2",'3 Hazed Questions'!$C$2:$C$23,J105)+SUMIFS('3 Hazed Questions'!$L$2:$L$23,'3 Hazed Questions'!$A$2:$A$23,"Q3",'3 Hazed Questions'!$C$2:$C$23,K105)+SUMIFS('3 Hazed Questions'!$L$2:$L$23,'3 Hazed Questions'!$A$2:$A$23,"Q4",'3 Hazed Questions'!$C$2:$C$23,L105))</f>
        <v/>
      </c>
      <c r="V105" s="14" t="str">
        <f aca="false">IF(COUNTA(I105:L105)=0,"",SUMIFS('3 Hazed Questions'!$M$2:$M$23,'3 Hazed Questions'!$A$2:$A$23,"Q1",'3 Hazed Questions'!$C$2:$C$23,I105)+SUMIFS('3 Hazed Questions'!$M$2:$M$23,'3 Hazed Questions'!$A$2:$A$23,"Q2",'3 Hazed Questions'!$C$2:$C$23,J105)+SUMIFS('3 Hazed Questions'!$M$2:$M$23,'3 Hazed Questions'!$A$2:$A$23,"Q3",'3 Hazed Questions'!$C$2:$C$23,K105)+SUMIFS('3 Hazed Questions'!$M$2:$M$23,'3 Hazed Questions'!$A$2:$A$23,"Q4",'3 Hazed Questions'!$C$2:$C$23,L105))</f>
        <v/>
      </c>
      <c r="W105" s="14" t="str">
        <f aca="false">IF(COUNTA(I105:L105)=0,"",SUMIFS('3 Hazed Questions'!$N$2:$N$23,'3 Hazed Questions'!$A$2:$A$23,"Q1",'3 Hazed Questions'!$C$2:$C$23,I105)+SUMIFS('3 Hazed Questions'!$N$2:$N$23,'3 Hazed Questions'!$A$2:$A$23,"Q2",'3 Hazed Questions'!$C$2:$C$23,J105)+SUMIFS('3 Hazed Questions'!$N$2:$N$23,'3 Hazed Questions'!$A$2:$A$23,"Q3",'3 Hazed Questions'!$C$2:$C$23,K105)+SUMIFS('3 Hazed Questions'!$N$2:$N$23,'3 Hazed Questions'!$A$2:$A$23,"Q4",'3 Hazed Questions'!$C$2:$C$23,L105))</f>
        <v/>
      </c>
      <c r="X105" s="14" t="str">
        <f aca="false">IF(COUNTA(I105:L105)=0,"",INDEX(Fields!$B$2:$B$50,MATCH(SUBSTITUTE(INDEX($N$1:$W$1,MATCH(MAX($N105:$W105),$N105:$W105,0)),"Score: ",""),Fields!$A$2:$A$50,0)))</f>
        <v/>
      </c>
      <c r="Y105" s="14" t="str">
        <f aca="true">IF(COUNTA(I105:L105)=0,"",IF(LARGE($N105:$W105,2)=0,"-",INDEX(Fields!$B$2:$B$50,MATCH(SUBSTITUTE(INDEX($N$1:$W$1,IF(LARGE($N105:$W105,2)=MAX($N105:$W105),MATCH(MAX($N105:$W105),OFFSET($N105:$W105,0,MATCH(MAX($N105:$W105),$N105:$W105,0),1,10-MATCH(MAX($N105:$W105),$N105:$W105,0)),0)+MATCH(MAX($N105:$W105),$N105:$W105,0),MATCH(LARGE($N105:$W105,2),$N105:$W105,0))),"Score: ",""),Fields!$A$2:$A$50,0))))</f>
        <v/>
      </c>
      <c r="Z105" s="14" t="str">
        <f aca="false">IF(M105="","",IFERROR(INDEX('3 Hazed Questions'!$O$2:$O$23,MATCH(1,INDEX(('3 Hazed Questions'!$A$2:$A$23="Q5")*('3 Hazed Questions'!$C$2:$C$23=M105),0),0))&amp;"",""))</f>
        <v/>
      </c>
      <c r="AA105" s="18"/>
      <c r="AB105" s="18"/>
      <c r="AC105" s="19"/>
      <c r="AD105" s="19"/>
      <c r="AE105" s="18"/>
      <c r="AF105" s="18"/>
      <c r="AG105" s="18"/>
    </row>
    <row r="106" customFormat="false" ht="15" hidden="false" customHeight="false" outlineLevel="0" collapsed="false">
      <c r="A106" s="18"/>
      <c r="B106" s="19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4" t="str">
        <f aca="false">IF(COUNTA(I106:L106)=0,"",SUMIFS('3 Hazed Questions'!$E$2:$E$23,'3 Hazed Questions'!$A$2:$A$23,"Q1",'3 Hazed Questions'!$C$2:$C$23,I106)+SUMIFS('3 Hazed Questions'!$E$2:$E$23,'3 Hazed Questions'!$A$2:$A$23,"Q2",'3 Hazed Questions'!$C$2:$C$23,J106)+SUMIFS('3 Hazed Questions'!$E$2:$E$23,'3 Hazed Questions'!$A$2:$A$23,"Q3",'3 Hazed Questions'!$C$2:$C$23,K106)+SUMIFS('3 Hazed Questions'!$E$2:$E$23,'3 Hazed Questions'!$A$2:$A$23,"Q4",'3 Hazed Questions'!$C$2:$C$23,L106))</f>
        <v/>
      </c>
      <c r="O106" s="14" t="str">
        <f aca="false">IF(COUNTA(I106:L106)=0,"",SUMIFS('3 Hazed Questions'!$F$2:$F$23,'3 Hazed Questions'!$A$2:$A$23,"Q1",'3 Hazed Questions'!$C$2:$C$23,I106)+SUMIFS('3 Hazed Questions'!$F$2:$F$23,'3 Hazed Questions'!$A$2:$A$23,"Q2",'3 Hazed Questions'!$C$2:$C$23,J106)+SUMIFS('3 Hazed Questions'!$F$2:$F$23,'3 Hazed Questions'!$A$2:$A$23,"Q3",'3 Hazed Questions'!$C$2:$C$23,K106)+SUMIFS('3 Hazed Questions'!$F$2:$F$23,'3 Hazed Questions'!$A$2:$A$23,"Q4",'3 Hazed Questions'!$C$2:$C$23,L106))</f>
        <v/>
      </c>
      <c r="P106" s="14" t="str">
        <f aca="false">IF(COUNTA(I106:L106)=0,"",SUMIFS('3 Hazed Questions'!$G$2:$G$23,'3 Hazed Questions'!$A$2:$A$23,"Q1",'3 Hazed Questions'!$C$2:$C$23,I106)+SUMIFS('3 Hazed Questions'!$G$2:$G$23,'3 Hazed Questions'!$A$2:$A$23,"Q2",'3 Hazed Questions'!$C$2:$C$23,J106)+SUMIFS('3 Hazed Questions'!$G$2:$G$23,'3 Hazed Questions'!$A$2:$A$23,"Q3",'3 Hazed Questions'!$C$2:$C$23,K106)+SUMIFS('3 Hazed Questions'!$G$2:$G$23,'3 Hazed Questions'!$A$2:$A$23,"Q4",'3 Hazed Questions'!$C$2:$C$23,L106))</f>
        <v/>
      </c>
      <c r="Q106" s="14" t="str">
        <f aca="false">IF(COUNTA(I106:L106)=0,"",SUMIFS('3 Hazed Questions'!$H$2:$H$23,'3 Hazed Questions'!$A$2:$A$23,"Q1",'3 Hazed Questions'!$C$2:$C$23,I106)+SUMIFS('3 Hazed Questions'!$H$2:$H$23,'3 Hazed Questions'!$A$2:$A$23,"Q2",'3 Hazed Questions'!$C$2:$C$23,J106)+SUMIFS('3 Hazed Questions'!$H$2:$H$23,'3 Hazed Questions'!$A$2:$A$23,"Q3",'3 Hazed Questions'!$C$2:$C$23,K106)+SUMIFS('3 Hazed Questions'!$H$2:$H$23,'3 Hazed Questions'!$A$2:$A$23,"Q4",'3 Hazed Questions'!$C$2:$C$23,L106))</f>
        <v/>
      </c>
      <c r="R106" s="14" t="str">
        <f aca="false">IF(COUNTA(I106:L106)=0,"",SUMIFS('3 Hazed Questions'!$I$2:$I$23,'3 Hazed Questions'!$A$2:$A$23,"Q1",'3 Hazed Questions'!$C$2:$C$23,I106)+SUMIFS('3 Hazed Questions'!$I$2:$I$23,'3 Hazed Questions'!$A$2:$A$23,"Q2",'3 Hazed Questions'!$C$2:$C$23,J106)+SUMIFS('3 Hazed Questions'!$I$2:$I$23,'3 Hazed Questions'!$A$2:$A$23,"Q3",'3 Hazed Questions'!$C$2:$C$23,K106)+SUMIFS('3 Hazed Questions'!$I$2:$I$23,'3 Hazed Questions'!$A$2:$A$23,"Q4",'3 Hazed Questions'!$C$2:$C$23,L106))</f>
        <v/>
      </c>
      <c r="S106" s="14" t="str">
        <f aca="false">IF(COUNTA(I106:L106)=0,"",SUMIFS('3 Hazed Questions'!$J$2:$J$23,'3 Hazed Questions'!$A$2:$A$23,"Q1",'3 Hazed Questions'!$C$2:$C$23,I106)+SUMIFS('3 Hazed Questions'!$J$2:$J$23,'3 Hazed Questions'!$A$2:$A$23,"Q2",'3 Hazed Questions'!$C$2:$C$23,J106)+SUMIFS('3 Hazed Questions'!$J$2:$J$23,'3 Hazed Questions'!$A$2:$A$23,"Q3",'3 Hazed Questions'!$C$2:$C$23,K106)+SUMIFS('3 Hazed Questions'!$J$2:$J$23,'3 Hazed Questions'!$A$2:$A$23,"Q4",'3 Hazed Questions'!$C$2:$C$23,L106))</f>
        <v/>
      </c>
      <c r="T106" s="14" t="str">
        <f aca="false">IF(COUNTA(I106:L106)=0,"",SUMIFS('3 Hazed Questions'!$K$2:$K$23,'3 Hazed Questions'!$A$2:$A$23,"Q1",'3 Hazed Questions'!$C$2:$C$23,I106)+SUMIFS('3 Hazed Questions'!$K$2:$K$23,'3 Hazed Questions'!$A$2:$A$23,"Q2",'3 Hazed Questions'!$C$2:$C$23,J106)+SUMIFS('3 Hazed Questions'!$K$2:$K$23,'3 Hazed Questions'!$A$2:$A$23,"Q3",'3 Hazed Questions'!$C$2:$C$23,K106)+SUMIFS('3 Hazed Questions'!$K$2:$K$23,'3 Hazed Questions'!$A$2:$A$23,"Q4",'3 Hazed Questions'!$C$2:$C$23,L106))</f>
        <v/>
      </c>
      <c r="U106" s="14" t="str">
        <f aca="false">IF(COUNTA(I106:L106)=0,"",SUMIFS('3 Hazed Questions'!$L$2:$L$23,'3 Hazed Questions'!$A$2:$A$23,"Q1",'3 Hazed Questions'!$C$2:$C$23,I106)+SUMIFS('3 Hazed Questions'!$L$2:$L$23,'3 Hazed Questions'!$A$2:$A$23,"Q2",'3 Hazed Questions'!$C$2:$C$23,J106)+SUMIFS('3 Hazed Questions'!$L$2:$L$23,'3 Hazed Questions'!$A$2:$A$23,"Q3",'3 Hazed Questions'!$C$2:$C$23,K106)+SUMIFS('3 Hazed Questions'!$L$2:$L$23,'3 Hazed Questions'!$A$2:$A$23,"Q4",'3 Hazed Questions'!$C$2:$C$23,L106))</f>
        <v/>
      </c>
      <c r="V106" s="14" t="str">
        <f aca="false">IF(COUNTA(I106:L106)=0,"",SUMIFS('3 Hazed Questions'!$M$2:$M$23,'3 Hazed Questions'!$A$2:$A$23,"Q1",'3 Hazed Questions'!$C$2:$C$23,I106)+SUMIFS('3 Hazed Questions'!$M$2:$M$23,'3 Hazed Questions'!$A$2:$A$23,"Q2",'3 Hazed Questions'!$C$2:$C$23,J106)+SUMIFS('3 Hazed Questions'!$M$2:$M$23,'3 Hazed Questions'!$A$2:$A$23,"Q3",'3 Hazed Questions'!$C$2:$C$23,K106)+SUMIFS('3 Hazed Questions'!$M$2:$M$23,'3 Hazed Questions'!$A$2:$A$23,"Q4",'3 Hazed Questions'!$C$2:$C$23,L106))</f>
        <v/>
      </c>
      <c r="W106" s="14" t="str">
        <f aca="false">IF(COUNTA(I106:L106)=0,"",SUMIFS('3 Hazed Questions'!$N$2:$N$23,'3 Hazed Questions'!$A$2:$A$23,"Q1",'3 Hazed Questions'!$C$2:$C$23,I106)+SUMIFS('3 Hazed Questions'!$N$2:$N$23,'3 Hazed Questions'!$A$2:$A$23,"Q2",'3 Hazed Questions'!$C$2:$C$23,J106)+SUMIFS('3 Hazed Questions'!$N$2:$N$23,'3 Hazed Questions'!$A$2:$A$23,"Q3",'3 Hazed Questions'!$C$2:$C$23,K106)+SUMIFS('3 Hazed Questions'!$N$2:$N$23,'3 Hazed Questions'!$A$2:$A$23,"Q4",'3 Hazed Questions'!$C$2:$C$23,L106))</f>
        <v/>
      </c>
      <c r="X106" s="14" t="str">
        <f aca="false">IF(COUNTA(I106:L106)=0,"",INDEX(Fields!$B$2:$B$50,MATCH(SUBSTITUTE(INDEX($N$1:$W$1,MATCH(MAX($N106:$W106),$N106:$W106,0)),"Score: ",""),Fields!$A$2:$A$50,0)))</f>
        <v/>
      </c>
      <c r="Y106" s="14" t="str">
        <f aca="true">IF(COUNTA(I106:L106)=0,"",IF(LARGE($N106:$W106,2)=0,"-",INDEX(Fields!$B$2:$B$50,MATCH(SUBSTITUTE(INDEX($N$1:$W$1,IF(LARGE($N106:$W106,2)=MAX($N106:$W106),MATCH(MAX($N106:$W106),OFFSET($N106:$W106,0,MATCH(MAX($N106:$W106),$N106:$W106,0),1,10-MATCH(MAX($N106:$W106),$N106:$W106,0)),0)+MATCH(MAX($N106:$W106),$N106:$W106,0),MATCH(LARGE($N106:$W106,2),$N106:$W106,0))),"Score: ",""),Fields!$A$2:$A$50,0))))</f>
        <v/>
      </c>
      <c r="Z106" s="14" t="str">
        <f aca="false">IF(M106="","",IFERROR(INDEX('3 Hazed Questions'!$O$2:$O$23,MATCH(1,INDEX(('3 Hazed Questions'!$A$2:$A$23="Q5")*('3 Hazed Questions'!$C$2:$C$23=M106),0),0))&amp;"",""))</f>
        <v/>
      </c>
      <c r="AA106" s="18"/>
      <c r="AB106" s="18"/>
      <c r="AC106" s="19"/>
      <c r="AD106" s="19"/>
      <c r="AE106" s="18"/>
      <c r="AF106" s="18"/>
      <c r="AG106" s="18"/>
    </row>
    <row r="107" customFormat="false" ht="15" hidden="false" customHeight="false" outlineLevel="0" collapsed="false">
      <c r="A107" s="18"/>
      <c r="B107" s="19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4" t="str">
        <f aca="false">IF(COUNTA(I107:L107)=0,"",SUMIFS('3 Hazed Questions'!$E$2:$E$23,'3 Hazed Questions'!$A$2:$A$23,"Q1",'3 Hazed Questions'!$C$2:$C$23,I107)+SUMIFS('3 Hazed Questions'!$E$2:$E$23,'3 Hazed Questions'!$A$2:$A$23,"Q2",'3 Hazed Questions'!$C$2:$C$23,J107)+SUMIFS('3 Hazed Questions'!$E$2:$E$23,'3 Hazed Questions'!$A$2:$A$23,"Q3",'3 Hazed Questions'!$C$2:$C$23,K107)+SUMIFS('3 Hazed Questions'!$E$2:$E$23,'3 Hazed Questions'!$A$2:$A$23,"Q4",'3 Hazed Questions'!$C$2:$C$23,L107))</f>
        <v/>
      </c>
      <c r="O107" s="14" t="str">
        <f aca="false">IF(COUNTA(I107:L107)=0,"",SUMIFS('3 Hazed Questions'!$F$2:$F$23,'3 Hazed Questions'!$A$2:$A$23,"Q1",'3 Hazed Questions'!$C$2:$C$23,I107)+SUMIFS('3 Hazed Questions'!$F$2:$F$23,'3 Hazed Questions'!$A$2:$A$23,"Q2",'3 Hazed Questions'!$C$2:$C$23,J107)+SUMIFS('3 Hazed Questions'!$F$2:$F$23,'3 Hazed Questions'!$A$2:$A$23,"Q3",'3 Hazed Questions'!$C$2:$C$23,K107)+SUMIFS('3 Hazed Questions'!$F$2:$F$23,'3 Hazed Questions'!$A$2:$A$23,"Q4",'3 Hazed Questions'!$C$2:$C$23,L107))</f>
        <v/>
      </c>
      <c r="P107" s="14" t="str">
        <f aca="false">IF(COUNTA(I107:L107)=0,"",SUMIFS('3 Hazed Questions'!$G$2:$G$23,'3 Hazed Questions'!$A$2:$A$23,"Q1",'3 Hazed Questions'!$C$2:$C$23,I107)+SUMIFS('3 Hazed Questions'!$G$2:$G$23,'3 Hazed Questions'!$A$2:$A$23,"Q2",'3 Hazed Questions'!$C$2:$C$23,J107)+SUMIFS('3 Hazed Questions'!$G$2:$G$23,'3 Hazed Questions'!$A$2:$A$23,"Q3",'3 Hazed Questions'!$C$2:$C$23,K107)+SUMIFS('3 Hazed Questions'!$G$2:$G$23,'3 Hazed Questions'!$A$2:$A$23,"Q4",'3 Hazed Questions'!$C$2:$C$23,L107))</f>
        <v/>
      </c>
      <c r="Q107" s="14" t="str">
        <f aca="false">IF(COUNTA(I107:L107)=0,"",SUMIFS('3 Hazed Questions'!$H$2:$H$23,'3 Hazed Questions'!$A$2:$A$23,"Q1",'3 Hazed Questions'!$C$2:$C$23,I107)+SUMIFS('3 Hazed Questions'!$H$2:$H$23,'3 Hazed Questions'!$A$2:$A$23,"Q2",'3 Hazed Questions'!$C$2:$C$23,J107)+SUMIFS('3 Hazed Questions'!$H$2:$H$23,'3 Hazed Questions'!$A$2:$A$23,"Q3",'3 Hazed Questions'!$C$2:$C$23,K107)+SUMIFS('3 Hazed Questions'!$H$2:$H$23,'3 Hazed Questions'!$A$2:$A$23,"Q4",'3 Hazed Questions'!$C$2:$C$23,L107))</f>
        <v/>
      </c>
      <c r="R107" s="14" t="str">
        <f aca="false">IF(COUNTA(I107:L107)=0,"",SUMIFS('3 Hazed Questions'!$I$2:$I$23,'3 Hazed Questions'!$A$2:$A$23,"Q1",'3 Hazed Questions'!$C$2:$C$23,I107)+SUMIFS('3 Hazed Questions'!$I$2:$I$23,'3 Hazed Questions'!$A$2:$A$23,"Q2",'3 Hazed Questions'!$C$2:$C$23,J107)+SUMIFS('3 Hazed Questions'!$I$2:$I$23,'3 Hazed Questions'!$A$2:$A$23,"Q3",'3 Hazed Questions'!$C$2:$C$23,K107)+SUMIFS('3 Hazed Questions'!$I$2:$I$23,'3 Hazed Questions'!$A$2:$A$23,"Q4",'3 Hazed Questions'!$C$2:$C$23,L107))</f>
        <v/>
      </c>
      <c r="S107" s="14" t="str">
        <f aca="false">IF(COUNTA(I107:L107)=0,"",SUMIFS('3 Hazed Questions'!$J$2:$J$23,'3 Hazed Questions'!$A$2:$A$23,"Q1",'3 Hazed Questions'!$C$2:$C$23,I107)+SUMIFS('3 Hazed Questions'!$J$2:$J$23,'3 Hazed Questions'!$A$2:$A$23,"Q2",'3 Hazed Questions'!$C$2:$C$23,J107)+SUMIFS('3 Hazed Questions'!$J$2:$J$23,'3 Hazed Questions'!$A$2:$A$23,"Q3",'3 Hazed Questions'!$C$2:$C$23,K107)+SUMIFS('3 Hazed Questions'!$J$2:$J$23,'3 Hazed Questions'!$A$2:$A$23,"Q4",'3 Hazed Questions'!$C$2:$C$23,L107))</f>
        <v/>
      </c>
      <c r="T107" s="14" t="str">
        <f aca="false">IF(COUNTA(I107:L107)=0,"",SUMIFS('3 Hazed Questions'!$K$2:$K$23,'3 Hazed Questions'!$A$2:$A$23,"Q1",'3 Hazed Questions'!$C$2:$C$23,I107)+SUMIFS('3 Hazed Questions'!$K$2:$K$23,'3 Hazed Questions'!$A$2:$A$23,"Q2",'3 Hazed Questions'!$C$2:$C$23,J107)+SUMIFS('3 Hazed Questions'!$K$2:$K$23,'3 Hazed Questions'!$A$2:$A$23,"Q3",'3 Hazed Questions'!$C$2:$C$23,K107)+SUMIFS('3 Hazed Questions'!$K$2:$K$23,'3 Hazed Questions'!$A$2:$A$23,"Q4",'3 Hazed Questions'!$C$2:$C$23,L107))</f>
        <v/>
      </c>
      <c r="U107" s="14" t="str">
        <f aca="false">IF(COUNTA(I107:L107)=0,"",SUMIFS('3 Hazed Questions'!$L$2:$L$23,'3 Hazed Questions'!$A$2:$A$23,"Q1",'3 Hazed Questions'!$C$2:$C$23,I107)+SUMIFS('3 Hazed Questions'!$L$2:$L$23,'3 Hazed Questions'!$A$2:$A$23,"Q2",'3 Hazed Questions'!$C$2:$C$23,J107)+SUMIFS('3 Hazed Questions'!$L$2:$L$23,'3 Hazed Questions'!$A$2:$A$23,"Q3",'3 Hazed Questions'!$C$2:$C$23,K107)+SUMIFS('3 Hazed Questions'!$L$2:$L$23,'3 Hazed Questions'!$A$2:$A$23,"Q4",'3 Hazed Questions'!$C$2:$C$23,L107))</f>
        <v/>
      </c>
      <c r="V107" s="14" t="str">
        <f aca="false">IF(COUNTA(I107:L107)=0,"",SUMIFS('3 Hazed Questions'!$M$2:$M$23,'3 Hazed Questions'!$A$2:$A$23,"Q1",'3 Hazed Questions'!$C$2:$C$23,I107)+SUMIFS('3 Hazed Questions'!$M$2:$M$23,'3 Hazed Questions'!$A$2:$A$23,"Q2",'3 Hazed Questions'!$C$2:$C$23,J107)+SUMIFS('3 Hazed Questions'!$M$2:$M$23,'3 Hazed Questions'!$A$2:$A$23,"Q3",'3 Hazed Questions'!$C$2:$C$23,K107)+SUMIFS('3 Hazed Questions'!$M$2:$M$23,'3 Hazed Questions'!$A$2:$A$23,"Q4",'3 Hazed Questions'!$C$2:$C$23,L107))</f>
        <v/>
      </c>
      <c r="W107" s="14" t="str">
        <f aca="false">IF(COUNTA(I107:L107)=0,"",SUMIFS('3 Hazed Questions'!$N$2:$N$23,'3 Hazed Questions'!$A$2:$A$23,"Q1",'3 Hazed Questions'!$C$2:$C$23,I107)+SUMIFS('3 Hazed Questions'!$N$2:$N$23,'3 Hazed Questions'!$A$2:$A$23,"Q2",'3 Hazed Questions'!$C$2:$C$23,J107)+SUMIFS('3 Hazed Questions'!$N$2:$N$23,'3 Hazed Questions'!$A$2:$A$23,"Q3",'3 Hazed Questions'!$C$2:$C$23,K107)+SUMIFS('3 Hazed Questions'!$N$2:$N$23,'3 Hazed Questions'!$A$2:$A$23,"Q4",'3 Hazed Questions'!$C$2:$C$23,L107))</f>
        <v/>
      </c>
      <c r="X107" s="14" t="str">
        <f aca="false">IF(COUNTA(I107:L107)=0,"",INDEX(Fields!$B$2:$B$50,MATCH(SUBSTITUTE(INDEX($N$1:$W$1,MATCH(MAX($N107:$W107),$N107:$W107,0)),"Score: ",""),Fields!$A$2:$A$50,0)))</f>
        <v/>
      </c>
      <c r="Y107" s="14" t="str">
        <f aca="true">IF(COUNTA(I107:L107)=0,"",IF(LARGE($N107:$W107,2)=0,"-",INDEX(Fields!$B$2:$B$50,MATCH(SUBSTITUTE(INDEX($N$1:$W$1,IF(LARGE($N107:$W107,2)=MAX($N107:$W107),MATCH(MAX($N107:$W107),OFFSET($N107:$W107,0,MATCH(MAX($N107:$W107),$N107:$W107,0),1,10-MATCH(MAX($N107:$W107),$N107:$W107,0)),0)+MATCH(MAX($N107:$W107),$N107:$W107,0),MATCH(LARGE($N107:$W107,2),$N107:$W107,0))),"Score: ",""),Fields!$A$2:$A$50,0))))</f>
        <v/>
      </c>
      <c r="Z107" s="14" t="str">
        <f aca="false">IF(M107="","",IFERROR(INDEX('3 Hazed Questions'!$O$2:$O$23,MATCH(1,INDEX(('3 Hazed Questions'!$A$2:$A$23="Q5")*('3 Hazed Questions'!$C$2:$C$23=M107),0),0))&amp;"",""))</f>
        <v/>
      </c>
      <c r="AA107" s="18"/>
      <c r="AB107" s="18"/>
      <c r="AC107" s="19"/>
      <c r="AD107" s="19"/>
      <c r="AE107" s="18"/>
      <c r="AF107" s="18"/>
      <c r="AG107" s="18"/>
    </row>
    <row r="108" customFormat="false" ht="15" hidden="false" customHeight="false" outlineLevel="0" collapsed="false">
      <c r="A108" s="18"/>
      <c r="B108" s="19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4" t="str">
        <f aca="false">IF(COUNTA(I108:L108)=0,"",SUMIFS('3 Hazed Questions'!$E$2:$E$23,'3 Hazed Questions'!$A$2:$A$23,"Q1",'3 Hazed Questions'!$C$2:$C$23,I108)+SUMIFS('3 Hazed Questions'!$E$2:$E$23,'3 Hazed Questions'!$A$2:$A$23,"Q2",'3 Hazed Questions'!$C$2:$C$23,J108)+SUMIFS('3 Hazed Questions'!$E$2:$E$23,'3 Hazed Questions'!$A$2:$A$23,"Q3",'3 Hazed Questions'!$C$2:$C$23,K108)+SUMIFS('3 Hazed Questions'!$E$2:$E$23,'3 Hazed Questions'!$A$2:$A$23,"Q4",'3 Hazed Questions'!$C$2:$C$23,L108))</f>
        <v/>
      </c>
      <c r="O108" s="14" t="str">
        <f aca="false">IF(COUNTA(I108:L108)=0,"",SUMIFS('3 Hazed Questions'!$F$2:$F$23,'3 Hazed Questions'!$A$2:$A$23,"Q1",'3 Hazed Questions'!$C$2:$C$23,I108)+SUMIFS('3 Hazed Questions'!$F$2:$F$23,'3 Hazed Questions'!$A$2:$A$23,"Q2",'3 Hazed Questions'!$C$2:$C$23,J108)+SUMIFS('3 Hazed Questions'!$F$2:$F$23,'3 Hazed Questions'!$A$2:$A$23,"Q3",'3 Hazed Questions'!$C$2:$C$23,K108)+SUMIFS('3 Hazed Questions'!$F$2:$F$23,'3 Hazed Questions'!$A$2:$A$23,"Q4",'3 Hazed Questions'!$C$2:$C$23,L108))</f>
        <v/>
      </c>
      <c r="P108" s="14" t="str">
        <f aca="false">IF(COUNTA(I108:L108)=0,"",SUMIFS('3 Hazed Questions'!$G$2:$G$23,'3 Hazed Questions'!$A$2:$A$23,"Q1",'3 Hazed Questions'!$C$2:$C$23,I108)+SUMIFS('3 Hazed Questions'!$G$2:$G$23,'3 Hazed Questions'!$A$2:$A$23,"Q2",'3 Hazed Questions'!$C$2:$C$23,J108)+SUMIFS('3 Hazed Questions'!$G$2:$G$23,'3 Hazed Questions'!$A$2:$A$23,"Q3",'3 Hazed Questions'!$C$2:$C$23,K108)+SUMIFS('3 Hazed Questions'!$G$2:$G$23,'3 Hazed Questions'!$A$2:$A$23,"Q4",'3 Hazed Questions'!$C$2:$C$23,L108))</f>
        <v/>
      </c>
      <c r="Q108" s="14" t="str">
        <f aca="false">IF(COUNTA(I108:L108)=0,"",SUMIFS('3 Hazed Questions'!$H$2:$H$23,'3 Hazed Questions'!$A$2:$A$23,"Q1",'3 Hazed Questions'!$C$2:$C$23,I108)+SUMIFS('3 Hazed Questions'!$H$2:$H$23,'3 Hazed Questions'!$A$2:$A$23,"Q2",'3 Hazed Questions'!$C$2:$C$23,J108)+SUMIFS('3 Hazed Questions'!$H$2:$H$23,'3 Hazed Questions'!$A$2:$A$23,"Q3",'3 Hazed Questions'!$C$2:$C$23,K108)+SUMIFS('3 Hazed Questions'!$H$2:$H$23,'3 Hazed Questions'!$A$2:$A$23,"Q4",'3 Hazed Questions'!$C$2:$C$23,L108))</f>
        <v/>
      </c>
      <c r="R108" s="14" t="str">
        <f aca="false">IF(COUNTA(I108:L108)=0,"",SUMIFS('3 Hazed Questions'!$I$2:$I$23,'3 Hazed Questions'!$A$2:$A$23,"Q1",'3 Hazed Questions'!$C$2:$C$23,I108)+SUMIFS('3 Hazed Questions'!$I$2:$I$23,'3 Hazed Questions'!$A$2:$A$23,"Q2",'3 Hazed Questions'!$C$2:$C$23,J108)+SUMIFS('3 Hazed Questions'!$I$2:$I$23,'3 Hazed Questions'!$A$2:$A$23,"Q3",'3 Hazed Questions'!$C$2:$C$23,K108)+SUMIFS('3 Hazed Questions'!$I$2:$I$23,'3 Hazed Questions'!$A$2:$A$23,"Q4",'3 Hazed Questions'!$C$2:$C$23,L108))</f>
        <v/>
      </c>
      <c r="S108" s="14" t="str">
        <f aca="false">IF(COUNTA(I108:L108)=0,"",SUMIFS('3 Hazed Questions'!$J$2:$J$23,'3 Hazed Questions'!$A$2:$A$23,"Q1",'3 Hazed Questions'!$C$2:$C$23,I108)+SUMIFS('3 Hazed Questions'!$J$2:$J$23,'3 Hazed Questions'!$A$2:$A$23,"Q2",'3 Hazed Questions'!$C$2:$C$23,J108)+SUMIFS('3 Hazed Questions'!$J$2:$J$23,'3 Hazed Questions'!$A$2:$A$23,"Q3",'3 Hazed Questions'!$C$2:$C$23,K108)+SUMIFS('3 Hazed Questions'!$J$2:$J$23,'3 Hazed Questions'!$A$2:$A$23,"Q4",'3 Hazed Questions'!$C$2:$C$23,L108))</f>
        <v/>
      </c>
      <c r="T108" s="14" t="str">
        <f aca="false">IF(COUNTA(I108:L108)=0,"",SUMIFS('3 Hazed Questions'!$K$2:$K$23,'3 Hazed Questions'!$A$2:$A$23,"Q1",'3 Hazed Questions'!$C$2:$C$23,I108)+SUMIFS('3 Hazed Questions'!$K$2:$K$23,'3 Hazed Questions'!$A$2:$A$23,"Q2",'3 Hazed Questions'!$C$2:$C$23,J108)+SUMIFS('3 Hazed Questions'!$K$2:$K$23,'3 Hazed Questions'!$A$2:$A$23,"Q3",'3 Hazed Questions'!$C$2:$C$23,K108)+SUMIFS('3 Hazed Questions'!$K$2:$K$23,'3 Hazed Questions'!$A$2:$A$23,"Q4",'3 Hazed Questions'!$C$2:$C$23,L108))</f>
        <v/>
      </c>
      <c r="U108" s="14" t="str">
        <f aca="false">IF(COUNTA(I108:L108)=0,"",SUMIFS('3 Hazed Questions'!$L$2:$L$23,'3 Hazed Questions'!$A$2:$A$23,"Q1",'3 Hazed Questions'!$C$2:$C$23,I108)+SUMIFS('3 Hazed Questions'!$L$2:$L$23,'3 Hazed Questions'!$A$2:$A$23,"Q2",'3 Hazed Questions'!$C$2:$C$23,J108)+SUMIFS('3 Hazed Questions'!$L$2:$L$23,'3 Hazed Questions'!$A$2:$A$23,"Q3",'3 Hazed Questions'!$C$2:$C$23,K108)+SUMIFS('3 Hazed Questions'!$L$2:$L$23,'3 Hazed Questions'!$A$2:$A$23,"Q4",'3 Hazed Questions'!$C$2:$C$23,L108))</f>
        <v/>
      </c>
      <c r="V108" s="14" t="str">
        <f aca="false">IF(COUNTA(I108:L108)=0,"",SUMIFS('3 Hazed Questions'!$M$2:$M$23,'3 Hazed Questions'!$A$2:$A$23,"Q1",'3 Hazed Questions'!$C$2:$C$23,I108)+SUMIFS('3 Hazed Questions'!$M$2:$M$23,'3 Hazed Questions'!$A$2:$A$23,"Q2",'3 Hazed Questions'!$C$2:$C$23,J108)+SUMIFS('3 Hazed Questions'!$M$2:$M$23,'3 Hazed Questions'!$A$2:$A$23,"Q3",'3 Hazed Questions'!$C$2:$C$23,K108)+SUMIFS('3 Hazed Questions'!$M$2:$M$23,'3 Hazed Questions'!$A$2:$A$23,"Q4",'3 Hazed Questions'!$C$2:$C$23,L108))</f>
        <v/>
      </c>
      <c r="W108" s="14" t="str">
        <f aca="false">IF(COUNTA(I108:L108)=0,"",SUMIFS('3 Hazed Questions'!$N$2:$N$23,'3 Hazed Questions'!$A$2:$A$23,"Q1",'3 Hazed Questions'!$C$2:$C$23,I108)+SUMIFS('3 Hazed Questions'!$N$2:$N$23,'3 Hazed Questions'!$A$2:$A$23,"Q2",'3 Hazed Questions'!$C$2:$C$23,J108)+SUMIFS('3 Hazed Questions'!$N$2:$N$23,'3 Hazed Questions'!$A$2:$A$23,"Q3",'3 Hazed Questions'!$C$2:$C$23,K108)+SUMIFS('3 Hazed Questions'!$N$2:$N$23,'3 Hazed Questions'!$A$2:$A$23,"Q4",'3 Hazed Questions'!$C$2:$C$23,L108))</f>
        <v/>
      </c>
      <c r="X108" s="14" t="str">
        <f aca="false">IF(COUNTA(I108:L108)=0,"",INDEX(Fields!$B$2:$B$50,MATCH(SUBSTITUTE(INDEX($N$1:$W$1,MATCH(MAX($N108:$W108),$N108:$W108,0)),"Score: ",""),Fields!$A$2:$A$50,0)))</f>
        <v/>
      </c>
      <c r="Y108" s="14" t="str">
        <f aca="true">IF(COUNTA(I108:L108)=0,"",IF(LARGE($N108:$W108,2)=0,"-",INDEX(Fields!$B$2:$B$50,MATCH(SUBSTITUTE(INDEX($N$1:$W$1,IF(LARGE($N108:$W108,2)=MAX($N108:$W108),MATCH(MAX($N108:$W108),OFFSET($N108:$W108,0,MATCH(MAX($N108:$W108),$N108:$W108,0),1,10-MATCH(MAX($N108:$W108),$N108:$W108,0)),0)+MATCH(MAX($N108:$W108),$N108:$W108,0),MATCH(LARGE($N108:$W108,2),$N108:$W108,0))),"Score: ",""),Fields!$A$2:$A$50,0))))</f>
        <v/>
      </c>
      <c r="Z108" s="14" t="str">
        <f aca="false">IF(M108="","",IFERROR(INDEX('3 Hazed Questions'!$O$2:$O$23,MATCH(1,INDEX(('3 Hazed Questions'!$A$2:$A$23="Q5")*('3 Hazed Questions'!$C$2:$C$23=M108),0),0))&amp;"",""))</f>
        <v/>
      </c>
      <c r="AA108" s="18"/>
      <c r="AB108" s="18"/>
      <c r="AC108" s="19"/>
      <c r="AD108" s="19"/>
      <c r="AE108" s="18"/>
      <c r="AF108" s="18"/>
      <c r="AG108" s="18"/>
    </row>
    <row r="109" customFormat="false" ht="15" hidden="false" customHeight="false" outlineLevel="0" collapsed="false">
      <c r="A109" s="18"/>
      <c r="B109" s="19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4" t="str">
        <f aca="false">IF(COUNTA(I109:L109)=0,"",SUMIFS('3 Hazed Questions'!$E$2:$E$23,'3 Hazed Questions'!$A$2:$A$23,"Q1",'3 Hazed Questions'!$C$2:$C$23,I109)+SUMIFS('3 Hazed Questions'!$E$2:$E$23,'3 Hazed Questions'!$A$2:$A$23,"Q2",'3 Hazed Questions'!$C$2:$C$23,J109)+SUMIFS('3 Hazed Questions'!$E$2:$E$23,'3 Hazed Questions'!$A$2:$A$23,"Q3",'3 Hazed Questions'!$C$2:$C$23,K109)+SUMIFS('3 Hazed Questions'!$E$2:$E$23,'3 Hazed Questions'!$A$2:$A$23,"Q4",'3 Hazed Questions'!$C$2:$C$23,L109))</f>
        <v/>
      </c>
      <c r="O109" s="14" t="str">
        <f aca="false">IF(COUNTA(I109:L109)=0,"",SUMIFS('3 Hazed Questions'!$F$2:$F$23,'3 Hazed Questions'!$A$2:$A$23,"Q1",'3 Hazed Questions'!$C$2:$C$23,I109)+SUMIFS('3 Hazed Questions'!$F$2:$F$23,'3 Hazed Questions'!$A$2:$A$23,"Q2",'3 Hazed Questions'!$C$2:$C$23,J109)+SUMIFS('3 Hazed Questions'!$F$2:$F$23,'3 Hazed Questions'!$A$2:$A$23,"Q3",'3 Hazed Questions'!$C$2:$C$23,K109)+SUMIFS('3 Hazed Questions'!$F$2:$F$23,'3 Hazed Questions'!$A$2:$A$23,"Q4",'3 Hazed Questions'!$C$2:$C$23,L109))</f>
        <v/>
      </c>
      <c r="P109" s="14" t="str">
        <f aca="false">IF(COUNTA(I109:L109)=0,"",SUMIFS('3 Hazed Questions'!$G$2:$G$23,'3 Hazed Questions'!$A$2:$A$23,"Q1",'3 Hazed Questions'!$C$2:$C$23,I109)+SUMIFS('3 Hazed Questions'!$G$2:$G$23,'3 Hazed Questions'!$A$2:$A$23,"Q2",'3 Hazed Questions'!$C$2:$C$23,J109)+SUMIFS('3 Hazed Questions'!$G$2:$G$23,'3 Hazed Questions'!$A$2:$A$23,"Q3",'3 Hazed Questions'!$C$2:$C$23,K109)+SUMIFS('3 Hazed Questions'!$G$2:$G$23,'3 Hazed Questions'!$A$2:$A$23,"Q4",'3 Hazed Questions'!$C$2:$C$23,L109))</f>
        <v/>
      </c>
      <c r="Q109" s="14" t="str">
        <f aca="false">IF(COUNTA(I109:L109)=0,"",SUMIFS('3 Hazed Questions'!$H$2:$H$23,'3 Hazed Questions'!$A$2:$A$23,"Q1",'3 Hazed Questions'!$C$2:$C$23,I109)+SUMIFS('3 Hazed Questions'!$H$2:$H$23,'3 Hazed Questions'!$A$2:$A$23,"Q2",'3 Hazed Questions'!$C$2:$C$23,J109)+SUMIFS('3 Hazed Questions'!$H$2:$H$23,'3 Hazed Questions'!$A$2:$A$23,"Q3",'3 Hazed Questions'!$C$2:$C$23,K109)+SUMIFS('3 Hazed Questions'!$H$2:$H$23,'3 Hazed Questions'!$A$2:$A$23,"Q4",'3 Hazed Questions'!$C$2:$C$23,L109))</f>
        <v/>
      </c>
      <c r="R109" s="14" t="str">
        <f aca="false">IF(COUNTA(I109:L109)=0,"",SUMIFS('3 Hazed Questions'!$I$2:$I$23,'3 Hazed Questions'!$A$2:$A$23,"Q1",'3 Hazed Questions'!$C$2:$C$23,I109)+SUMIFS('3 Hazed Questions'!$I$2:$I$23,'3 Hazed Questions'!$A$2:$A$23,"Q2",'3 Hazed Questions'!$C$2:$C$23,J109)+SUMIFS('3 Hazed Questions'!$I$2:$I$23,'3 Hazed Questions'!$A$2:$A$23,"Q3",'3 Hazed Questions'!$C$2:$C$23,K109)+SUMIFS('3 Hazed Questions'!$I$2:$I$23,'3 Hazed Questions'!$A$2:$A$23,"Q4",'3 Hazed Questions'!$C$2:$C$23,L109))</f>
        <v/>
      </c>
      <c r="S109" s="14" t="str">
        <f aca="false">IF(COUNTA(I109:L109)=0,"",SUMIFS('3 Hazed Questions'!$J$2:$J$23,'3 Hazed Questions'!$A$2:$A$23,"Q1",'3 Hazed Questions'!$C$2:$C$23,I109)+SUMIFS('3 Hazed Questions'!$J$2:$J$23,'3 Hazed Questions'!$A$2:$A$23,"Q2",'3 Hazed Questions'!$C$2:$C$23,J109)+SUMIFS('3 Hazed Questions'!$J$2:$J$23,'3 Hazed Questions'!$A$2:$A$23,"Q3",'3 Hazed Questions'!$C$2:$C$23,K109)+SUMIFS('3 Hazed Questions'!$J$2:$J$23,'3 Hazed Questions'!$A$2:$A$23,"Q4",'3 Hazed Questions'!$C$2:$C$23,L109))</f>
        <v/>
      </c>
      <c r="T109" s="14" t="str">
        <f aca="false">IF(COUNTA(I109:L109)=0,"",SUMIFS('3 Hazed Questions'!$K$2:$K$23,'3 Hazed Questions'!$A$2:$A$23,"Q1",'3 Hazed Questions'!$C$2:$C$23,I109)+SUMIFS('3 Hazed Questions'!$K$2:$K$23,'3 Hazed Questions'!$A$2:$A$23,"Q2",'3 Hazed Questions'!$C$2:$C$23,J109)+SUMIFS('3 Hazed Questions'!$K$2:$K$23,'3 Hazed Questions'!$A$2:$A$23,"Q3",'3 Hazed Questions'!$C$2:$C$23,K109)+SUMIFS('3 Hazed Questions'!$K$2:$K$23,'3 Hazed Questions'!$A$2:$A$23,"Q4",'3 Hazed Questions'!$C$2:$C$23,L109))</f>
        <v/>
      </c>
      <c r="U109" s="14" t="str">
        <f aca="false">IF(COUNTA(I109:L109)=0,"",SUMIFS('3 Hazed Questions'!$L$2:$L$23,'3 Hazed Questions'!$A$2:$A$23,"Q1",'3 Hazed Questions'!$C$2:$C$23,I109)+SUMIFS('3 Hazed Questions'!$L$2:$L$23,'3 Hazed Questions'!$A$2:$A$23,"Q2",'3 Hazed Questions'!$C$2:$C$23,J109)+SUMIFS('3 Hazed Questions'!$L$2:$L$23,'3 Hazed Questions'!$A$2:$A$23,"Q3",'3 Hazed Questions'!$C$2:$C$23,K109)+SUMIFS('3 Hazed Questions'!$L$2:$L$23,'3 Hazed Questions'!$A$2:$A$23,"Q4",'3 Hazed Questions'!$C$2:$C$23,L109))</f>
        <v/>
      </c>
      <c r="V109" s="14" t="str">
        <f aca="false">IF(COUNTA(I109:L109)=0,"",SUMIFS('3 Hazed Questions'!$M$2:$M$23,'3 Hazed Questions'!$A$2:$A$23,"Q1",'3 Hazed Questions'!$C$2:$C$23,I109)+SUMIFS('3 Hazed Questions'!$M$2:$M$23,'3 Hazed Questions'!$A$2:$A$23,"Q2",'3 Hazed Questions'!$C$2:$C$23,J109)+SUMIFS('3 Hazed Questions'!$M$2:$M$23,'3 Hazed Questions'!$A$2:$A$23,"Q3",'3 Hazed Questions'!$C$2:$C$23,K109)+SUMIFS('3 Hazed Questions'!$M$2:$M$23,'3 Hazed Questions'!$A$2:$A$23,"Q4",'3 Hazed Questions'!$C$2:$C$23,L109))</f>
        <v/>
      </c>
      <c r="W109" s="14" t="str">
        <f aca="false">IF(COUNTA(I109:L109)=0,"",SUMIFS('3 Hazed Questions'!$N$2:$N$23,'3 Hazed Questions'!$A$2:$A$23,"Q1",'3 Hazed Questions'!$C$2:$C$23,I109)+SUMIFS('3 Hazed Questions'!$N$2:$N$23,'3 Hazed Questions'!$A$2:$A$23,"Q2",'3 Hazed Questions'!$C$2:$C$23,J109)+SUMIFS('3 Hazed Questions'!$N$2:$N$23,'3 Hazed Questions'!$A$2:$A$23,"Q3",'3 Hazed Questions'!$C$2:$C$23,K109)+SUMIFS('3 Hazed Questions'!$N$2:$N$23,'3 Hazed Questions'!$A$2:$A$23,"Q4",'3 Hazed Questions'!$C$2:$C$23,L109))</f>
        <v/>
      </c>
      <c r="X109" s="14" t="str">
        <f aca="false">IF(COUNTA(I109:L109)=0,"",INDEX(Fields!$B$2:$B$50,MATCH(SUBSTITUTE(INDEX($N$1:$W$1,MATCH(MAX($N109:$W109),$N109:$W109,0)),"Score: ",""),Fields!$A$2:$A$50,0)))</f>
        <v/>
      </c>
      <c r="Y109" s="14" t="str">
        <f aca="true">IF(COUNTA(I109:L109)=0,"",IF(LARGE($N109:$W109,2)=0,"-",INDEX(Fields!$B$2:$B$50,MATCH(SUBSTITUTE(INDEX($N$1:$W$1,IF(LARGE($N109:$W109,2)=MAX($N109:$W109),MATCH(MAX($N109:$W109),OFFSET($N109:$W109,0,MATCH(MAX($N109:$W109),$N109:$W109,0),1,10-MATCH(MAX($N109:$W109),$N109:$W109,0)),0)+MATCH(MAX($N109:$W109),$N109:$W109,0),MATCH(LARGE($N109:$W109,2),$N109:$W109,0))),"Score: ",""),Fields!$A$2:$A$50,0))))</f>
        <v/>
      </c>
      <c r="Z109" s="14" t="str">
        <f aca="false">IF(M109="","",IFERROR(INDEX('3 Hazed Questions'!$O$2:$O$23,MATCH(1,INDEX(('3 Hazed Questions'!$A$2:$A$23="Q5")*('3 Hazed Questions'!$C$2:$C$23=M109),0),0))&amp;"",""))</f>
        <v/>
      </c>
      <c r="AA109" s="18"/>
      <c r="AB109" s="18"/>
      <c r="AC109" s="19"/>
      <c r="AD109" s="19"/>
      <c r="AE109" s="18"/>
      <c r="AF109" s="18"/>
      <c r="AG109" s="18"/>
    </row>
    <row r="110" customFormat="false" ht="15" hidden="false" customHeight="false" outlineLevel="0" collapsed="false">
      <c r="A110" s="18"/>
      <c r="B110" s="19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4" t="str">
        <f aca="false">IF(COUNTA(I110:L110)=0,"",SUMIFS('3 Hazed Questions'!$E$2:$E$23,'3 Hazed Questions'!$A$2:$A$23,"Q1",'3 Hazed Questions'!$C$2:$C$23,I110)+SUMIFS('3 Hazed Questions'!$E$2:$E$23,'3 Hazed Questions'!$A$2:$A$23,"Q2",'3 Hazed Questions'!$C$2:$C$23,J110)+SUMIFS('3 Hazed Questions'!$E$2:$E$23,'3 Hazed Questions'!$A$2:$A$23,"Q3",'3 Hazed Questions'!$C$2:$C$23,K110)+SUMIFS('3 Hazed Questions'!$E$2:$E$23,'3 Hazed Questions'!$A$2:$A$23,"Q4",'3 Hazed Questions'!$C$2:$C$23,L110))</f>
        <v/>
      </c>
      <c r="O110" s="14" t="str">
        <f aca="false">IF(COUNTA(I110:L110)=0,"",SUMIFS('3 Hazed Questions'!$F$2:$F$23,'3 Hazed Questions'!$A$2:$A$23,"Q1",'3 Hazed Questions'!$C$2:$C$23,I110)+SUMIFS('3 Hazed Questions'!$F$2:$F$23,'3 Hazed Questions'!$A$2:$A$23,"Q2",'3 Hazed Questions'!$C$2:$C$23,J110)+SUMIFS('3 Hazed Questions'!$F$2:$F$23,'3 Hazed Questions'!$A$2:$A$23,"Q3",'3 Hazed Questions'!$C$2:$C$23,K110)+SUMIFS('3 Hazed Questions'!$F$2:$F$23,'3 Hazed Questions'!$A$2:$A$23,"Q4",'3 Hazed Questions'!$C$2:$C$23,L110))</f>
        <v/>
      </c>
      <c r="P110" s="14" t="str">
        <f aca="false">IF(COUNTA(I110:L110)=0,"",SUMIFS('3 Hazed Questions'!$G$2:$G$23,'3 Hazed Questions'!$A$2:$A$23,"Q1",'3 Hazed Questions'!$C$2:$C$23,I110)+SUMIFS('3 Hazed Questions'!$G$2:$G$23,'3 Hazed Questions'!$A$2:$A$23,"Q2",'3 Hazed Questions'!$C$2:$C$23,J110)+SUMIFS('3 Hazed Questions'!$G$2:$G$23,'3 Hazed Questions'!$A$2:$A$23,"Q3",'3 Hazed Questions'!$C$2:$C$23,K110)+SUMIFS('3 Hazed Questions'!$G$2:$G$23,'3 Hazed Questions'!$A$2:$A$23,"Q4",'3 Hazed Questions'!$C$2:$C$23,L110))</f>
        <v/>
      </c>
      <c r="Q110" s="14" t="str">
        <f aca="false">IF(COUNTA(I110:L110)=0,"",SUMIFS('3 Hazed Questions'!$H$2:$H$23,'3 Hazed Questions'!$A$2:$A$23,"Q1",'3 Hazed Questions'!$C$2:$C$23,I110)+SUMIFS('3 Hazed Questions'!$H$2:$H$23,'3 Hazed Questions'!$A$2:$A$23,"Q2",'3 Hazed Questions'!$C$2:$C$23,J110)+SUMIFS('3 Hazed Questions'!$H$2:$H$23,'3 Hazed Questions'!$A$2:$A$23,"Q3",'3 Hazed Questions'!$C$2:$C$23,K110)+SUMIFS('3 Hazed Questions'!$H$2:$H$23,'3 Hazed Questions'!$A$2:$A$23,"Q4",'3 Hazed Questions'!$C$2:$C$23,L110))</f>
        <v/>
      </c>
      <c r="R110" s="14" t="str">
        <f aca="false">IF(COUNTA(I110:L110)=0,"",SUMIFS('3 Hazed Questions'!$I$2:$I$23,'3 Hazed Questions'!$A$2:$A$23,"Q1",'3 Hazed Questions'!$C$2:$C$23,I110)+SUMIFS('3 Hazed Questions'!$I$2:$I$23,'3 Hazed Questions'!$A$2:$A$23,"Q2",'3 Hazed Questions'!$C$2:$C$23,J110)+SUMIFS('3 Hazed Questions'!$I$2:$I$23,'3 Hazed Questions'!$A$2:$A$23,"Q3",'3 Hazed Questions'!$C$2:$C$23,K110)+SUMIFS('3 Hazed Questions'!$I$2:$I$23,'3 Hazed Questions'!$A$2:$A$23,"Q4",'3 Hazed Questions'!$C$2:$C$23,L110))</f>
        <v/>
      </c>
      <c r="S110" s="14" t="str">
        <f aca="false">IF(COUNTA(I110:L110)=0,"",SUMIFS('3 Hazed Questions'!$J$2:$J$23,'3 Hazed Questions'!$A$2:$A$23,"Q1",'3 Hazed Questions'!$C$2:$C$23,I110)+SUMIFS('3 Hazed Questions'!$J$2:$J$23,'3 Hazed Questions'!$A$2:$A$23,"Q2",'3 Hazed Questions'!$C$2:$C$23,J110)+SUMIFS('3 Hazed Questions'!$J$2:$J$23,'3 Hazed Questions'!$A$2:$A$23,"Q3",'3 Hazed Questions'!$C$2:$C$23,K110)+SUMIFS('3 Hazed Questions'!$J$2:$J$23,'3 Hazed Questions'!$A$2:$A$23,"Q4",'3 Hazed Questions'!$C$2:$C$23,L110))</f>
        <v/>
      </c>
      <c r="T110" s="14" t="str">
        <f aca="false">IF(COUNTA(I110:L110)=0,"",SUMIFS('3 Hazed Questions'!$K$2:$K$23,'3 Hazed Questions'!$A$2:$A$23,"Q1",'3 Hazed Questions'!$C$2:$C$23,I110)+SUMIFS('3 Hazed Questions'!$K$2:$K$23,'3 Hazed Questions'!$A$2:$A$23,"Q2",'3 Hazed Questions'!$C$2:$C$23,J110)+SUMIFS('3 Hazed Questions'!$K$2:$K$23,'3 Hazed Questions'!$A$2:$A$23,"Q3",'3 Hazed Questions'!$C$2:$C$23,K110)+SUMIFS('3 Hazed Questions'!$K$2:$K$23,'3 Hazed Questions'!$A$2:$A$23,"Q4",'3 Hazed Questions'!$C$2:$C$23,L110))</f>
        <v/>
      </c>
      <c r="U110" s="14" t="str">
        <f aca="false">IF(COUNTA(I110:L110)=0,"",SUMIFS('3 Hazed Questions'!$L$2:$L$23,'3 Hazed Questions'!$A$2:$A$23,"Q1",'3 Hazed Questions'!$C$2:$C$23,I110)+SUMIFS('3 Hazed Questions'!$L$2:$L$23,'3 Hazed Questions'!$A$2:$A$23,"Q2",'3 Hazed Questions'!$C$2:$C$23,J110)+SUMIFS('3 Hazed Questions'!$L$2:$L$23,'3 Hazed Questions'!$A$2:$A$23,"Q3",'3 Hazed Questions'!$C$2:$C$23,K110)+SUMIFS('3 Hazed Questions'!$L$2:$L$23,'3 Hazed Questions'!$A$2:$A$23,"Q4",'3 Hazed Questions'!$C$2:$C$23,L110))</f>
        <v/>
      </c>
      <c r="V110" s="14" t="str">
        <f aca="false">IF(COUNTA(I110:L110)=0,"",SUMIFS('3 Hazed Questions'!$M$2:$M$23,'3 Hazed Questions'!$A$2:$A$23,"Q1",'3 Hazed Questions'!$C$2:$C$23,I110)+SUMIFS('3 Hazed Questions'!$M$2:$M$23,'3 Hazed Questions'!$A$2:$A$23,"Q2",'3 Hazed Questions'!$C$2:$C$23,J110)+SUMIFS('3 Hazed Questions'!$M$2:$M$23,'3 Hazed Questions'!$A$2:$A$23,"Q3",'3 Hazed Questions'!$C$2:$C$23,K110)+SUMIFS('3 Hazed Questions'!$M$2:$M$23,'3 Hazed Questions'!$A$2:$A$23,"Q4",'3 Hazed Questions'!$C$2:$C$23,L110))</f>
        <v/>
      </c>
      <c r="W110" s="14" t="str">
        <f aca="false">IF(COUNTA(I110:L110)=0,"",SUMIFS('3 Hazed Questions'!$N$2:$N$23,'3 Hazed Questions'!$A$2:$A$23,"Q1",'3 Hazed Questions'!$C$2:$C$23,I110)+SUMIFS('3 Hazed Questions'!$N$2:$N$23,'3 Hazed Questions'!$A$2:$A$23,"Q2",'3 Hazed Questions'!$C$2:$C$23,J110)+SUMIFS('3 Hazed Questions'!$N$2:$N$23,'3 Hazed Questions'!$A$2:$A$23,"Q3",'3 Hazed Questions'!$C$2:$C$23,K110)+SUMIFS('3 Hazed Questions'!$N$2:$N$23,'3 Hazed Questions'!$A$2:$A$23,"Q4",'3 Hazed Questions'!$C$2:$C$23,L110))</f>
        <v/>
      </c>
      <c r="X110" s="14" t="str">
        <f aca="false">IF(COUNTA(I110:L110)=0,"",INDEX(Fields!$B$2:$B$50,MATCH(SUBSTITUTE(INDEX($N$1:$W$1,MATCH(MAX($N110:$W110),$N110:$W110,0)),"Score: ",""),Fields!$A$2:$A$50,0)))</f>
        <v/>
      </c>
      <c r="Y110" s="14" t="str">
        <f aca="true">IF(COUNTA(I110:L110)=0,"",IF(LARGE($N110:$W110,2)=0,"-",INDEX(Fields!$B$2:$B$50,MATCH(SUBSTITUTE(INDEX($N$1:$W$1,IF(LARGE($N110:$W110,2)=MAX($N110:$W110),MATCH(MAX($N110:$W110),OFFSET($N110:$W110,0,MATCH(MAX($N110:$W110),$N110:$W110,0),1,10-MATCH(MAX($N110:$W110),$N110:$W110,0)),0)+MATCH(MAX($N110:$W110),$N110:$W110,0),MATCH(LARGE($N110:$W110,2),$N110:$W110,0))),"Score: ",""),Fields!$A$2:$A$50,0))))</f>
        <v/>
      </c>
      <c r="Z110" s="14" t="str">
        <f aca="false">IF(M110="","",IFERROR(INDEX('3 Hazed Questions'!$O$2:$O$23,MATCH(1,INDEX(('3 Hazed Questions'!$A$2:$A$23="Q5")*('3 Hazed Questions'!$C$2:$C$23=M110),0),0))&amp;"",""))</f>
        <v/>
      </c>
      <c r="AA110" s="18"/>
      <c r="AB110" s="18"/>
      <c r="AC110" s="19"/>
      <c r="AD110" s="19"/>
      <c r="AE110" s="18"/>
      <c r="AF110" s="18"/>
      <c r="AG110" s="18"/>
    </row>
    <row r="111" customFormat="false" ht="15" hidden="false" customHeight="false" outlineLevel="0" collapsed="false">
      <c r="A111" s="18"/>
      <c r="B111" s="19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4" t="str">
        <f aca="false">IF(COUNTA(I111:L111)=0,"",SUMIFS('3 Hazed Questions'!$E$2:$E$23,'3 Hazed Questions'!$A$2:$A$23,"Q1",'3 Hazed Questions'!$C$2:$C$23,I111)+SUMIFS('3 Hazed Questions'!$E$2:$E$23,'3 Hazed Questions'!$A$2:$A$23,"Q2",'3 Hazed Questions'!$C$2:$C$23,J111)+SUMIFS('3 Hazed Questions'!$E$2:$E$23,'3 Hazed Questions'!$A$2:$A$23,"Q3",'3 Hazed Questions'!$C$2:$C$23,K111)+SUMIFS('3 Hazed Questions'!$E$2:$E$23,'3 Hazed Questions'!$A$2:$A$23,"Q4",'3 Hazed Questions'!$C$2:$C$23,L111))</f>
        <v/>
      </c>
      <c r="O111" s="14" t="str">
        <f aca="false">IF(COUNTA(I111:L111)=0,"",SUMIFS('3 Hazed Questions'!$F$2:$F$23,'3 Hazed Questions'!$A$2:$A$23,"Q1",'3 Hazed Questions'!$C$2:$C$23,I111)+SUMIFS('3 Hazed Questions'!$F$2:$F$23,'3 Hazed Questions'!$A$2:$A$23,"Q2",'3 Hazed Questions'!$C$2:$C$23,J111)+SUMIFS('3 Hazed Questions'!$F$2:$F$23,'3 Hazed Questions'!$A$2:$A$23,"Q3",'3 Hazed Questions'!$C$2:$C$23,K111)+SUMIFS('3 Hazed Questions'!$F$2:$F$23,'3 Hazed Questions'!$A$2:$A$23,"Q4",'3 Hazed Questions'!$C$2:$C$23,L111))</f>
        <v/>
      </c>
      <c r="P111" s="14" t="str">
        <f aca="false">IF(COUNTA(I111:L111)=0,"",SUMIFS('3 Hazed Questions'!$G$2:$G$23,'3 Hazed Questions'!$A$2:$A$23,"Q1",'3 Hazed Questions'!$C$2:$C$23,I111)+SUMIFS('3 Hazed Questions'!$G$2:$G$23,'3 Hazed Questions'!$A$2:$A$23,"Q2",'3 Hazed Questions'!$C$2:$C$23,J111)+SUMIFS('3 Hazed Questions'!$G$2:$G$23,'3 Hazed Questions'!$A$2:$A$23,"Q3",'3 Hazed Questions'!$C$2:$C$23,K111)+SUMIFS('3 Hazed Questions'!$G$2:$G$23,'3 Hazed Questions'!$A$2:$A$23,"Q4",'3 Hazed Questions'!$C$2:$C$23,L111))</f>
        <v/>
      </c>
      <c r="Q111" s="14" t="str">
        <f aca="false">IF(COUNTA(I111:L111)=0,"",SUMIFS('3 Hazed Questions'!$H$2:$H$23,'3 Hazed Questions'!$A$2:$A$23,"Q1",'3 Hazed Questions'!$C$2:$C$23,I111)+SUMIFS('3 Hazed Questions'!$H$2:$H$23,'3 Hazed Questions'!$A$2:$A$23,"Q2",'3 Hazed Questions'!$C$2:$C$23,J111)+SUMIFS('3 Hazed Questions'!$H$2:$H$23,'3 Hazed Questions'!$A$2:$A$23,"Q3",'3 Hazed Questions'!$C$2:$C$23,K111)+SUMIFS('3 Hazed Questions'!$H$2:$H$23,'3 Hazed Questions'!$A$2:$A$23,"Q4",'3 Hazed Questions'!$C$2:$C$23,L111))</f>
        <v/>
      </c>
      <c r="R111" s="14" t="str">
        <f aca="false">IF(COUNTA(I111:L111)=0,"",SUMIFS('3 Hazed Questions'!$I$2:$I$23,'3 Hazed Questions'!$A$2:$A$23,"Q1",'3 Hazed Questions'!$C$2:$C$23,I111)+SUMIFS('3 Hazed Questions'!$I$2:$I$23,'3 Hazed Questions'!$A$2:$A$23,"Q2",'3 Hazed Questions'!$C$2:$C$23,J111)+SUMIFS('3 Hazed Questions'!$I$2:$I$23,'3 Hazed Questions'!$A$2:$A$23,"Q3",'3 Hazed Questions'!$C$2:$C$23,K111)+SUMIFS('3 Hazed Questions'!$I$2:$I$23,'3 Hazed Questions'!$A$2:$A$23,"Q4",'3 Hazed Questions'!$C$2:$C$23,L111))</f>
        <v/>
      </c>
      <c r="S111" s="14" t="str">
        <f aca="false">IF(COUNTA(I111:L111)=0,"",SUMIFS('3 Hazed Questions'!$J$2:$J$23,'3 Hazed Questions'!$A$2:$A$23,"Q1",'3 Hazed Questions'!$C$2:$C$23,I111)+SUMIFS('3 Hazed Questions'!$J$2:$J$23,'3 Hazed Questions'!$A$2:$A$23,"Q2",'3 Hazed Questions'!$C$2:$C$23,J111)+SUMIFS('3 Hazed Questions'!$J$2:$J$23,'3 Hazed Questions'!$A$2:$A$23,"Q3",'3 Hazed Questions'!$C$2:$C$23,K111)+SUMIFS('3 Hazed Questions'!$J$2:$J$23,'3 Hazed Questions'!$A$2:$A$23,"Q4",'3 Hazed Questions'!$C$2:$C$23,L111))</f>
        <v/>
      </c>
      <c r="T111" s="14" t="str">
        <f aca="false">IF(COUNTA(I111:L111)=0,"",SUMIFS('3 Hazed Questions'!$K$2:$K$23,'3 Hazed Questions'!$A$2:$A$23,"Q1",'3 Hazed Questions'!$C$2:$C$23,I111)+SUMIFS('3 Hazed Questions'!$K$2:$K$23,'3 Hazed Questions'!$A$2:$A$23,"Q2",'3 Hazed Questions'!$C$2:$C$23,J111)+SUMIFS('3 Hazed Questions'!$K$2:$K$23,'3 Hazed Questions'!$A$2:$A$23,"Q3",'3 Hazed Questions'!$C$2:$C$23,K111)+SUMIFS('3 Hazed Questions'!$K$2:$K$23,'3 Hazed Questions'!$A$2:$A$23,"Q4",'3 Hazed Questions'!$C$2:$C$23,L111))</f>
        <v/>
      </c>
      <c r="U111" s="14" t="str">
        <f aca="false">IF(COUNTA(I111:L111)=0,"",SUMIFS('3 Hazed Questions'!$L$2:$L$23,'3 Hazed Questions'!$A$2:$A$23,"Q1",'3 Hazed Questions'!$C$2:$C$23,I111)+SUMIFS('3 Hazed Questions'!$L$2:$L$23,'3 Hazed Questions'!$A$2:$A$23,"Q2",'3 Hazed Questions'!$C$2:$C$23,J111)+SUMIFS('3 Hazed Questions'!$L$2:$L$23,'3 Hazed Questions'!$A$2:$A$23,"Q3",'3 Hazed Questions'!$C$2:$C$23,K111)+SUMIFS('3 Hazed Questions'!$L$2:$L$23,'3 Hazed Questions'!$A$2:$A$23,"Q4",'3 Hazed Questions'!$C$2:$C$23,L111))</f>
        <v/>
      </c>
      <c r="V111" s="14" t="str">
        <f aca="false">IF(COUNTA(I111:L111)=0,"",SUMIFS('3 Hazed Questions'!$M$2:$M$23,'3 Hazed Questions'!$A$2:$A$23,"Q1",'3 Hazed Questions'!$C$2:$C$23,I111)+SUMIFS('3 Hazed Questions'!$M$2:$M$23,'3 Hazed Questions'!$A$2:$A$23,"Q2",'3 Hazed Questions'!$C$2:$C$23,J111)+SUMIFS('3 Hazed Questions'!$M$2:$M$23,'3 Hazed Questions'!$A$2:$A$23,"Q3",'3 Hazed Questions'!$C$2:$C$23,K111)+SUMIFS('3 Hazed Questions'!$M$2:$M$23,'3 Hazed Questions'!$A$2:$A$23,"Q4",'3 Hazed Questions'!$C$2:$C$23,L111))</f>
        <v/>
      </c>
      <c r="W111" s="14" t="str">
        <f aca="false">IF(COUNTA(I111:L111)=0,"",SUMIFS('3 Hazed Questions'!$N$2:$N$23,'3 Hazed Questions'!$A$2:$A$23,"Q1",'3 Hazed Questions'!$C$2:$C$23,I111)+SUMIFS('3 Hazed Questions'!$N$2:$N$23,'3 Hazed Questions'!$A$2:$A$23,"Q2",'3 Hazed Questions'!$C$2:$C$23,J111)+SUMIFS('3 Hazed Questions'!$N$2:$N$23,'3 Hazed Questions'!$A$2:$A$23,"Q3",'3 Hazed Questions'!$C$2:$C$23,K111)+SUMIFS('3 Hazed Questions'!$N$2:$N$23,'3 Hazed Questions'!$A$2:$A$23,"Q4",'3 Hazed Questions'!$C$2:$C$23,L111))</f>
        <v/>
      </c>
      <c r="X111" s="14" t="str">
        <f aca="false">IF(COUNTA(I111:L111)=0,"",INDEX(Fields!$B$2:$B$50,MATCH(SUBSTITUTE(INDEX($N$1:$W$1,MATCH(MAX($N111:$W111),$N111:$W111,0)),"Score: ",""),Fields!$A$2:$A$50,0)))</f>
        <v/>
      </c>
      <c r="Y111" s="14" t="str">
        <f aca="true">IF(COUNTA(I111:L111)=0,"",IF(LARGE($N111:$W111,2)=0,"-",INDEX(Fields!$B$2:$B$50,MATCH(SUBSTITUTE(INDEX($N$1:$W$1,IF(LARGE($N111:$W111,2)=MAX($N111:$W111),MATCH(MAX($N111:$W111),OFFSET($N111:$W111,0,MATCH(MAX($N111:$W111),$N111:$W111,0),1,10-MATCH(MAX($N111:$W111),$N111:$W111,0)),0)+MATCH(MAX($N111:$W111),$N111:$W111,0),MATCH(LARGE($N111:$W111,2),$N111:$W111,0))),"Score: ",""),Fields!$A$2:$A$50,0))))</f>
        <v/>
      </c>
      <c r="Z111" s="14" t="str">
        <f aca="false">IF(M111="","",IFERROR(INDEX('3 Hazed Questions'!$O$2:$O$23,MATCH(1,INDEX(('3 Hazed Questions'!$A$2:$A$23="Q5")*('3 Hazed Questions'!$C$2:$C$23=M111),0),0))&amp;"",""))</f>
        <v/>
      </c>
      <c r="AA111" s="18"/>
      <c r="AB111" s="18"/>
      <c r="AC111" s="19"/>
      <c r="AD111" s="19"/>
      <c r="AE111" s="18"/>
      <c r="AF111" s="18"/>
      <c r="AG111" s="18"/>
    </row>
    <row r="112" customFormat="false" ht="15" hidden="false" customHeight="false" outlineLevel="0" collapsed="false">
      <c r="A112" s="18"/>
      <c r="B112" s="19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4" t="str">
        <f aca="false">IF(COUNTA(I112:L112)=0,"",SUMIFS('3 Hazed Questions'!$E$2:$E$23,'3 Hazed Questions'!$A$2:$A$23,"Q1",'3 Hazed Questions'!$C$2:$C$23,I112)+SUMIFS('3 Hazed Questions'!$E$2:$E$23,'3 Hazed Questions'!$A$2:$A$23,"Q2",'3 Hazed Questions'!$C$2:$C$23,J112)+SUMIFS('3 Hazed Questions'!$E$2:$E$23,'3 Hazed Questions'!$A$2:$A$23,"Q3",'3 Hazed Questions'!$C$2:$C$23,K112)+SUMIFS('3 Hazed Questions'!$E$2:$E$23,'3 Hazed Questions'!$A$2:$A$23,"Q4",'3 Hazed Questions'!$C$2:$C$23,L112))</f>
        <v/>
      </c>
      <c r="O112" s="14" t="str">
        <f aca="false">IF(COUNTA(I112:L112)=0,"",SUMIFS('3 Hazed Questions'!$F$2:$F$23,'3 Hazed Questions'!$A$2:$A$23,"Q1",'3 Hazed Questions'!$C$2:$C$23,I112)+SUMIFS('3 Hazed Questions'!$F$2:$F$23,'3 Hazed Questions'!$A$2:$A$23,"Q2",'3 Hazed Questions'!$C$2:$C$23,J112)+SUMIFS('3 Hazed Questions'!$F$2:$F$23,'3 Hazed Questions'!$A$2:$A$23,"Q3",'3 Hazed Questions'!$C$2:$C$23,K112)+SUMIFS('3 Hazed Questions'!$F$2:$F$23,'3 Hazed Questions'!$A$2:$A$23,"Q4",'3 Hazed Questions'!$C$2:$C$23,L112))</f>
        <v/>
      </c>
      <c r="P112" s="14" t="str">
        <f aca="false">IF(COUNTA(I112:L112)=0,"",SUMIFS('3 Hazed Questions'!$G$2:$G$23,'3 Hazed Questions'!$A$2:$A$23,"Q1",'3 Hazed Questions'!$C$2:$C$23,I112)+SUMIFS('3 Hazed Questions'!$G$2:$G$23,'3 Hazed Questions'!$A$2:$A$23,"Q2",'3 Hazed Questions'!$C$2:$C$23,J112)+SUMIFS('3 Hazed Questions'!$G$2:$G$23,'3 Hazed Questions'!$A$2:$A$23,"Q3",'3 Hazed Questions'!$C$2:$C$23,K112)+SUMIFS('3 Hazed Questions'!$G$2:$G$23,'3 Hazed Questions'!$A$2:$A$23,"Q4",'3 Hazed Questions'!$C$2:$C$23,L112))</f>
        <v/>
      </c>
      <c r="Q112" s="14" t="str">
        <f aca="false">IF(COUNTA(I112:L112)=0,"",SUMIFS('3 Hazed Questions'!$H$2:$H$23,'3 Hazed Questions'!$A$2:$A$23,"Q1",'3 Hazed Questions'!$C$2:$C$23,I112)+SUMIFS('3 Hazed Questions'!$H$2:$H$23,'3 Hazed Questions'!$A$2:$A$23,"Q2",'3 Hazed Questions'!$C$2:$C$23,J112)+SUMIFS('3 Hazed Questions'!$H$2:$H$23,'3 Hazed Questions'!$A$2:$A$23,"Q3",'3 Hazed Questions'!$C$2:$C$23,K112)+SUMIFS('3 Hazed Questions'!$H$2:$H$23,'3 Hazed Questions'!$A$2:$A$23,"Q4",'3 Hazed Questions'!$C$2:$C$23,L112))</f>
        <v/>
      </c>
      <c r="R112" s="14" t="str">
        <f aca="false">IF(COUNTA(I112:L112)=0,"",SUMIFS('3 Hazed Questions'!$I$2:$I$23,'3 Hazed Questions'!$A$2:$A$23,"Q1",'3 Hazed Questions'!$C$2:$C$23,I112)+SUMIFS('3 Hazed Questions'!$I$2:$I$23,'3 Hazed Questions'!$A$2:$A$23,"Q2",'3 Hazed Questions'!$C$2:$C$23,J112)+SUMIFS('3 Hazed Questions'!$I$2:$I$23,'3 Hazed Questions'!$A$2:$A$23,"Q3",'3 Hazed Questions'!$C$2:$C$23,K112)+SUMIFS('3 Hazed Questions'!$I$2:$I$23,'3 Hazed Questions'!$A$2:$A$23,"Q4",'3 Hazed Questions'!$C$2:$C$23,L112))</f>
        <v/>
      </c>
      <c r="S112" s="14" t="str">
        <f aca="false">IF(COUNTA(I112:L112)=0,"",SUMIFS('3 Hazed Questions'!$J$2:$J$23,'3 Hazed Questions'!$A$2:$A$23,"Q1",'3 Hazed Questions'!$C$2:$C$23,I112)+SUMIFS('3 Hazed Questions'!$J$2:$J$23,'3 Hazed Questions'!$A$2:$A$23,"Q2",'3 Hazed Questions'!$C$2:$C$23,J112)+SUMIFS('3 Hazed Questions'!$J$2:$J$23,'3 Hazed Questions'!$A$2:$A$23,"Q3",'3 Hazed Questions'!$C$2:$C$23,K112)+SUMIFS('3 Hazed Questions'!$J$2:$J$23,'3 Hazed Questions'!$A$2:$A$23,"Q4",'3 Hazed Questions'!$C$2:$C$23,L112))</f>
        <v/>
      </c>
      <c r="T112" s="14" t="str">
        <f aca="false">IF(COUNTA(I112:L112)=0,"",SUMIFS('3 Hazed Questions'!$K$2:$K$23,'3 Hazed Questions'!$A$2:$A$23,"Q1",'3 Hazed Questions'!$C$2:$C$23,I112)+SUMIFS('3 Hazed Questions'!$K$2:$K$23,'3 Hazed Questions'!$A$2:$A$23,"Q2",'3 Hazed Questions'!$C$2:$C$23,J112)+SUMIFS('3 Hazed Questions'!$K$2:$K$23,'3 Hazed Questions'!$A$2:$A$23,"Q3",'3 Hazed Questions'!$C$2:$C$23,K112)+SUMIFS('3 Hazed Questions'!$K$2:$K$23,'3 Hazed Questions'!$A$2:$A$23,"Q4",'3 Hazed Questions'!$C$2:$C$23,L112))</f>
        <v/>
      </c>
      <c r="U112" s="14" t="str">
        <f aca="false">IF(COUNTA(I112:L112)=0,"",SUMIFS('3 Hazed Questions'!$L$2:$L$23,'3 Hazed Questions'!$A$2:$A$23,"Q1",'3 Hazed Questions'!$C$2:$C$23,I112)+SUMIFS('3 Hazed Questions'!$L$2:$L$23,'3 Hazed Questions'!$A$2:$A$23,"Q2",'3 Hazed Questions'!$C$2:$C$23,J112)+SUMIFS('3 Hazed Questions'!$L$2:$L$23,'3 Hazed Questions'!$A$2:$A$23,"Q3",'3 Hazed Questions'!$C$2:$C$23,K112)+SUMIFS('3 Hazed Questions'!$L$2:$L$23,'3 Hazed Questions'!$A$2:$A$23,"Q4",'3 Hazed Questions'!$C$2:$C$23,L112))</f>
        <v/>
      </c>
      <c r="V112" s="14" t="str">
        <f aca="false">IF(COUNTA(I112:L112)=0,"",SUMIFS('3 Hazed Questions'!$M$2:$M$23,'3 Hazed Questions'!$A$2:$A$23,"Q1",'3 Hazed Questions'!$C$2:$C$23,I112)+SUMIFS('3 Hazed Questions'!$M$2:$M$23,'3 Hazed Questions'!$A$2:$A$23,"Q2",'3 Hazed Questions'!$C$2:$C$23,J112)+SUMIFS('3 Hazed Questions'!$M$2:$M$23,'3 Hazed Questions'!$A$2:$A$23,"Q3",'3 Hazed Questions'!$C$2:$C$23,K112)+SUMIFS('3 Hazed Questions'!$M$2:$M$23,'3 Hazed Questions'!$A$2:$A$23,"Q4",'3 Hazed Questions'!$C$2:$C$23,L112))</f>
        <v/>
      </c>
      <c r="W112" s="14" t="str">
        <f aca="false">IF(COUNTA(I112:L112)=0,"",SUMIFS('3 Hazed Questions'!$N$2:$N$23,'3 Hazed Questions'!$A$2:$A$23,"Q1",'3 Hazed Questions'!$C$2:$C$23,I112)+SUMIFS('3 Hazed Questions'!$N$2:$N$23,'3 Hazed Questions'!$A$2:$A$23,"Q2",'3 Hazed Questions'!$C$2:$C$23,J112)+SUMIFS('3 Hazed Questions'!$N$2:$N$23,'3 Hazed Questions'!$A$2:$A$23,"Q3",'3 Hazed Questions'!$C$2:$C$23,K112)+SUMIFS('3 Hazed Questions'!$N$2:$N$23,'3 Hazed Questions'!$A$2:$A$23,"Q4",'3 Hazed Questions'!$C$2:$C$23,L112))</f>
        <v/>
      </c>
      <c r="X112" s="14" t="str">
        <f aca="false">IF(COUNTA(I112:L112)=0,"",INDEX(Fields!$B$2:$B$50,MATCH(SUBSTITUTE(INDEX($N$1:$W$1,MATCH(MAX($N112:$W112),$N112:$W112,0)),"Score: ",""),Fields!$A$2:$A$50,0)))</f>
        <v/>
      </c>
      <c r="Y112" s="14" t="str">
        <f aca="true">IF(COUNTA(I112:L112)=0,"",IF(LARGE($N112:$W112,2)=0,"-",INDEX(Fields!$B$2:$B$50,MATCH(SUBSTITUTE(INDEX($N$1:$W$1,IF(LARGE($N112:$W112,2)=MAX($N112:$W112),MATCH(MAX($N112:$W112),OFFSET($N112:$W112,0,MATCH(MAX($N112:$W112),$N112:$W112,0),1,10-MATCH(MAX($N112:$W112),$N112:$W112,0)),0)+MATCH(MAX($N112:$W112),$N112:$W112,0),MATCH(LARGE($N112:$W112,2),$N112:$W112,0))),"Score: ",""),Fields!$A$2:$A$50,0))))</f>
        <v/>
      </c>
      <c r="Z112" s="14" t="str">
        <f aca="false">IF(M112="","",IFERROR(INDEX('3 Hazed Questions'!$O$2:$O$23,MATCH(1,INDEX(('3 Hazed Questions'!$A$2:$A$23="Q5")*('3 Hazed Questions'!$C$2:$C$23=M112),0),0))&amp;"",""))</f>
        <v/>
      </c>
      <c r="AA112" s="18"/>
      <c r="AB112" s="18"/>
      <c r="AC112" s="19"/>
      <c r="AD112" s="19"/>
      <c r="AE112" s="18"/>
      <c r="AF112" s="18"/>
      <c r="AG112" s="18"/>
    </row>
    <row r="113" customFormat="false" ht="15" hidden="false" customHeight="false" outlineLevel="0" collapsed="false">
      <c r="A113" s="18"/>
      <c r="B113" s="19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4" t="str">
        <f aca="false">IF(COUNTA(I113:L113)=0,"",SUMIFS('3 Hazed Questions'!$E$2:$E$23,'3 Hazed Questions'!$A$2:$A$23,"Q1",'3 Hazed Questions'!$C$2:$C$23,I113)+SUMIFS('3 Hazed Questions'!$E$2:$E$23,'3 Hazed Questions'!$A$2:$A$23,"Q2",'3 Hazed Questions'!$C$2:$C$23,J113)+SUMIFS('3 Hazed Questions'!$E$2:$E$23,'3 Hazed Questions'!$A$2:$A$23,"Q3",'3 Hazed Questions'!$C$2:$C$23,K113)+SUMIFS('3 Hazed Questions'!$E$2:$E$23,'3 Hazed Questions'!$A$2:$A$23,"Q4",'3 Hazed Questions'!$C$2:$C$23,L113))</f>
        <v/>
      </c>
      <c r="O113" s="14" t="str">
        <f aca="false">IF(COUNTA(I113:L113)=0,"",SUMIFS('3 Hazed Questions'!$F$2:$F$23,'3 Hazed Questions'!$A$2:$A$23,"Q1",'3 Hazed Questions'!$C$2:$C$23,I113)+SUMIFS('3 Hazed Questions'!$F$2:$F$23,'3 Hazed Questions'!$A$2:$A$23,"Q2",'3 Hazed Questions'!$C$2:$C$23,J113)+SUMIFS('3 Hazed Questions'!$F$2:$F$23,'3 Hazed Questions'!$A$2:$A$23,"Q3",'3 Hazed Questions'!$C$2:$C$23,K113)+SUMIFS('3 Hazed Questions'!$F$2:$F$23,'3 Hazed Questions'!$A$2:$A$23,"Q4",'3 Hazed Questions'!$C$2:$C$23,L113))</f>
        <v/>
      </c>
      <c r="P113" s="14" t="str">
        <f aca="false">IF(COUNTA(I113:L113)=0,"",SUMIFS('3 Hazed Questions'!$G$2:$G$23,'3 Hazed Questions'!$A$2:$A$23,"Q1",'3 Hazed Questions'!$C$2:$C$23,I113)+SUMIFS('3 Hazed Questions'!$G$2:$G$23,'3 Hazed Questions'!$A$2:$A$23,"Q2",'3 Hazed Questions'!$C$2:$C$23,J113)+SUMIFS('3 Hazed Questions'!$G$2:$G$23,'3 Hazed Questions'!$A$2:$A$23,"Q3",'3 Hazed Questions'!$C$2:$C$23,K113)+SUMIFS('3 Hazed Questions'!$G$2:$G$23,'3 Hazed Questions'!$A$2:$A$23,"Q4",'3 Hazed Questions'!$C$2:$C$23,L113))</f>
        <v/>
      </c>
      <c r="Q113" s="14" t="str">
        <f aca="false">IF(COUNTA(I113:L113)=0,"",SUMIFS('3 Hazed Questions'!$H$2:$H$23,'3 Hazed Questions'!$A$2:$A$23,"Q1",'3 Hazed Questions'!$C$2:$C$23,I113)+SUMIFS('3 Hazed Questions'!$H$2:$H$23,'3 Hazed Questions'!$A$2:$A$23,"Q2",'3 Hazed Questions'!$C$2:$C$23,J113)+SUMIFS('3 Hazed Questions'!$H$2:$H$23,'3 Hazed Questions'!$A$2:$A$23,"Q3",'3 Hazed Questions'!$C$2:$C$23,K113)+SUMIFS('3 Hazed Questions'!$H$2:$H$23,'3 Hazed Questions'!$A$2:$A$23,"Q4",'3 Hazed Questions'!$C$2:$C$23,L113))</f>
        <v/>
      </c>
      <c r="R113" s="14" t="str">
        <f aca="false">IF(COUNTA(I113:L113)=0,"",SUMIFS('3 Hazed Questions'!$I$2:$I$23,'3 Hazed Questions'!$A$2:$A$23,"Q1",'3 Hazed Questions'!$C$2:$C$23,I113)+SUMIFS('3 Hazed Questions'!$I$2:$I$23,'3 Hazed Questions'!$A$2:$A$23,"Q2",'3 Hazed Questions'!$C$2:$C$23,J113)+SUMIFS('3 Hazed Questions'!$I$2:$I$23,'3 Hazed Questions'!$A$2:$A$23,"Q3",'3 Hazed Questions'!$C$2:$C$23,K113)+SUMIFS('3 Hazed Questions'!$I$2:$I$23,'3 Hazed Questions'!$A$2:$A$23,"Q4",'3 Hazed Questions'!$C$2:$C$23,L113))</f>
        <v/>
      </c>
      <c r="S113" s="14" t="str">
        <f aca="false">IF(COUNTA(I113:L113)=0,"",SUMIFS('3 Hazed Questions'!$J$2:$J$23,'3 Hazed Questions'!$A$2:$A$23,"Q1",'3 Hazed Questions'!$C$2:$C$23,I113)+SUMIFS('3 Hazed Questions'!$J$2:$J$23,'3 Hazed Questions'!$A$2:$A$23,"Q2",'3 Hazed Questions'!$C$2:$C$23,J113)+SUMIFS('3 Hazed Questions'!$J$2:$J$23,'3 Hazed Questions'!$A$2:$A$23,"Q3",'3 Hazed Questions'!$C$2:$C$23,K113)+SUMIFS('3 Hazed Questions'!$J$2:$J$23,'3 Hazed Questions'!$A$2:$A$23,"Q4",'3 Hazed Questions'!$C$2:$C$23,L113))</f>
        <v/>
      </c>
      <c r="T113" s="14" t="str">
        <f aca="false">IF(COUNTA(I113:L113)=0,"",SUMIFS('3 Hazed Questions'!$K$2:$K$23,'3 Hazed Questions'!$A$2:$A$23,"Q1",'3 Hazed Questions'!$C$2:$C$23,I113)+SUMIFS('3 Hazed Questions'!$K$2:$K$23,'3 Hazed Questions'!$A$2:$A$23,"Q2",'3 Hazed Questions'!$C$2:$C$23,J113)+SUMIFS('3 Hazed Questions'!$K$2:$K$23,'3 Hazed Questions'!$A$2:$A$23,"Q3",'3 Hazed Questions'!$C$2:$C$23,K113)+SUMIFS('3 Hazed Questions'!$K$2:$K$23,'3 Hazed Questions'!$A$2:$A$23,"Q4",'3 Hazed Questions'!$C$2:$C$23,L113))</f>
        <v/>
      </c>
      <c r="U113" s="14" t="str">
        <f aca="false">IF(COUNTA(I113:L113)=0,"",SUMIFS('3 Hazed Questions'!$L$2:$L$23,'3 Hazed Questions'!$A$2:$A$23,"Q1",'3 Hazed Questions'!$C$2:$C$23,I113)+SUMIFS('3 Hazed Questions'!$L$2:$L$23,'3 Hazed Questions'!$A$2:$A$23,"Q2",'3 Hazed Questions'!$C$2:$C$23,J113)+SUMIFS('3 Hazed Questions'!$L$2:$L$23,'3 Hazed Questions'!$A$2:$A$23,"Q3",'3 Hazed Questions'!$C$2:$C$23,K113)+SUMIFS('3 Hazed Questions'!$L$2:$L$23,'3 Hazed Questions'!$A$2:$A$23,"Q4",'3 Hazed Questions'!$C$2:$C$23,L113))</f>
        <v/>
      </c>
      <c r="V113" s="14" t="str">
        <f aca="false">IF(COUNTA(I113:L113)=0,"",SUMIFS('3 Hazed Questions'!$M$2:$M$23,'3 Hazed Questions'!$A$2:$A$23,"Q1",'3 Hazed Questions'!$C$2:$C$23,I113)+SUMIFS('3 Hazed Questions'!$M$2:$M$23,'3 Hazed Questions'!$A$2:$A$23,"Q2",'3 Hazed Questions'!$C$2:$C$23,J113)+SUMIFS('3 Hazed Questions'!$M$2:$M$23,'3 Hazed Questions'!$A$2:$A$23,"Q3",'3 Hazed Questions'!$C$2:$C$23,K113)+SUMIFS('3 Hazed Questions'!$M$2:$M$23,'3 Hazed Questions'!$A$2:$A$23,"Q4",'3 Hazed Questions'!$C$2:$C$23,L113))</f>
        <v/>
      </c>
      <c r="W113" s="14" t="str">
        <f aca="false">IF(COUNTA(I113:L113)=0,"",SUMIFS('3 Hazed Questions'!$N$2:$N$23,'3 Hazed Questions'!$A$2:$A$23,"Q1",'3 Hazed Questions'!$C$2:$C$23,I113)+SUMIFS('3 Hazed Questions'!$N$2:$N$23,'3 Hazed Questions'!$A$2:$A$23,"Q2",'3 Hazed Questions'!$C$2:$C$23,J113)+SUMIFS('3 Hazed Questions'!$N$2:$N$23,'3 Hazed Questions'!$A$2:$A$23,"Q3",'3 Hazed Questions'!$C$2:$C$23,K113)+SUMIFS('3 Hazed Questions'!$N$2:$N$23,'3 Hazed Questions'!$A$2:$A$23,"Q4",'3 Hazed Questions'!$C$2:$C$23,L113))</f>
        <v/>
      </c>
      <c r="X113" s="14" t="str">
        <f aca="false">IF(COUNTA(I113:L113)=0,"",INDEX(Fields!$B$2:$B$50,MATCH(SUBSTITUTE(INDEX($N$1:$W$1,MATCH(MAX($N113:$W113),$N113:$W113,0)),"Score: ",""),Fields!$A$2:$A$50,0)))</f>
        <v/>
      </c>
      <c r="Y113" s="14" t="str">
        <f aca="true">IF(COUNTA(I113:L113)=0,"",IF(LARGE($N113:$W113,2)=0,"-",INDEX(Fields!$B$2:$B$50,MATCH(SUBSTITUTE(INDEX($N$1:$W$1,IF(LARGE($N113:$W113,2)=MAX($N113:$W113),MATCH(MAX($N113:$W113),OFFSET($N113:$W113,0,MATCH(MAX($N113:$W113),$N113:$W113,0),1,10-MATCH(MAX($N113:$W113),$N113:$W113,0)),0)+MATCH(MAX($N113:$W113),$N113:$W113,0),MATCH(LARGE($N113:$W113,2),$N113:$W113,0))),"Score: ",""),Fields!$A$2:$A$50,0))))</f>
        <v/>
      </c>
      <c r="Z113" s="14" t="str">
        <f aca="false">IF(M113="","",IFERROR(INDEX('3 Hazed Questions'!$O$2:$O$23,MATCH(1,INDEX(('3 Hazed Questions'!$A$2:$A$23="Q5")*('3 Hazed Questions'!$C$2:$C$23=M113),0),0))&amp;"",""))</f>
        <v/>
      </c>
      <c r="AA113" s="18"/>
      <c r="AB113" s="18"/>
      <c r="AC113" s="19"/>
      <c r="AD113" s="19"/>
      <c r="AE113" s="18"/>
      <c r="AF113" s="18"/>
      <c r="AG113" s="18"/>
    </row>
    <row r="114" customFormat="false" ht="15" hidden="false" customHeight="false" outlineLevel="0" collapsed="false">
      <c r="A114" s="18"/>
      <c r="B114" s="19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4" t="str">
        <f aca="false">IF(COUNTA(I114:L114)=0,"",SUMIFS('3 Hazed Questions'!$E$2:$E$23,'3 Hazed Questions'!$A$2:$A$23,"Q1",'3 Hazed Questions'!$C$2:$C$23,I114)+SUMIFS('3 Hazed Questions'!$E$2:$E$23,'3 Hazed Questions'!$A$2:$A$23,"Q2",'3 Hazed Questions'!$C$2:$C$23,J114)+SUMIFS('3 Hazed Questions'!$E$2:$E$23,'3 Hazed Questions'!$A$2:$A$23,"Q3",'3 Hazed Questions'!$C$2:$C$23,K114)+SUMIFS('3 Hazed Questions'!$E$2:$E$23,'3 Hazed Questions'!$A$2:$A$23,"Q4",'3 Hazed Questions'!$C$2:$C$23,L114))</f>
        <v/>
      </c>
      <c r="O114" s="14" t="str">
        <f aca="false">IF(COUNTA(I114:L114)=0,"",SUMIFS('3 Hazed Questions'!$F$2:$F$23,'3 Hazed Questions'!$A$2:$A$23,"Q1",'3 Hazed Questions'!$C$2:$C$23,I114)+SUMIFS('3 Hazed Questions'!$F$2:$F$23,'3 Hazed Questions'!$A$2:$A$23,"Q2",'3 Hazed Questions'!$C$2:$C$23,J114)+SUMIFS('3 Hazed Questions'!$F$2:$F$23,'3 Hazed Questions'!$A$2:$A$23,"Q3",'3 Hazed Questions'!$C$2:$C$23,K114)+SUMIFS('3 Hazed Questions'!$F$2:$F$23,'3 Hazed Questions'!$A$2:$A$23,"Q4",'3 Hazed Questions'!$C$2:$C$23,L114))</f>
        <v/>
      </c>
      <c r="P114" s="14" t="str">
        <f aca="false">IF(COUNTA(I114:L114)=0,"",SUMIFS('3 Hazed Questions'!$G$2:$G$23,'3 Hazed Questions'!$A$2:$A$23,"Q1",'3 Hazed Questions'!$C$2:$C$23,I114)+SUMIFS('3 Hazed Questions'!$G$2:$G$23,'3 Hazed Questions'!$A$2:$A$23,"Q2",'3 Hazed Questions'!$C$2:$C$23,J114)+SUMIFS('3 Hazed Questions'!$G$2:$G$23,'3 Hazed Questions'!$A$2:$A$23,"Q3",'3 Hazed Questions'!$C$2:$C$23,K114)+SUMIFS('3 Hazed Questions'!$G$2:$G$23,'3 Hazed Questions'!$A$2:$A$23,"Q4",'3 Hazed Questions'!$C$2:$C$23,L114))</f>
        <v/>
      </c>
      <c r="Q114" s="14" t="str">
        <f aca="false">IF(COUNTA(I114:L114)=0,"",SUMIFS('3 Hazed Questions'!$H$2:$H$23,'3 Hazed Questions'!$A$2:$A$23,"Q1",'3 Hazed Questions'!$C$2:$C$23,I114)+SUMIFS('3 Hazed Questions'!$H$2:$H$23,'3 Hazed Questions'!$A$2:$A$23,"Q2",'3 Hazed Questions'!$C$2:$C$23,J114)+SUMIFS('3 Hazed Questions'!$H$2:$H$23,'3 Hazed Questions'!$A$2:$A$23,"Q3",'3 Hazed Questions'!$C$2:$C$23,K114)+SUMIFS('3 Hazed Questions'!$H$2:$H$23,'3 Hazed Questions'!$A$2:$A$23,"Q4",'3 Hazed Questions'!$C$2:$C$23,L114))</f>
        <v/>
      </c>
      <c r="R114" s="14" t="str">
        <f aca="false">IF(COUNTA(I114:L114)=0,"",SUMIFS('3 Hazed Questions'!$I$2:$I$23,'3 Hazed Questions'!$A$2:$A$23,"Q1",'3 Hazed Questions'!$C$2:$C$23,I114)+SUMIFS('3 Hazed Questions'!$I$2:$I$23,'3 Hazed Questions'!$A$2:$A$23,"Q2",'3 Hazed Questions'!$C$2:$C$23,J114)+SUMIFS('3 Hazed Questions'!$I$2:$I$23,'3 Hazed Questions'!$A$2:$A$23,"Q3",'3 Hazed Questions'!$C$2:$C$23,K114)+SUMIFS('3 Hazed Questions'!$I$2:$I$23,'3 Hazed Questions'!$A$2:$A$23,"Q4",'3 Hazed Questions'!$C$2:$C$23,L114))</f>
        <v/>
      </c>
      <c r="S114" s="14" t="str">
        <f aca="false">IF(COUNTA(I114:L114)=0,"",SUMIFS('3 Hazed Questions'!$J$2:$J$23,'3 Hazed Questions'!$A$2:$A$23,"Q1",'3 Hazed Questions'!$C$2:$C$23,I114)+SUMIFS('3 Hazed Questions'!$J$2:$J$23,'3 Hazed Questions'!$A$2:$A$23,"Q2",'3 Hazed Questions'!$C$2:$C$23,J114)+SUMIFS('3 Hazed Questions'!$J$2:$J$23,'3 Hazed Questions'!$A$2:$A$23,"Q3",'3 Hazed Questions'!$C$2:$C$23,K114)+SUMIFS('3 Hazed Questions'!$J$2:$J$23,'3 Hazed Questions'!$A$2:$A$23,"Q4",'3 Hazed Questions'!$C$2:$C$23,L114))</f>
        <v/>
      </c>
      <c r="T114" s="14" t="str">
        <f aca="false">IF(COUNTA(I114:L114)=0,"",SUMIFS('3 Hazed Questions'!$K$2:$K$23,'3 Hazed Questions'!$A$2:$A$23,"Q1",'3 Hazed Questions'!$C$2:$C$23,I114)+SUMIFS('3 Hazed Questions'!$K$2:$K$23,'3 Hazed Questions'!$A$2:$A$23,"Q2",'3 Hazed Questions'!$C$2:$C$23,J114)+SUMIFS('3 Hazed Questions'!$K$2:$K$23,'3 Hazed Questions'!$A$2:$A$23,"Q3",'3 Hazed Questions'!$C$2:$C$23,K114)+SUMIFS('3 Hazed Questions'!$K$2:$K$23,'3 Hazed Questions'!$A$2:$A$23,"Q4",'3 Hazed Questions'!$C$2:$C$23,L114))</f>
        <v/>
      </c>
      <c r="U114" s="14" t="str">
        <f aca="false">IF(COUNTA(I114:L114)=0,"",SUMIFS('3 Hazed Questions'!$L$2:$L$23,'3 Hazed Questions'!$A$2:$A$23,"Q1",'3 Hazed Questions'!$C$2:$C$23,I114)+SUMIFS('3 Hazed Questions'!$L$2:$L$23,'3 Hazed Questions'!$A$2:$A$23,"Q2",'3 Hazed Questions'!$C$2:$C$23,J114)+SUMIFS('3 Hazed Questions'!$L$2:$L$23,'3 Hazed Questions'!$A$2:$A$23,"Q3",'3 Hazed Questions'!$C$2:$C$23,K114)+SUMIFS('3 Hazed Questions'!$L$2:$L$23,'3 Hazed Questions'!$A$2:$A$23,"Q4",'3 Hazed Questions'!$C$2:$C$23,L114))</f>
        <v/>
      </c>
      <c r="V114" s="14" t="str">
        <f aca="false">IF(COUNTA(I114:L114)=0,"",SUMIFS('3 Hazed Questions'!$M$2:$M$23,'3 Hazed Questions'!$A$2:$A$23,"Q1",'3 Hazed Questions'!$C$2:$C$23,I114)+SUMIFS('3 Hazed Questions'!$M$2:$M$23,'3 Hazed Questions'!$A$2:$A$23,"Q2",'3 Hazed Questions'!$C$2:$C$23,J114)+SUMIFS('3 Hazed Questions'!$M$2:$M$23,'3 Hazed Questions'!$A$2:$A$23,"Q3",'3 Hazed Questions'!$C$2:$C$23,K114)+SUMIFS('3 Hazed Questions'!$M$2:$M$23,'3 Hazed Questions'!$A$2:$A$23,"Q4",'3 Hazed Questions'!$C$2:$C$23,L114))</f>
        <v/>
      </c>
      <c r="W114" s="14" t="str">
        <f aca="false">IF(COUNTA(I114:L114)=0,"",SUMIFS('3 Hazed Questions'!$N$2:$N$23,'3 Hazed Questions'!$A$2:$A$23,"Q1",'3 Hazed Questions'!$C$2:$C$23,I114)+SUMIFS('3 Hazed Questions'!$N$2:$N$23,'3 Hazed Questions'!$A$2:$A$23,"Q2",'3 Hazed Questions'!$C$2:$C$23,J114)+SUMIFS('3 Hazed Questions'!$N$2:$N$23,'3 Hazed Questions'!$A$2:$A$23,"Q3",'3 Hazed Questions'!$C$2:$C$23,K114)+SUMIFS('3 Hazed Questions'!$N$2:$N$23,'3 Hazed Questions'!$A$2:$A$23,"Q4",'3 Hazed Questions'!$C$2:$C$23,L114))</f>
        <v/>
      </c>
      <c r="X114" s="14" t="str">
        <f aca="false">IF(COUNTA(I114:L114)=0,"",INDEX(Fields!$B$2:$B$50,MATCH(SUBSTITUTE(INDEX($N$1:$W$1,MATCH(MAX($N114:$W114),$N114:$W114,0)),"Score: ",""),Fields!$A$2:$A$50,0)))</f>
        <v/>
      </c>
      <c r="Y114" s="14" t="str">
        <f aca="true">IF(COUNTA(I114:L114)=0,"",IF(LARGE($N114:$W114,2)=0,"-",INDEX(Fields!$B$2:$B$50,MATCH(SUBSTITUTE(INDEX($N$1:$W$1,IF(LARGE($N114:$W114,2)=MAX($N114:$W114),MATCH(MAX($N114:$W114),OFFSET($N114:$W114,0,MATCH(MAX($N114:$W114),$N114:$W114,0),1,10-MATCH(MAX($N114:$W114),$N114:$W114,0)),0)+MATCH(MAX($N114:$W114),$N114:$W114,0),MATCH(LARGE($N114:$W114,2),$N114:$W114,0))),"Score: ",""),Fields!$A$2:$A$50,0))))</f>
        <v/>
      </c>
      <c r="Z114" s="14" t="str">
        <f aca="false">IF(M114="","",IFERROR(INDEX('3 Hazed Questions'!$O$2:$O$23,MATCH(1,INDEX(('3 Hazed Questions'!$A$2:$A$23="Q5")*('3 Hazed Questions'!$C$2:$C$23=M114),0),0))&amp;"",""))</f>
        <v/>
      </c>
      <c r="AA114" s="18"/>
      <c r="AB114" s="18"/>
      <c r="AC114" s="19"/>
      <c r="AD114" s="19"/>
      <c r="AE114" s="18"/>
      <c r="AF114" s="18"/>
      <c r="AG114" s="18"/>
    </row>
    <row r="115" customFormat="false" ht="15" hidden="false" customHeight="false" outlineLevel="0" collapsed="false">
      <c r="A115" s="18"/>
      <c r="B115" s="19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4" t="str">
        <f aca="false">IF(COUNTA(I115:L115)=0,"",SUMIFS('3 Hazed Questions'!$E$2:$E$23,'3 Hazed Questions'!$A$2:$A$23,"Q1",'3 Hazed Questions'!$C$2:$C$23,I115)+SUMIFS('3 Hazed Questions'!$E$2:$E$23,'3 Hazed Questions'!$A$2:$A$23,"Q2",'3 Hazed Questions'!$C$2:$C$23,J115)+SUMIFS('3 Hazed Questions'!$E$2:$E$23,'3 Hazed Questions'!$A$2:$A$23,"Q3",'3 Hazed Questions'!$C$2:$C$23,K115)+SUMIFS('3 Hazed Questions'!$E$2:$E$23,'3 Hazed Questions'!$A$2:$A$23,"Q4",'3 Hazed Questions'!$C$2:$C$23,L115))</f>
        <v/>
      </c>
      <c r="O115" s="14" t="str">
        <f aca="false">IF(COUNTA(I115:L115)=0,"",SUMIFS('3 Hazed Questions'!$F$2:$F$23,'3 Hazed Questions'!$A$2:$A$23,"Q1",'3 Hazed Questions'!$C$2:$C$23,I115)+SUMIFS('3 Hazed Questions'!$F$2:$F$23,'3 Hazed Questions'!$A$2:$A$23,"Q2",'3 Hazed Questions'!$C$2:$C$23,J115)+SUMIFS('3 Hazed Questions'!$F$2:$F$23,'3 Hazed Questions'!$A$2:$A$23,"Q3",'3 Hazed Questions'!$C$2:$C$23,K115)+SUMIFS('3 Hazed Questions'!$F$2:$F$23,'3 Hazed Questions'!$A$2:$A$23,"Q4",'3 Hazed Questions'!$C$2:$C$23,L115))</f>
        <v/>
      </c>
      <c r="P115" s="14" t="str">
        <f aca="false">IF(COUNTA(I115:L115)=0,"",SUMIFS('3 Hazed Questions'!$G$2:$G$23,'3 Hazed Questions'!$A$2:$A$23,"Q1",'3 Hazed Questions'!$C$2:$C$23,I115)+SUMIFS('3 Hazed Questions'!$G$2:$G$23,'3 Hazed Questions'!$A$2:$A$23,"Q2",'3 Hazed Questions'!$C$2:$C$23,J115)+SUMIFS('3 Hazed Questions'!$G$2:$G$23,'3 Hazed Questions'!$A$2:$A$23,"Q3",'3 Hazed Questions'!$C$2:$C$23,K115)+SUMIFS('3 Hazed Questions'!$G$2:$G$23,'3 Hazed Questions'!$A$2:$A$23,"Q4",'3 Hazed Questions'!$C$2:$C$23,L115))</f>
        <v/>
      </c>
      <c r="Q115" s="14" t="str">
        <f aca="false">IF(COUNTA(I115:L115)=0,"",SUMIFS('3 Hazed Questions'!$H$2:$H$23,'3 Hazed Questions'!$A$2:$A$23,"Q1",'3 Hazed Questions'!$C$2:$C$23,I115)+SUMIFS('3 Hazed Questions'!$H$2:$H$23,'3 Hazed Questions'!$A$2:$A$23,"Q2",'3 Hazed Questions'!$C$2:$C$23,J115)+SUMIFS('3 Hazed Questions'!$H$2:$H$23,'3 Hazed Questions'!$A$2:$A$23,"Q3",'3 Hazed Questions'!$C$2:$C$23,K115)+SUMIFS('3 Hazed Questions'!$H$2:$H$23,'3 Hazed Questions'!$A$2:$A$23,"Q4",'3 Hazed Questions'!$C$2:$C$23,L115))</f>
        <v/>
      </c>
      <c r="R115" s="14" t="str">
        <f aca="false">IF(COUNTA(I115:L115)=0,"",SUMIFS('3 Hazed Questions'!$I$2:$I$23,'3 Hazed Questions'!$A$2:$A$23,"Q1",'3 Hazed Questions'!$C$2:$C$23,I115)+SUMIFS('3 Hazed Questions'!$I$2:$I$23,'3 Hazed Questions'!$A$2:$A$23,"Q2",'3 Hazed Questions'!$C$2:$C$23,J115)+SUMIFS('3 Hazed Questions'!$I$2:$I$23,'3 Hazed Questions'!$A$2:$A$23,"Q3",'3 Hazed Questions'!$C$2:$C$23,K115)+SUMIFS('3 Hazed Questions'!$I$2:$I$23,'3 Hazed Questions'!$A$2:$A$23,"Q4",'3 Hazed Questions'!$C$2:$C$23,L115))</f>
        <v/>
      </c>
      <c r="S115" s="14" t="str">
        <f aca="false">IF(COUNTA(I115:L115)=0,"",SUMIFS('3 Hazed Questions'!$J$2:$J$23,'3 Hazed Questions'!$A$2:$A$23,"Q1",'3 Hazed Questions'!$C$2:$C$23,I115)+SUMIFS('3 Hazed Questions'!$J$2:$J$23,'3 Hazed Questions'!$A$2:$A$23,"Q2",'3 Hazed Questions'!$C$2:$C$23,J115)+SUMIFS('3 Hazed Questions'!$J$2:$J$23,'3 Hazed Questions'!$A$2:$A$23,"Q3",'3 Hazed Questions'!$C$2:$C$23,K115)+SUMIFS('3 Hazed Questions'!$J$2:$J$23,'3 Hazed Questions'!$A$2:$A$23,"Q4",'3 Hazed Questions'!$C$2:$C$23,L115))</f>
        <v/>
      </c>
      <c r="T115" s="14" t="str">
        <f aca="false">IF(COUNTA(I115:L115)=0,"",SUMIFS('3 Hazed Questions'!$K$2:$K$23,'3 Hazed Questions'!$A$2:$A$23,"Q1",'3 Hazed Questions'!$C$2:$C$23,I115)+SUMIFS('3 Hazed Questions'!$K$2:$K$23,'3 Hazed Questions'!$A$2:$A$23,"Q2",'3 Hazed Questions'!$C$2:$C$23,J115)+SUMIFS('3 Hazed Questions'!$K$2:$K$23,'3 Hazed Questions'!$A$2:$A$23,"Q3",'3 Hazed Questions'!$C$2:$C$23,K115)+SUMIFS('3 Hazed Questions'!$K$2:$K$23,'3 Hazed Questions'!$A$2:$A$23,"Q4",'3 Hazed Questions'!$C$2:$C$23,L115))</f>
        <v/>
      </c>
      <c r="U115" s="14" t="str">
        <f aca="false">IF(COUNTA(I115:L115)=0,"",SUMIFS('3 Hazed Questions'!$L$2:$L$23,'3 Hazed Questions'!$A$2:$A$23,"Q1",'3 Hazed Questions'!$C$2:$C$23,I115)+SUMIFS('3 Hazed Questions'!$L$2:$L$23,'3 Hazed Questions'!$A$2:$A$23,"Q2",'3 Hazed Questions'!$C$2:$C$23,J115)+SUMIFS('3 Hazed Questions'!$L$2:$L$23,'3 Hazed Questions'!$A$2:$A$23,"Q3",'3 Hazed Questions'!$C$2:$C$23,K115)+SUMIFS('3 Hazed Questions'!$L$2:$L$23,'3 Hazed Questions'!$A$2:$A$23,"Q4",'3 Hazed Questions'!$C$2:$C$23,L115))</f>
        <v/>
      </c>
      <c r="V115" s="14" t="str">
        <f aca="false">IF(COUNTA(I115:L115)=0,"",SUMIFS('3 Hazed Questions'!$M$2:$M$23,'3 Hazed Questions'!$A$2:$A$23,"Q1",'3 Hazed Questions'!$C$2:$C$23,I115)+SUMIFS('3 Hazed Questions'!$M$2:$M$23,'3 Hazed Questions'!$A$2:$A$23,"Q2",'3 Hazed Questions'!$C$2:$C$23,J115)+SUMIFS('3 Hazed Questions'!$M$2:$M$23,'3 Hazed Questions'!$A$2:$A$23,"Q3",'3 Hazed Questions'!$C$2:$C$23,K115)+SUMIFS('3 Hazed Questions'!$M$2:$M$23,'3 Hazed Questions'!$A$2:$A$23,"Q4",'3 Hazed Questions'!$C$2:$C$23,L115))</f>
        <v/>
      </c>
      <c r="W115" s="14" t="str">
        <f aca="false">IF(COUNTA(I115:L115)=0,"",SUMIFS('3 Hazed Questions'!$N$2:$N$23,'3 Hazed Questions'!$A$2:$A$23,"Q1",'3 Hazed Questions'!$C$2:$C$23,I115)+SUMIFS('3 Hazed Questions'!$N$2:$N$23,'3 Hazed Questions'!$A$2:$A$23,"Q2",'3 Hazed Questions'!$C$2:$C$23,J115)+SUMIFS('3 Hazed Questions'!$N$2:$N$23,'3 Hazed Questions'!$A$2:$A$23,"Q3",'3 Hazed Questions'!$C$2:$C$23,K115)+SUMIFS('3 Hazed Questions'!$N$2:$N$23,'3 Hazed Questions'!$A$2:$A$23,"Q4",'3 Hazed Questions'!$C$2:$C$23,L115))</f>
        <v/>
      </c>
      <c r="X115" s="14" t="str">
        <f aca="false">IF(COUNTA(I115:L115)=0,"",INDEX(Fields!$B$2:$B$50,MATCH(SUBSTITUTE(INDEX($N$1:$W$1,MATCH(MAX($N115:$W115),$N115:$W115,0)),"Score: ",""),Fields!$A$2:$A$50,0)))</f>
        <v/>
      </c>
      <c r="Y115" s="14" t="str">
        <f aca="true">IF(COUNTA(I115:L115)=0,"",IF(LARGE($N115:$W115,2)=0,"-",INDEX(Fields!$B$2:$B$50,MATCH(SUBSTITUTE(INDEX($N$1:$W$1,IF(LARGE($N115:$W115,2)=MAX($N115:$W115),MATCH(MAX($N115:$W115),OFFSET($N115:$W115,0,MATCH(MAX($N115:$W115),$N115:$W115,0),1,10-MATCH(MAX($N115:$W115),$N115:$W115,0)),0)+MATCH(MAX($N115:$W115),$N115:$W115,0),MATCH(LARGE($N115:$W115,2),$N115:$W115,0))),"Score: ",""),Fields!$A$2:$A$50,0))))</f>
        <v/>
      </c>
      <c r="Z115" s="14" t="str">
        <f aca="false">IF(M115="","",IFERROR(INDEX('3 Hazed Questions'!$O$2:$O$23,MATCH(1,INDEX(('3 Hazed Questions'!$A$2:$A$23="Q5")*('3 Hazed Questions'!$C$2:$C$23=M115),0),0))&amp;"",""))</f>
        <v/>
      </c>
      <c r="AA115" s="18"/>
      <c r="AB115" s="18"/>
      <c r="AC115" s="19"/>
      <c r="AD115" s="19"/>
      <c r="AE115" s="18"/>
      <c r="AF115" s="18"/>
      <c r="AG115" s="18"/>
    </row>
    <row r="116" customFormat="false" ht="15" hidden="false" customHeight="false" outlineLevel="0" collapsed="false">
      <c r="A116" s="18"/>
      <c r="B116" s="19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4" t="str">
        <f aca="false">IF(COUNTA(I116:L116)=0,"",SUMIFS('3 Hazed Questions'!$E$2:$E$23,'3 Hazed Questions'!$A$2:$A$23,"Q1",'3 Hazed Questions'!$C$2:$C$23,I116)+SUMIFS('3 Hazed Questions'!$E$2:$E$23,'3 Hazed Questions'!$A$2:$A$23,"Q2",'3 Hazed Questions'!$C$2:$C$23,J116)+SUMIFS('3 Hazed Questions'!$E$2:$E$23,'3 Hazed Questions'!$A$2:$A$23,"Q3",'3 Hazed Questions'!$C$2:$C$23,K116)+SUMIFS('3 Hazed Questions'!$E$2:$E$23,'3 Hazed Questions'!$A$2:$A$23,"Q4",'3 Hazed Questions'!$C$2:$C$23,L116))</f>
        <v/>
      </c>
      <c r="O116" s="14" t="str">
        <f aca="false">IF(COUNTA(I116:L116)=0,"",SUMIFS('3 Hazed Questions'!$F$2:$F$23,'3 Hazed Questions'!$A$2:$A$23,"Q1",'3 Hazed Questions'!$C$2:$C$23,I116)+SUMIFS('3 Hazed Questions'!$F$2:$F$23,'3 Hazed Questions'!$A$2:$A$23,"Q2",'3 Hazed Questions'!$C$2:$C$23,J116)+SUMIFS('3 Hazed Questions'!$F$2:$F$23,'3 Hazed Questions'!$A$2:$A$23,"Q3",'3 Hazed Questions'!$C$2:$C$23,K116)+SUMIFS('3 Hazed Questions'!$F$2:$F$23,'3 Hazed Questions'!$A$2:$A$23,"Q4",'3 Hazed Questions'!$C$2:$C$23,L116))</f>
        <v/>
      </c>
      <c r="P116" s="14" t="str">
        <f aca="false">IF(COUNTA(I116:L116)=0,"",SUMIFS('3 Hazed Questions'!$G$2:$G$23,'3 Hazed Questions'!$A$2:$A$23,"Q1",'3 Hazed Questions'!$C$2:$C$23,I116)+SUMIFS('3 Hazed Questions'!$G$2:$G$23,'3 Hazed Questions'!$A$2:$A$23,"Q2",'3 Hazed Questions'!$C$2:$C$23,J116)+SUMIFS('3 Hazed Questions'!$G$2:$G$23,'3 Hazed Questions'!$A$2:$A$23,"Q3",'3 Hazed Questions'!$C$2:$C$23,K116)+SUMIFS('3 Hazed Questions'!$G$2:$G$23,'3 Hazed Questions'!$A$2:$A$23,"Q4",'3 Hazed Questions'!$C$2:$C$23,L116))</f>
        <v/>
      </c>
      <c r="Q116" s="14" t="str">
        <f aca="false">IF(COUNTA(I116:L116)=0,"",SUMIFS('3 Hazed Questions'!$H$2:$H$23,'3 Hazed Questions'!$A$2:$A$23,"Q1",'3 Hazed Questions'!$C$2:$C$23,I116)+SUMIFS('3 Hazed Questions'!$H$2:$H$23,'3 Hazed Questions'!$A$2:$A$23,"Q2",'3 Hazed Questions'!$C$2:$C$23,J116)+SUMIFS('3 Hazed Questions'!$H$2:$H$23,'3 Hazed Questions'!$A$2:$A$23,"Q3",'3 Hazed Questions'!$C$2:$C$23,K116)+SUMIFS('3 Hazed Questions'!$H$2:$H$23,'3 Hazed Questions'!$A$2:$A$23,"Q4",'3 Hazed Questions'!$C$2:$C$23,L116))</f>
        <v/>
      </c>
      <c r="R116" s="14" t="str">
        <f aca="false">IF(COUNTA(I116:L116)=0,"",SUMIFS('3 Hazed Questions'!$I$2:$I$23,'3 Hazed Questions'!$A$2:$A$23,"Q1",'3 Hazed Questions'!$C$2:$C$23,I116)+SUMIFS('3 Hazed Questions'!$I$2:$I$23,'3 Hazed Questions'!$A$2:$A$23,"Q2",'3 Hazed Questions'!$C$2:$C$23,J116)+SUMIFS('3 Hazed Questions'!$I$2:$I$23,'3 Hazed Questions'!$A$2:$A$23,"Q3",'3 Hazed Questions'!$C$2:$C$23,K116)+SUMIFS('3 Hazed Questions'!$I$2:$I$23,'3 Hazed Questions'!$A$2:$A$23,"Q4",'3 Hazed Questions'!$C$2:$C$23,L116))</f>
        <v/>
      </c>
      <c r="S116" s="14" t="str">
        <f aca="false">IF(COUNTA(I116:L116)=0,"",SUMIFS('3 Hazed Questions'!$J$2:$J$23,'3 Hazed Questions'!$A$2:$A$23,"Q1",'3 Hazed Questions'!$C$2:$C$23,I116)+SUMIFS('3 Hazed Questions'!$J$2:$J$23,'3 Hazed Questions'!$A$2:$A$23,"Q2",'3 Hazed Questions'!$C$2:$C$23,J116)+SUMIFS('3 Hazed Questions'!$J$2:$J$23,'3 Hazed Questions'!$A$2:$A$23,"Q3",'3 Hazed Questions'!$C$2:$C$23,K116)+SUMIFS('3 Hazed Questions'!$J$2:$J$23,'3 Hazed Questions'!$A$2:$A$23,"Q4",'3 Hazed Questions'!$C$2:$C$23,L116))</f>
        <v/>
      </c>
      <c r="T116" s="14" t="str">
        <f aca="false">IF(COUNTA(I116:L116)=0,"",SUMIFS('3 Hazed Questions'!$K$2:$K$23,'3 Hazed Questions'!$A$2:$A$23,"Q1",'3 Hazed Questions'!$C$2:$C$23,I116)+SUMIFS('3 Hazed Questions'!$K$2:$K$23,'3 Hazed Questions'!$A$2:$A$23,"Q2",'3 Hazed Questions'!$C$2:$C$23,J116)+SUMIFS('3 Hazed Questions'!$K$2:$K$23,'3 Hazed Questions'!$A$2:$A$23,"Q3",'3 Hazed Questions'!$C$2:$C$23,K116)+SUMIFS('3 Hazed Questions'!$K$2:$K$23,'3 Hazed Questions'!$A$2:$A$23,"Q4",'3 Hazed Questions'!$C$2:$C$23,L116))</f>
        <v/>
      </c>
      <c r="U116" s="14" t="str">
        <f aca="false">IF(COUNTA(I116:L116)=0,"",SUMIFS('3 Hazed Questions'!$L$2:$L$23,'3 Hazed Questions'!$A$2:$A$23,"Q1",'3 Hazed Questions'!$C$2:$C$23,I116)+SUMIFS('3 Hazed Questions'!$L$2:$L$23,'3 Hazed Questions'!$A$2:$A$23,"Q2",'3 Hazed Questions'!$C$2:$C$23,J116)+SUMIFS('3 Hazed Questions'!$L$2:$L$23,'3 Hazed Questions'!$A$2:$A$23,"Q3",'3 Hazed Questions'!$C$2:$C$23,K116)+SUMIFS('3 Hazed Questions'!$L$2:$L$23,'3 Hazed Questions'!$A$2:$A$23,"Q4",'3 Hazed Questions'!$C$2:$C$23,L116))</f>
        <v/>
      </c>
      <c r="V116" s="14" t="str">
        <f aca="false">IF(COUNTA(I116:L116)=0,"",SUMIFS('3 Hazed Questions'!$M$2:$M$23,'3 Hazed Questions'!$A$2:$A$23,"Q1",'3 Hazed Questions'!$C$2:$C$23,I116)+SUMIFS('3 Hazed Questions'!$M$2:$M$23,'3 Hazed Questions'!$A$2:$A$23,"Q2",'3 Hazed Questions'!$C$2:$C$23,J116)+SUMIFS('3 Hazed Questions'!$M$2:$M$23,'3 Hazed Questions'!$A$2:$A$23,"Q3",'3 Hazed Questions'!$C$2:$C$23,K116)+SUMIFS('3 Hazed Questions'!$M$2:$M$23,'3 Hazed Questions'!$A$2:$A$23,"Q4",'3 Hazed Questions'!$C$2:$C$23,L116))</f>
        <v/>
      </c>
      <c r="W116" s="14" t="str">
        <f aca="false">IF(COUNTA(I116:L116)=0,"",SUMIFS('3 Hazed Questions'!$N$2:$N$23,'3 Hazed Questions'!$A$2:$A$23,"Q1",'3 Hazed Questions'!$C$2:$C$23,I116)+SUMIFS('3 Hazed Questions'!$N$2:$N$23,'3 Hazed Questions'!$A$2:$A$23,"Q2",'3 Hazed Questions'!$C$2:$C$23,J116)+SUMIFS('3 Hazed Questions'!$N$2:$N$23,'3 Hazed Questions'!$A$2:$A$23,"Q3",'3 Hazed Questions'!$C$2:$C$23,K116)+SUMIFS('3 Hazed Questions'!$N$2:$N$23,'3 Hazed Questions'!$A$2:$A$23,"Q4",'3 Hazed Questions'!$C$2:$C$23,L116))</f>
        <v/>
      </c>
      <c r="X116" s="14" t="str">
        <f aca="false">IF(COUNTA(I116:L116)=0,"",INDEX(Fields!$B$2:$B$50,MATCH(SUBSTITUTE(INDEX($N$1:$W$1,MATCH(MAX($N116:$W116),$N116:$W116,0)),"Score: ",""),Fields!$A$2:$A$50,0)))</f>
        <v/>
      </c>
      <c r="Y116" s="14" t="str">
        <f aca="true">IF(COUNTA(I116:L116)=0,"",IF(LARGE($N116:$W116,2)=0,"-",INDEX(Fields!$B$2:$B$50,MATCH(SUBSTITUTE(INDEX($N$1:$W$1,IF(LARGE($N116:$W116,2)=MAX($N116:$W116),MATCH(MAX($N116:$W116),OFFSET($N116:$W116,0,MATCH(MAX($N116:$W116),$N116:$W116,0),1,10-MATCH(MAX($N116:$W116),$N116:$W116,0)),0)+MATCH(MAX($N116:$W116),$N116:$W116,0),MATCH(LARGE($N116:$W116,2),$N116:$W116,0))),"Score: ",""),Fields!$A$2:$A$50,0))))</f>
        <v/>
      </c>
      <c r="Z116" s="14" t="str">
        <f aca="false">IF(M116="","",IFERROR(INDEX('3 Hazed Questions'!$O$2:$O$23,MATCH(1,INDEX(('3 Hazed Questions'!$A$2:$A$23="Q5")*('3 Hazed Questions'!$C$2:$C$23=M116),0),0))&amp;"",""))</f>
        <v/>
      </c>
      <c r="AA116" s="18"/>
      <c r="AB116" s="18"/>
      <c r="AC116" s="19"/>
      <c r="AD116" s="19"/>
      <c r="AE116" s="18"/>
      <c r="AF116" s="18"/>
      <c r="AG116" s="18"/>
    </row>
    <row r="117" customFormat="false" ht="15" hidden="false" customHeight="false" outlineLevel="0" collapsed="false">
      <c r="A117" s="18"/>
      <c r="B117" s="19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4" t="str">
        <f aca="false">IF(COUNTA(I117:L117)=0,"",SUMIFS('3 Hazed Questions'!$E$2:$E$23,'3 Hazed Questions'!$A$2:$A$23,"Q1",'3 Hazed Questions'!$C$2:$C$23,I117)+SUMIFS('3 Hazed Questions'!$E$2:$E$23,'3 Hazed Questions'!$A$2:$A$23,"Q2",'3 Hazed Questions'!$C$2:$C$23,J117)+SUMIFS('3 Hazed Questions'!$E$2:$E$23,'3 Hazed Questions'!$A$2:$A$23,"Q3",'3 Hazed Questions'!$C$2:$C$23,K117)+SUMIFS('3 Hazed Questions'!$E$2:$E$23,'3 Hazed Questions'!$A$2:$A$23,"Q4",'3 Hazed Questions'!$C$2:$C$23,L117))</f>
        <v/>
      </c>
      <c r="O117" s="14" t="str">
        <f aca="false">IF(COUNTA(I117:L117)=0,"",SUMIFS('3 Hazed Questions'!$F$2:$F$23,'3 Hazed Questions'!$A$2:$A$23,"Q1",'3 Hazed Questions'!$C$2:$C$23,I117)+SUMIFS('3 Hazed Questions'!$F$2:$F$23,'3 Hazed Questions'!$A$2:$A$23,"Q2",'3 Hazed Questions'!$C$2:$C$23,J117)+SUMIFS('3 Hazed Questions'!$F$2:$F$23,'3 Hazed Questions'!$A$2:$A$23,"Q3",'3 Hazed Questions'!$C$2:$C$23,K117)+SUMIFS('3 Hazed Questions'!$F$2:$F$23,'3 Hazed Questions'!$A$2:$A$23,"Q4",'3 Hazed Questions'!$C$2:$C$23,L117))</f>
        <v/>
      </c>
      <c r="P117" s="14" t="str">
        <f aca="false">IF(COUNTA(I117:L117)=0,"",SUMIFS('3 Hazed Questions'!$G$2:$G$23,'3 Hazed Questions'!$A$2:$A$23,"Q1",'3 Hazed Questions'!$C$2:$C$23,I117)+SUMIFS('3 Hazed Questions'!$G$2:$G$23,'3 Hazed Questions'!$A$2:$A$23,"Q2",'3 Hazed Questions'!$C$2:$C$23,J117)+SUMIFS('3 Hazed Questions'!$G$2:$G$23,'3 Hazed Questions'!$A$2:$A$23,"Q3",'3 Hazed Questions'!$C$2:$C$23,K117)+SUMIFS('3 Hazed Questions'!$G$2:$G$23,'3 Hazed Questions'!$A$2:$A$23,"Q4",'3 Hazed Questions'!$C$2:$C$23,L117))</f>
        <v/>
      </c>
      <c r="Q117" s="14" t="str">
        <f aca="false">IF(COUNTA(I117:L117)=0,"",SUMIFS('3 Hazed Questions'!$H$2:$H$23,'3 Hazed Questions'!$A$2:$A$23,"Q1",'3 Hazed Questions'!$C$2:$C$23,I117)+SUMIFS('3 Hazed Questions'!$H$2:$H$23,'3 Hazed Questions'!$A$2:$A$23,"Q2",'3 Hazed Questions'!$C$2:$C$23,J117)+SUMIFS('3 Hazed Questions'!$H$2:$H$23,'3 Hazed Questions'!$A$2:$A$23,"Q3",'3 Hazed Questions'!$C$2:$C$23,K117)+SUMIFS('3 Hazed Questions'!$H$2:$H$23,'3 Hazed Questions'!$A$2:$A$23,"Q4",'3 Hazed Questions'!$C$2:$C$23,L117))</f>
        <v/>
      </c>
      <c r="R117" s="14" t="str">
        <f aca="false">IF(COUNTA(I117:L117)=0,"",SUMIFS('3 Hazed Questions'!$I$2:$I$23,'3 Hazed Questions'!$A$2:$A$23,"Q1",'3 Hazed Questions'!$C$2:$C$23,I117)+SUMIFS('3 Hazed Questions'!$I$2:$I$23,'3 Hazed Questions'!$A$2:$A$23,"Q2",'3 Hazed Questions'!$C$2:$C$23,J117)+SUMIFS('3 Hazed Questions'!$I$2:$I$23,'3 Hazed Questions'!$A$2:$A$23,"Q3",'3 Hazed Questions'!$C$2:$C$23,K117)+SUMIFS('3 Hazed Questions'!$I$2:$I$23,'3 Hazed Questions'!$A$2:$A$23,"Q4",'3 Hazed Questions'!$C$2:$C$23,L117))</f>
        <v/>
      </c>
      <c r="S117" s="14" t="str">
        <f aca="false">IF(COUNTA(I117:L117)=0,"",SUMIFS('3 Hazed Questions'!$J$2:$J$23,'3 Hazed Questions'!$A$2:$A$23,"Q1",'3 Hazed Questions'!$C$2:$C$23,I117)+SUMIFS('3 Hazed Questions'!$J$2:$J$23,'3 Hazed Questions'!$A$2:$A$23,"Q2",'3 Hazed Questions'!$C$2:$C$23,J117)+SUMIFS('3 Hazed Questions'!$J$2:$J$23,'3 Hazed Questions'!$A$2:$A$23,"Q3",'3 Hazed Questions'!$C$2:$C$23,K117)+SUMIFS('3 Hazed Questions'!$J$2:$J$23,'3 Hazed Questions'!$A$2:$A$23,"Q4",'3 Hazed Questions'!$C$2:$C$23,L117))</f>
        <v/>
      </c>
      <c r="T117" s="14" t="str">
        <f aca="false">IF(COUNTA(I117:L117)=0,"",SUMIFS('3 Hazed Questions'!$K$2:$K$23,'3 Hazed Questions'!$A$2:$A$23,"Q1",'3 Hazed Questions'!$C$2:$C$23,I117)+SUMIFS('3 Hazed Questions'!$K$2:$K$23,'3 Hazed Questions'!$A$2:$A$23,"Q2",'3 Hazed Questions'!$C$2:$C$23,J117)+SUMIFS('3 Hazed Questions'!$K$2:$K$23,'3 Hazed Questions'!$A$2:$A$23,"Q3",'3 Hazed Questions'!$C$2:$C$23,K117)+SUMIFS('3 Hazed Questions'!$K$2:$K$23,'3 Hazed Questions'!$A$2:$A$23,"Q4",'3 Hazed Questions'!$C$2:$C$23,L117))</f>
        <v/>
      </c>
      <c r="U117" s="14" t="str">
        <f aca="false">IF(COUNTA(I117:L117)=0,"",SUMIFS('3 Hazed Questions'!$L$2:$L$23,'3 Hazed Questions'!$A$2:$A$23,"Q1",'3 Hazed Questions'!$C$2:$C$23,I117)+SUMIFS('3 Hazed Questions'!$L$2:$L$23,'3 Hazed Questions'!$A$2:$A$23,"Q2",'3 Hazed Questions'!$C$2:$C$23,J117)+SUMIFS('3 Hazed Questions'!$L$2:$L$23,'3 Hazed Questions'!$A$2:$A$23,"Q3",'3 Hazed Questions'!$C$2:$C$23,K117)+SUMIFS('3 Hazed Questions'!$L$2:$L$23,'3 Hazed Questions'!$A$2:$A$23,"Q4",'3 Hazed Questions'!$C$2:$C$23,L117))</f>
        <v/>
      </c>
      <c r="V117" s="14" t="str">
        <f aca="false">IF(COUNTA(I117:L117)=0,"",SUMIFS('3 Hazed Questions'!$M$2:$M$23,'3 Hazed Questions'!$A$2:$A$23,"Q1",'3 Hazed Questions'!$C$2:$C$23,I117)+SUMIFS('3 Hazed Questions'!$M$2:$M$23,'3 Hazed Questions'!$A$2:$A$23,"Q2",'3 Hazed Questions'!$C$2:$C$23,J117)+SUMIFS('3 Hazed Questions'!$M$2:$M$23,'3 Hazed Questions'!$A$2:$A$23,"Q3",'3 Hazed Questions'!$C$2:$C$23,K117)+SUMIFS('3 Hazed Questions'!$M$2:$M$23,'3 Hazed Questions'!$A$2:$A$23,"Q4",'3 Hazed Questions'!$C$2:$C$23,L117))</f>
        <v/>
      </c>
      <c r="W117" s="14" t="str">
        <f aca="false">IF(COUNTA(I117:L117)=0,"",SUMIFS('3 Hazed Questions'!$N$2:$N$23,'3 Hazed Questions'!$A$2:$A$23,"Q1",'3 Hazed Questions'!$C$2:$C$23,I117)+SUMIFS('3 Hazed Questions'!$N$2:$N$23,'3 Hazed Questions'!$A$2:$A$23,"Q2",'3 Hazed Questions'!$C$2:$C$23,J117)+SUMIFS('3 Hazed Questions'!$N$2:$N$23,'3 Hazed Questions'!$A$2:$A$23,"Q3",'3 Hazed Questions'!$C$2:$C$23,K117)+SUMIFS('3 Hazed Questions'!$N$2:$N$23,'3 Hazed Questions'!$A$2:$A$23,"Q4",'3 Hazed Questions'!$C$2:$C$23,L117))</f>
        <v/>
      </c>
      <c r="X117" s="14" t="str">
        <f aca="false">IF(COUNTA(I117:L117)=0,"",INDEX(Fields!$B$2:$B$50,MATCH(SUBSTITUTE(INDEX($N$1:$W$1,MATCH(MAX($N117:$W117),$N117:$W117,0)),"Score: ",""),Fields!$A$2:$A$50,0)))</f>
        <v/>
      </c>
      <c r="Y117" s="14" t="str">
        <f aca="true">IF(COUNTA(I117:L117)=0,"",IF(LARGE($N117:$W117,2)=0,"-",INDEX(Fields!$B$2:$B$50,MATCH(SUBSTITUTE(INDEX($N$1:$W$1,IF(LARGE($N117:$W117,2)=MAX($N117:$W117),MATCH(MAX($N117:$W117),OFFSET($N117:$W117,0,MATCH(MAX($N117:$W117),$N117:$W117,0),1,10-MATCH(MAX($N117:$W117),$N117:$W117,0)),0)+MATCH(MAX($N117:$W117),$N117:$W117,0),MATCH(LARGE($N117:$W117,2),$N117:$W117,0))),"Score: ",""),Fields!$A$2:$A$50,0))))</f>
        <v/>
      </c>
      <c r="Z117" s="14" t="str">
        <f aca="false">IF(M117="","",IFERROR(INDEX('3 Hazed Questions'!$O$2:$O$23,MATCH(1,INDEX(('3 Hazed Questions'!$A$2:$A$23="Q5")*('3 Hazed Questions'!$C$2:$C$23=M117),0),0))&amp;"",""))</f>
        <v/>
      </c>
      <c r="AA117" s="18"/>
      <c r="AB117" s="18"/>
      <c r="AC117" s="19"/>
      <c r="AD117" s="19"/>
      <c r="AE117" s="18"/>
      <c r="AF117" s="18"/>
      <c r="AG117" s="18"/>
    </row>
    <row r="118" customFormat="false" ht="15" hidden="false" customHeight="false" outlineLevel="0" collapsed="false">
      <c r="A118" s="18"/>
      <c r="B118" s="19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4" t="str">
        <f aca="false">IF(COUNTA(I118:L118)=0,"",SUMIFS('3 Hazed Questions'!$E$2:$E$23,'3 Hazed Questions'!$A$2:$A$23,"Q1",'3 Hazed Questions'!$C$2:$C$23,I118)+SUMIFS('3 Hazed Questions'!$E$2:$E$23,'3 Hazed Questions'!$A$2:$A$23,"Q2",'3 Hazed Questions'!$C$2:$C$23,J118)+SUMIFS('3 Hazed Questions'!$E$2:$E$23,'3 Hazed Questions'!$A$2:$A$23,"Q3",'3 Hazed Questions'!$C$2:$C$23,K118)+SUMIFS('3 Hazed Questions'!$E$2:$E$23,'3 Hazed Questions'!$A$2:$A$23,"Q4",'3 Hazed Questions'!$C$2:$C$23,L118))</f>
        <v/>
      </c>
      <c r="O118" s="14" t="str">
        <f aca="false">IF(COUNTA(I118:L118)=0,"",SUMIFS('3 Hazed Questions'!$F$2:$F$23,'3 Hazed Questions'!$A$2:$A$23,"Q1",'3 Hazed Questions'!$C$2:$C$23,I118)+SUMIFS('3 Hazed Questions'!$F$2:$F$23,'3 Hazed Questions'!$A$2:$A$23,"Q2",'3 Hazed Questions'!$C$2:$C$23,J118)+SUMIFS('3 Hazed Questions'!$F$2:$F$23,'3 Hazed Questions'!$A$2:$A$23,"Q3",'3 Hazed Questions'!$C$2:$C$23,K118)+SUMIFS('3 Hazed Questions'!$F$2:$F$23,'3 Hazed Questions'!$A$2:$A$23,"Q4",'3 Hazed Questions'!$C$2:$C$23,L118))</f>
        <v/>
      </c>
      <c r="P118" s="14" t="str">
        <f aca="false">IF(COUNTA(I118:L118)=0,"",SUMIFS('3 Hazed Questions'!$G$2:$G$23,'3 Hazed Questions'!$A$2:$A$23,"Q1",'3 Hazed Questions'!$C$2:$C$23,I118)+SUMIFS('3 Hazed Questions'!$G$2:$G$23,'3 Hazed Questions'!$A$2:$A$23,"Q2",'3 Hazed Questions'!$C$2:$C$23,J118)+SUMIFS('3 Hazed Questions'!$G$2:$G$23,'3 Hazed Questions'!$A$2:$A$23,"Q3",'3 Hazed Questions'!$C$2:$C$23,K118)+SUMIFS('3 Hazed Questions'!$G$2:$G$23,'3 Hazed Questions'!$A$2:$A$23,"Q4",'3 Hazed Questions'!$C$2:$C$23,L118))</f>
        <v/>
      </c>
      <c r="Q118" s="14" t="str">
        <f aca="false">IF(COUNTA(I118:L118)=0,"",SUMIFS('3 Hazed Questions'!$H$2:$H$23,'3 Hazed Questions'!$A$2:$A$23,"Q1",'3 Hazed Questions'!$C$2:$C$23,I118)+SUMIFS('3 Hazed Questions'!$H$2:$H$23,'3 Hazed Questions'!$A$2:$A$23,"Q2",'3 Hazed Questions'!$C$2:$C$23,J118)+SUMIFS('3 Hazed Questions'!$H$2:$H$23,'3 Hazed Questions'!$A$2:$A$23,"Q3",'3 Hazed Questions'!$C$2:$C$23,K118)+SUMIFS('3 Hazed Questions'!$H$2:$H$23,'3 Hazed Questions'!$A$2:$A$23,"Q4",'3 Hazed Questions'!$C$2:$C$23,L118))</f>
        <v/>
      </c>
      <c r="R118" s="14" t="str">
        <f aca="false">IF(COUNTA(I118:L118)=0,"",SUMIFS('3 Hazed Questions'!$I$2:$I$23,'3 Hazed Questions'!$A$2:$A$23,"Q1",'3 Hazed Questions'!$C$2:$C$23,I118)+SUMIFS('3 Hazed Questions'!$I$2:$I$23,'3 Hazed Questions'!$A$2:$A$23,"Q2",'3 Hazed Questions'!$C$2:$C$23,J118)+SUMIFS('3 Hazed Questions'!$I$2:$I$23,'3 Hazed Questions'!$A$2:$A$23,"Q3",'3 Hazed Questions'!$C$2:$C$23,K118)+SUMIFS('3 Hazed Questions'!$I$2:$I$23,'3 Hazed Questions'!$A$2:$A$23,"Q4",'3 Hazed Questions'!$C$2:$C$23,L118))</f>
        <v/>
      </c>
      <c r="S118" s="14" t="str">
        <f aca="false">IF(COUNTA(I118:L118)=0,"",SUMIFS('3 Hazed Questions'!$J$2:$J$23,'3 Hazed Questions'!$A$2:$A$23,"Q1",'3 Hazed Questions'!$C$2:$C$23,I118)+SUMIFS('3 Hazed Questions'!$J$2:$J$23,'3 Hazed Questions'!$A$2:$A$23,"Q2",'3 Hazed Questions'!$C$2:$C$23,J118)+SUMIFS('3 Hazed Questions'!$J$2:$J$23,'3 Hazed Questions'!$A$2:$A$23,"Q3",'3 Hazed Questions'!$C$2:$C$23,K118)+SUMIFS('3 Hazed Questions'!$J$2:$J$23,'3 Hazed Questions'!$A$2:$A$23,"Q4",'3 Hazed Questions'!$C$2:$C$23,L118))</f>
        <v/>
      </c>
      <c r="T118" s="14" t="str">
        <f aca="false">IF(COUNTA(I118:L118)=0,"",SUMIFS('3 Hazed Questions'!$K$2:$K$23,'3 Hazed Questions'!$A$2:$A$23,"Q1",'3 Hazed Questions'!$C$2:$C$23,I118)+SUMIFS('3 Hazed Questions'!$K$2:$K$23,'3 Hazed Questions'!$A$2:$A$23,"Q2",'3 Hazed Questions'!$C$2:$C$23,J118)+SUMIFS('3 Hazed Questions'!$K$2:$K$23,'3 Hazed Questions'!$A$2:$A$23,"Q3",'3 Hazed Questions'!$C$2:$C$23,K118)+SUMIFS('3 Hazed Questions'!$K$2:$K$23,'3 Hazed Questions'!$A$2:$A$23,"Q4",'3 Hazed Questions'!$C$2:$C$23,L118))</f>
        <v/>
      </c>
      <c r="U118" s="14" t="str">
        <f aca="false">IF(COUNTA(I118:L118)=0,"",SUMIFS('3 Hazed Questions'!$L$2:$L$23,'3 Hazed Questions'!$A$2:$A$23,"Q1",'3 Hazed Questions'!$C$2:$C$23,I118)+SUMIFS('3 Hazed Questions'!$L$2:$L$23,'3 Hazed Questions'!$A$2:$A$23,"Q2",'3 Hazed Questions'!$C$2:$C$23,J118)+SUMIFS('3 Hazed Questions'!$L$2:$L$23,'3 Hazed Questions'!$A$2:$A$23,"Q3",'3 Hazed Questions'!$C$2:$C$23,K118)+SUMIFS('3 Hazed Questions'!$L$2:$L$23,'3 Hazed Questions'!$A$2:$A$23,"Q4",'3 Hazed Questions'!$C$2:$C$23,L118))</f>
        <v/>
      </c>
      <c r="V118" s="14" t="str">
        <f aca="false">IF(COUNTA(I118:L118)=0,"",SUMIFS('3 Hazed Questions'!$M$2:$M$23,'3 Hazed Questions'!$A$2:$A$23,"Q1",'3 Hazed Questions'!$C$2:$C$23,I118)+SUMIFS('3 Hazed Questions'!$M$2:$M$23,'3 Hazed Questions'!$A$2:$A$23,"Q2",'3 Hazed Questions'!$C$2:$C$23,J118)+SUMIFS('3 Hazed Questions'!$M$2:$M$23,'3 Hazed Questions'!$A$2:$A$23,"Q3",'3 Hazed Questions'!$C$2:$C$23,K118)+SUMIFS('3 Hazed Questions'!$M$2:$M$23,'3 Hazed Questions'!$A$2:$A$23,"Q4",'3 Hazed Questions'!$C$2:$C$23,L118))</f>
        <v/>
      </c>
      <c r="W118" s="14" t="str">
        <f aca="false">IF(COUNTA(I118:L118)=0,"",SUMIFS('3 Hazed Questions'!$N$2:$N$23,'3 Hazed Questions'!$A$2:$A$23,"Q1",'3 Hazed Questions'!$C$2:$C$23,I118)+SUMIFS('3 Hazed Questions'!$N$2:$N$23,'3 Hazed Questions'!$A$2:$A$23,"Q2",'3 Hazed Questions'!$C$2:$C$23,J118)+SUMIFS('3 Hazed Questions'!$N$2:$N$23,'3 Hazed Questions'!$A$2:$A$23,"Q3",'3 Hazed Questions'!$C$2:$C$23,K118)+SUMIFS('3 Hazed Questions'!$N$2:$N$23,'3 Hazed Questions'!$A$2:$A$23,"Q4",'3 Hazed Questions'!$C$2:$C$23,L118))</f>
        <v/>
      </c>
      <c r="X118" s="14" t="str">
        <f aca="false">IF(COUNTA(I118:L118)=0,"",INDEX(Fields!$B$2:$B$50,MATCH(SUBSTITUTE(INDEX($N$1:$W$1,MATCH(MAX($N118:$W118),$N118:$W118,0)),"Score: ",""),Fields!$A$2:$A$50,0)))</f>
        <v/>
      </c>
      <c r="Y118" s="14" t="str">
        <f aca="true">IF(COUNTA(I118:L118)=0,"",IF(LARGE($N118:$W118,2)=0,"-",INDEX(Fields!$B$2:$B$50,MATCH(SUBSTITUTE(INDEX($N$1:$W$1,IF(LARGE($N118:$W118,2)=MAX($N118:$W118),MATCH(MAX($N118:$W118),OFFSET($N118:$W118,0,MATCH(MAX($N118:$W118),$N118:$W118,0),1,10-MATCH(MAX($N118:$W118),$N118:$W118,0)),0)+MATCH(MAX($N118:$W118),$N118:$W118,0),MATCH(LARGE($N118:$W118,2),$N118:$W118,0))),"Score: ",""),Fields!$A$2:$A$50,0))))</f>
        <v/>
      </c>
      <c r="Z118" s="14" t="str">
        <f aca="false">IF(M118="","",IFERROR(INDEX('3 Hazed Questions'!$O$2:$O$23,MATCH(1,INDEX(('3 Hazed Questions'!$A$2:$A$23="Q5")*('3 Hazed Questions'!$C$2:$C$23=M118),0),0))&amp;"",""))</f>
        <v/>
      </c>
      <c r="AA118" s="18"/>
      <c r="AB118" s="18"/>
      <c r="AC118" s="19"/>
      <c r="AD118" s="19"/>
      <c r="AE118" s="18"/>
      <c r="AF118" s="18"/>
      <c r="AG118" s="18"/>
    </row>
    <row r="119" customFormat="false" ht="15" hidden="false" customHeight="false" outlineLevel="0" collapsed="false">
      <c r="A119" s="18"/>
      <c r="B119" s="19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4" t="str">
        <f aca="false">IF(COUNTA(I119:L119)=0,"",SUMIFS('3 Hazed Questions'!$E$2:$E$23,'3 Hazed Questions'!$A$2:$A$23,"Q1",'3 Hazed Questions'!$C$2:$C$23,I119)+SUMIFS('3 Hazed Questions'!$E$2:$E$23,'3 Hazed Questions'!$A$2:$A$23,"Q2",'3 Hazed Questions'!$C$2:$C$23,J119)+SUMIFS('3 Hazed Questions'!$E$2:$E$23,'3 Hazed Questions'!$A$2:$A$23,"Q3",'3 Hazed Questions'!$C$2:$C$23,K119)+SUMIFS('3 Hazed Questions'!$E$2:$E$23,'3 Hazed Questions'!$A$2:$A$23,"Q4",'3 Hazed Questions'!$C$2:$C$23,L119))</f>
        <v/>
      </c>
      <c r="O119" s="14" t="str">
        <f aca="false">IF(COUNTA(I119:L119)=0,"",SUMIFS('3 Hazed Questions'!$F$2:$F$23,'3 Hazed Questions'!$A$2:$A$23,"Q1",'3 Hazed Questions'!$C$2:$C$23,I119)+SUMIFS('3 Hazed Questions'!$F$2:$F$23,'3 Hazed Questions'!$A$2:$A$23,"Q2",'3 Hazed Questions'!$C$2:$C$23,J119)+SUMIFS('3 Hazed Questions'!$F$2:$F$23,'3 Hazed Questions'!$A$2:$A$23,"Q3",'3 Hazed Questions'!$C$2:$C$23,K119)+SUMIFS('3 Hazed Questions'!$F$2:$F$23,'3 Hazed Questions'!$A$2:$A$23,"Q4",'3 Hazed Questions'!$C$2:$C$23,L119))</f>
        <v/>
      </c>
      <c r="P119" s="14" t="str">
        <f aca="false">IF(COUNTA(I119:L119)=0,"",SUMIFS('3 Hazed Questions'!$G$2:$G$23,'3 Hazed Questions'!$A$2:$A$23,"Q1",'3 Hazed Questions'!$C$2:$C$23,I119)+SUMIFS('3 Hazed Questions'!$G$2:$G$23,'3 Hazed Questions'!$A$2:$A$23,"Q2",'3 Hazed Questions'!$C$2:$C$23,J119)+SUMIFS('3 Hazed Questions'!$G$2:$G$23,'3 Hazed Questions'!$A$2:$A$23,"Q3",'3 Hazed Questions'!$C$2:$C$23,K119)+SUMIFS('3 Hazed Questions'!$G$2:$G$23,'3 Hazed Questions'!$A$2:$A$23,"Q4",'3 Hazed Questions'!$C$2:$C$23,L119))</f>
        <v/>
      </c>
      <c r="Q119" s="14" t="str">
        <f aca="false">IF(COUNTA(I119:L119)=0,"",SUMIFS('3 Hazed Questions'!$H$2:$H$23,'3 Hazed Questions'!$A$2:$A$23,"Q1",'3 Hazed Questions'!$C$2:$C$23,I119)+SUMIFS('3 Hazed Questions'!$H$2:$H$23,'3 Hazed Questions'!$A$2:$A$23,"Q2",'3 Hazed Questions'!$C$2:$C$23,J119)+SUMIFS('3 Hazed Questions'!$H$2:$H$23,'3 Hazed Questions'!$A$2:$A$23,"Q3",'3 Hazed Questions'!$C$2:$C$23,K119)+SUMIFS('3 Hazed Questions'!$H$2:$H$23,'3 Hazed Questions'!$A$2:$A$23,"Q4",'3 Hazed Questions'!$C$2:$C$23,L119))</f>
        <v/>
      </c>
      <c r="R119" s="14" t="str">
        <f aca="false">IF(COUNTA(I119:L119)=0,"",SUMIFS('3 Hazed Questions'!$I$2:$I$23,'3 Hazed Questions'!$A$2:$A$23,"Q1",'3 Hazed Questions'!$C$2:$C$23,I119)+SUMIFS('3 Hazed Questions'!$I$2:$I$23,'3 Hazed Questions'!$A$2:$A$23,"Q2",'3 Hazed Questions'!$C$2:$C$23,J119)+SUMIFS('3 Hazed Questions'!$I$2:$I$23,'3 Hazed Questions'!$A$2:$A$23,"Q3",'3 Hazed Questions'!$C$2:$C$23,K119)+SUMIFS('3 Hazed Questions'!$I$2:$I$23,'3 Hazed Questions'!$A$2:$A$23,"Q4",'3 Hazed Questions'!$C$2:$C$23,L119))</f>
        <v/>
      </c>
      <c r="S119" s="14" t="str">
        <f aca="false">IF(COUNTA(I119:L119)=0,"",SUMIFS('3 Hazed Questions'!$J$2:$J$23,'3 Hazed Questions'!$A$2:$A$23,"Q1",'3 Hazed Questions'!$C$2:$C$23,I119)+SUMIFS('3 Hazed Questions'!$J$2:$J$23,'3 Hazed Questions'!$A$2:$A$23,"Q2",'3 Hazed Questions'!$C$2:$C$23,J119)+SUMIFS('3 Hazed Questions'!$J$2:$J$23,'3 Hazed Questions'!$A$2:$A$23,"Q3",'3 Hazed Questions'!$C$2:$C$23,K119)+SUMIFS('3 Hazed Questions'!$J$2:$J$23,'3 Hazed Questions'!$A$2:$A$23,"Q4",'3 Hazed Questions'!$C$2:$C$23,L119))</f>
        <v/>
      </c>
      <c r="T119" s="14" t="str">
        <f aca="false">IF(COUNTA(I119:L119)=0,"",SUMIFS('3 Hazed Questions'!$K$2:$K$23,'3 Hazed Questions'!$A$2:$A$23,"Q1",'3 Hazed Questions'!$C$2:$C$23,I119)+SUMIFS('3 Hazed Questions'!$K$2:$K$23,'3 Hazed Questions'!$A$2:$A$23,"Q2",'3 Hazed Questions'!$C$2:$C$23,J119)+SUMIFS('3 Hazed Questions'!$K$2:$K$23,'3 Hazed Questions'!$A$2:$A$23,"Q3",'3 Hazed Questions'!$C$2:$C$23,K119)+SUMIFS('3 Hazed Questions'!$K$2:$K$23,'3 Hazed Questions'!$A$2:$A$23,"Q4",'3 Hazed Questions'!$C$2:$C$23,L119))</f>
        <v/>
      </c>
      <c r="U119" s="14" t="str">
        <f aca="false">IF(COUNTA(I119:L119)=0,"",SUMIFS('3 Hazed Questions'!$L$2:$L$23,'3 Hazed Questions'!$A$2:$A$23,"Q1",'3 Hazed Questions'!$C$2:$C$23,I119)+SUMIFS('3 Hazed Questions'!$L$2:$L$23,'3 Hazed Questions'!$A$2:$A$23,"Q2",'3 Hazed Questions'!$C$2:$C$23,J119)+SUMIFS('3 Hazed Questions'!$L$2:$L$23,'3 Hazed Questions'!$A$2:$A$23,"Q3",'3 Hazed Questions'!$C$2:$C$23,K119)+SUMIFS('3 Hazed Questions'!$L$2:$L$23,'3 Hazed Questions'!$A$2:$A$23,"Q4",'3 Hazed Questions'!$C$2:$C$23,L119))</f>
        <v/>
      </c>
      <c r="V119" s="14" t="str">
        <f aca="false">IF(COUNTA(I119:L119)=0,"",SUMIFS('3 Hazed Questions'!$M$2:$M$23,'3 Hazed Questions'!$A$2:$A$23,"Q1",'3 Hazed Questions'!$C$2:$C$23,I119)+SUMIFS('3 Hazed Questions'!$M$2:$M$23,'3 Hazed Questions'!$A$2:$A$23,"Q2",'3 Hazed Questions'!$C$2:$C$23,J119)+SUMIFS('3 Hazed Questions'!$M$2:$M$23,'3 Hazed Questions'!$A$2:$A$23,"Q3",'3 Hazed Questions'!$C$2:$C$23,K119)+SUMIFS('3 Hazed Questions'!$M$2:$M$23,'3 Hazed Questions'!$A$2:$A$23,"Q4",'3 Hazed Questions'!$C$2:$C$23,L119))</f>
        <v/>
      </c>
      <c r="W119" s="14" t="str">
        <f aca="false">IF(COUNTA(I119:L119)=0,"",SUMIFS('3 Hazed Questions'!$N$2:$N$23,'3 Hazed Questions'!$A$2:$A$23,"Q1",'3 Hazed Questions'!$C$2:$C$23,I119)+SUMIFS('3 Hazed Questions'!$N$2:$N$23,'3 Hazed Questions'!$A$2:$A$23,"Q2",'3 Hazed Questions'!$C$2:$C$23,J119)+SUMIFS('3 Hazed Questions'!$N$2:$N$23,'3 Hazed Questions'!$A$2:$A$23,"Q3",'3 Hazed Questions'!$C$2:$C$23,K119)+SUMIFS('3 Hazed Questions'!$N$2:$N$23,'3 Hazed Questions'!$A$2:$A$23,"Q4",'3 Hazed Questions'!$C$2:$C$23,L119))</f>
        <v/>
      </c>
      <c r="X119" s="14" t="str">
        <f aca="false">IF(COUNTA(I119:L119)=0,"",INDEX(Fields!$B$2:$B$50,MATCH(SUBSTITUTE(INDEX($N$1:$W$1,MATCH(MAX($N119:$W119),$N119:$W119,0)),"Score: ",""),Fields!$A$2:$A$50,0)))</f>
        <v/>
      </c>
      <c r="Y119" s="14" t="str">
        <f aca="true">IF(COUNTA(I119:L119)=0,"",IF(LARGE($N119:$W119,2)=0,"-",INDEX(Fields!$B$2:$B$50,MATCH(SUBSTITUTE(INDEX($N$1:$W$1,IF(LARGE($N119:$W119,2)=MAX($N119:$W119),MATCH(MAX($N119:$W119),OFFSET($N119:$W119,0,MATCH(MAX($N119:$W119),$N119:$W119,0),1,10-MATCH(MAX($N119:$W119),$N119:$W119,0)),0)+MATCH(MAX($N119:$W119),$N119:$W119,0),MATCH(LARGE($N119:$W119,2),$N119:$W119,0))),"Score: ",""),Fields!$A$2:$A$50,0))))</f>
        <v/>
      </c>
      <c r="Z119" s="14" t="str">
        <f aca="false">IF(M119="","",IFERROR(INDEX('3 Hazed Questions'!$O$2:$O$23,MATCH(1,INDEX(('3 Hazed Questions'!$A$2:$A$23="Q5")*('3 Hazed Questions'!$C$2:$C$23=M119),0),0))&amp;"",""))</f>
        <v/>
      </c>
      <c r="AA119" s="18"/>
      <c r="AB119" s="18"/>
      <c r="AC119" s="19"/>
      <c r="AD119" s="19"/>
      <c r="AE119" s="18"/>
      <c r="AF119" s="18"/>
      <c r="AG119" s="18"/>
    </row>
    <row r="120" customFormat="false" ht="15" hidden="false" customHeight="false" outlineLevel="0" collapsed="false">
      <c r="A120" s="18"/>
      <c r="B120" s="19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4" t="str">
        <f aca="false">IF(COUNTA(I120:L120)=0,"",SUMIFS('3 Hazed Questions'!$E$2:$E$23,'3 Hazed Questions'!$A$2:$A$23,"Q1",'3 Hazed Questions'!$C$2:$C$23,I120)+SUMIFS('3 Hazed Questions'!$E$2:$E$23,'3 Hazed Questions'!$A$2:$A$23,"Q2",'3 Hazed Questions'!$C$2:$C$23,J120)+SUMIFS('3 Hazed Questions'!$E$2:$E$23,'3 Hazed Questions'!$A$2:$A$23,"Q3",'3 Hazed Questions'!$C$2:$C$23,K120)+SUMIFS('3 Hazed Questions'!$E$2:$E$23,'3 Hazed Questions'!$A$2:$A$23,"Q4",'3 Hazed Questions'!$C$2:$C$23,L120))</f>
        <v/>
      </c>
      <c r="O120" s="14" t="str">
        <f aca="false">IF(COUNTA(I120:L120)=0,"",SUMIFS('3 Hazed Questions'!$F$2:$F$23,'3 Hazed Questions'!$A$2:$A$23,"Q1",'3 Hazed Questions'!$C$2:$C$23,I120)+SUMIFS('3 Hazed Questions'!$F$2:$F$23,'3 Hazed Questions'!$A$2:$A$23,"Q2",'3 Hazed Questions'!$C$2:$C$23,J120)+SUMIFS('3 Hazed Questions'!$F$2:$F$23,'3 Hazed Questions'!$A$2:$A$23,"Q3",'3 Hazed Questions'!$C$2:$C$23,K120)+SUMIFS('3 Hazed Questions'!$F$2:$F$23,'3 Hazed Questions'!$A$2:$A$23,"Q4",'3 Hazed Questions'!$C$2:$C$23,L120))</f>
        <v/>
      </c>
      <c r="P120" s="14" t="str">
        <f aca="false">IF(COUNTA(I120:L120)=0,"",SUMIFS('3 Hazed Questions'!$G$2:$G$23,'3 Hazed Questions'!$A$2:$A$23,"Q1",'3 Hazed Questions'!$C$2:$C$23,I120)+SUMIFS('3 Hazed Questions'!$G$2:$G$23,'3 Hazed Questions'!$A$2:$A$23,"Q2",'3 Hazed Questions'!$C$2:$C$23,J120)+SUMIFS('3 Hazed Questions'!$G$2:$G$23,'3 Hazed Questions'!$A$2:$A$23,"Q3",'3 Hazed Questions'!$C$2:$C$23,K120)+SUMIFS('3 Hazed Questions'!$G$2:$G$23,'3 Hazed Questions'!$A$2:$A$23,"Q4",'3 Hazed Questions'!$C$2:$C$23,L120))</f>
        <v/>
      </c>
      <c r="Q120" s="14" t="str">
        <f aca="false">IF(COUNTA(I120:L120)=0,"",SUMIFS('3 Hazed Questions'!$H$2:$H$23,'3 Hazed Questions'!$A$2:$A$23,"Q1",'3 Hazed Questions'!$C$2:$C$23,I120)+SUMIFS('3 Hazed Questions'!$H$2:$H$23,'3 Hazed Questions'!$A$2:$A$23,"Q2",'3 Hazed Questions'!$C$2:$C$23,J120)+SUMIFS('3 Hazed Questions'!$H$2:$H$23,'3 Hazed Questions'!$A$2:$A$23,"Q3",'3 Hazed Questions'!$C$2:$C$23,K120)+SUMIFS('3 Hazed Questions'!$H$2:$H$23,'3 Hazed Questions'!$A$2:$A$23,"Q4",'3 Hazed Questions'!$C$2:$C$23,L120))</f>
        <v/>
      </c>
      <c r="R120" s="14" t="str">
        <f aca="false">IF(COUNTA(I120:L120)=0,"",SUMIFS('3 Hazed Questions'!$I$2:$I$23,'3 Hazed Questions'!$A$2:$A$23,"Q1",'3 Hazed Questions'!$C$2:$C$23,I120)+SUMIFS('3 Hazed Questions'!$I$2:$I$23,'3 Hazed Questions'!$A$2:$A$23,"Q2",'3 Hazed Questions'!$C$2:$C$23,J120)+SUMIFS('3 Hazed Questions'!$I$2:$I$23,'3 Hazed Questions'!$A$2:$A$23,"Q3",'3 Hazed Questions'!$C$2:$C$23,K120)+SUMIFS('3 Hazed Questions'!$I$2:$I$23,'3 Hazed Questions'!$A$2:$A$23,"Q4",'3 Hazed Questions'!$C$2:$C$23,L120))</f>
        <v/>
      </c>
      <c r="S120" s="14" t="str">
        <f aca="false">IF(COUNTA(I120:L120)=0,"",SUMIFS('3 Hazed Questions'!$J$2:$J$23,'3 Hazed Questions'!$A$2:$A$23,"Q1",'3 Hazed Questions'!$C$2:$C$23,I120)+SUMIFS('3 Hazed Questions'!$J$2:$J$23,'3 Hazed Questions'!$A$2:$A$23,"Q2",'3 Hazed Questions'!$C$2:$C$23,J120)+SUMIFS('3 Hazed Questions'!$J$2:$J$23,'3 Hazed Questions'!$A$2:$A$23,"Q3",'3 Hazed Questions'!$C$2:$C$23,K120)+SUMIFS('3 Hazed Questions'!$J$2:$J$23,'3 Hazed Questions'!$A$2:$A$23,"Q4",'3 Hazed Questions'!$C$2:$C$23,L120))</f>
        <v/>
      </c>
      <c r="T120" s="14" t="str">
        <f aca="false">IF(COUNTA(I120:L120)=0,"",SUMIFS('3 Hazed Questions'!$K$2:$K$23,'3 Hazed Questions'!$A$2:$A$23,"Q1",'3 Hazed Questions'!$C$2:$C$23,I120)+SUMIFS('3 Hazed Questions'!$K$2:$K$23,'3 Hazed Questions'!$A$2:$A$23,"Q2",'3 Hazed Questions'!$C$2:$C$23,J120)+SUMIFS('3 Hazed Questions'!$K$2:$K$23,'3 Hazed Questions'!$A$2:$A$23,"Q3",'3 Hazed Questions'!$C$2:$C$23,K120)+SUMIFS('3 Hazed Questions'!$K$2:$K$23,'3 Hazed Questions'!$A$2:$A$23,"Q4",'3 Hazed Questions'!$C$2:$C$23,L120))</f>
        <v/>
      </c>
      <c r="U120" s="14" t="str">
        <f aca="false">IF(COUNTA(I120:L120)=0,"",SUMIFS('3 Hazed Questions'!$L$2:$L$23,'3 Hazed Questions'!$A$2:$A$23,"Q1",'3 Hazed Questions'!$C$2:$C$23,I120)+SUMIFS('3 Hazed Questions'!$L$2:$L$23,'3 Hazed Questions'!$A$2:$A$23,"Q2",'3 Hazed Questions'!$C$2:$C$23,J120)+SUMIFS('3 Hazed Questions'!$L$2:$L$23,'3 Hazed Questions'!$A$2:$A$23,"Q3",'3 Hazed Questions'!$C$2:$C$23,K120)+SUMIFS('3 Hazed Questions'!$L$2:$L$23,'3 Hazed Questions'!$A$2:$A$23,"Q4",'3 Hazed Questions'!$C$2:$C$23,L120))</f>
        <v/>
      </c>
      <c r="V120" s="14" t="str">
        <f aca="false">IF(COUNTA(I120:L120)=0,"",SUMIFS('3 Hazed Questions'!$M$2:$M$23,'3 Hazed Questions'!$A$2:$A$23,"Q1",'3 Hazed Questions'!$C$2:$C$23,I120)+SUMIFS('3 Hazed Questions'!$M$2:$M$23,'3 Hazed Questions'!$A$2:$A$23,"Q2",'3 Hazed Questions'!$C$2:$C$23,J120)+SUMIFS('3 Hazed Questions'!$M$2:$M$23,'3 Hazed Questions'!$A$2:$A$23,"Q3",'3 Hazed Questions'!$C$2:$C$23,K120)+SUMIFS('3 Hazed Questions'!$M$2:$M$23,'3 Hazed Questions'!$A$2:$A$23,"Q4",'3 Hazed Questions'!$C$2:$C$23,L120))</f>
        <v/>
      </c>
      <c r="W120" s="14" t="str">
        <f aca="false">IF(COUNTA(I120:L120)=0,"",SUMIFS('3 Hazed Questions'!$N$2:$N$23,'3 Hazed Questions'!$A$2:$A$23,"Q1",'3 Hazed Questions'!$C$2:$C$23,I120)+SUMIFS('3 Hazed Questions'!$N$2:$N$23,'3 Hazed Questions'!$A$2:$A$23,"Q2",'3 Hazed Questions'!$C$2:$C$23,J120)+SUMIFS('3 Hazed Questions'!$N$2:$N$23,'3 Hazed Questions'!$A$2:$A$23,"Q3",'3 Hazed Questions'!$C$2:$C$23,K120)+SUMIFS('3 Hazed Questions'!$N$2:$N$23,'3 Hazed Questions'!$A$2:$A$23,"Q4",'3 Hazed Questions'!$C$2:$C$23,L120))</f>
        <v/>
      </c>
      <c r="X120" s="14" t="str">
        <f aca="false">IF(COUNTA(I120:L120)=0,"",INDEX(Fields!$B$2:$B$50,MATCH(SUBSTITUTE(INDEX($N$1:$W$1,MATCH(MAX($N120:$W120),$N120:$W120,0)),"Score: ",""),Fields!$A$2:$A$50,0)))</f>
        <v/>
      </c>
      <c r="Y120" s="14" t="str">
        <f aca="true">IF(COUNTA(I120:L120)=0,"",IF(LARGE($N120:$W120,2)=0,"-",INDEX(Fields!$B$2:$B$50,MATCH(SUBSTITUTE(INDEX($N$1:$W$1,IF(LARGE($N120:$W120,2)=MAX($N120:$W120),MATCH(MAX($N120:$W120),OFFSET($N120:$W120,0,MATCH(MAX($N120:$W120),$N120:$W120,0),1,10-MATCH(MAX($N120:$W120),$N120:$W120,0)),0)+MATCH(MAX($N120:$W120),$N120:$W120,0),MATCH(LARGE($N120:$W120,2),$N120:$W120,0))),"Score: ",""),Fields!$A$2:$A$50,0))))</f>
        <v/>
      </c>
      <c r="Z120" s="14" t="str">
        <f aca="false">IF(M120="","",IFERROR(INDEX('3 Hazed Questions'!$O$2:$O$23,MATCH(1,INDEX(('3 Hazed Questions'!$A$2:$A$23="Q5")*('3 Hazed Questions'!$C$2:$C$23=M120),0),0))&amp;"",""))</f>
        <v/>
      </c>
      <c r="AA120" s="18"/>
      <c r="AB120" s="18"/>
      <c r="AC120" s="19"/>
      <c r="AD120" s="19"/>
      <c r="AE120" s="18"/>
      <c r="AF120" s="18"/>
      <c r="AG120" s="18"/>
    </row>
    <row r="121" customFormat="false" ht="15" hidden="false" customHeight="false" outlineLevel="0" collapsed="false">
      <c r="A121" s="18"/>
      <c r="B121" s="19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4" t="str">
        <f aca="false">IF(COUNTA(I121:L121)=0,"",SUMIFS('3 Hazed Questions'!$E$2:$E$23,'3 Hazed Questions'!$A$2:$A$23,"Q1",'3 Hazed Questions'!$C$2:$C$23,I121)+SUMIFS('3 Hazed Questions'!$E$2:$E$23,'3 Hazed Questions'!$A$2:$A$23,"Q2",'3 Hazed Questions'!$C$2:$C$23,J121)+SUMIFS('3 Hazed Questions'!$E$2:$E$23,'3 Hazed Questions'!$A$2:$A$23,"Q3",'3 Hazed Questions'!$C$2:$C$23,K121)+SUMIFS('3 Hazed Questions'!$E$2:$E$23,'3 Hazed Questions'!$A$2:$A$23,"Q4",'3 Hazed Questions'!$C$2:$C$23,L121))</f>
        <v/>
      </c>
      <c r="O121" s="14" t="str">
        <f aca="false">IF(COUNTA(I121:L121)=0,"",SUMIFS('3 Hazed Questions'!$F$2:$F$23,'3 Hazed Questions'!$A$2:$A$23,"Q1",'3 Hazed Questions'!$C$2:$C$23,I121)+SUMIFS('3 Hazed Questions'!$F$2:$F$23,'3 Hazed Questions'!$A$2:$A$23,"Q2",'3 Hazed Questions'!$C$2:$C$23,J121)+SUMIFS('3 Hazed Questions'!$F$2:$F$23,'3 Hazed Questions'!$A$2:$A$23,"Q3",'3 Hazed Questions'!$C$2:$C$23,K121)+SUMIFS('3 Hazed Questions'!$F$2:$F$23,'3 Hazed Questions'!$A$2:$A$23,"Q4",'3 Hazed Questions'!$C$2:$C$23,L121))</f>
        <v/>
      </c>
      <c r="P121" s="14" t="str">
        <f aca="false">IF(COUNTA(I121:L121)=0,"",SUMIFS('3 Hazed Questions'!$G$2:$G$23,'3 Hazed Questions'!$A$2:$A$23,"Q1",'3 Hazed Questions'!$C$2:$C$23,I121)+SUMIFS('3 Hazed Questions'!$G$2:$G$23,'3 Hazed Questions'!$A$2:$A$23,"Q2",'3 Hazed Questions'!$C$2:$C$23,J121)+SUMIFS('3 Hazed Questions'!$G$2:$G$23,'3 Hazed Questions'!$A$2:$A$23,"Q3",'3 Hazed Questions'!$C$2:$C$23,K121)+SUMIFS('3 Hazed Questions'!$G$2:$G$23,'3 Hazed Questions'!$A$2:$A$23,"Q4",'3 Hazed Questions'!$C$2:$C$23,L121))</f>
        <v/>
      </c>
      <c r="Q121" s="14" t="str">
        <f aca="false">IF(COUNTA(I121:L121)=0,"",SUMIFS('3 Hazed Questions'!$H$2:$H$23,'3 Hazed Questions'!$A$2:$A$23,"Q1",'3 Hazed Questions'!$C$2:$C$23,I121)+SUMIFS('3 Hazed Questions'!$H$2:$H$23,'3 Hazed Questions'!$A$2:$A$23,"Q2",'3 Hazed Questions'!$C$2:$C$23,J121)+SUMIFS('3 Hazed Questions'!$H$2:$H$23,'3 Hazed Questions'!$A$2:$A$23,"Q3",'3 Hazed Questions'!$C$2:$C$23,K121)+SUMIFS('3 Hazed Questions'!$H$2:$H$23,'3 Hazed Questions'!$A$2:$A$23,"Q4",'3 Hazed Questions'!$C$2:$C$23,L121))</f>
        <v/>
      </c>
      <c r="R121" s="14" t="str">
        <f aca="false">IF(COUNTA(I121:L121)=0,"",SUMIFS('3 Hazed Questions'!$I$2:$I$23,'3 Hazed Questions'!$A$2:$A$23,"Q1",'3 Hazed Questions'!$C$2:$C$23,I121)+SUMIFS('3 Hazed Questions'!$I$2:$I$23,'3 Hazed Questions'!$A$2:$A$23,"Q2",'3 Hazed Questions'!$C$2:$C$23,J121)+SUMIFS('3 Hazed Questions'!$I$2:$I$23,'3 Hazed Questions'!$A$2:$A$23,"Q3",'3 Hazed Questions'!$C$2:$C$23,K121)+SUMIFS('3 Hazed Questions'!$I$2:$I$23,'3 Hazed Questions'!$A$2:$A$23,"Q4",'3 Hazed Questions'!$C$2:$C$23,L121))</f>
        <v/>
      </c>
      <c r="S121" s="14" t="str">
        <f aca="false">IF(COUNTA(I121:L121)=0,"",SUMIFS('3 Hazed Questions'!$J$2:$J$23,'3 Hazed Questions'!$A$2:$A$23,"Q1",'3 Hazed Questions'!$C$2:$C$23,I121)+SUMIFS('3 Hazed Questions'!$J$2:$J$23,'3 Hazed Questions'!$A$2:$A$23,"Q2",'3 Hazed Questions'!$C$2:$C$23,J121)+SUMIFS('3 Hazed Questions'!$J$2:$J$23,'3 Hazed Questions'!$A$2:$A$23,"Q3",'3 Hazed Questions'!$C$2:$C$23,K121)+SUMIFS('3 Hazed Questions'!$J$2:$J$23,'3 Hazed Questions'!$A$2:$A$23,"Q4",'3 Hazed Questions'!$C$2:$C$23,L121))</f>
        <v/>
      </c>
      <c r="T121" s="14" t="str">
        <f aca="false">IF(COUNTA(I121:L121)=0,"",SUMIFS('3 Hazed Questions'!$K$2:$K$23,'3 Hazed Questions'!$A$2:$A$23,"Q1",'3 Hazed Questions'!$C$2:$C$23,I121)+SUMIFS('3 Hazed Questions'!$K$2:$K$23,'3 Hazed Questions'!$A$2:$A$23,"Q2",'3 Hazed Questions'!$C$2:$C$23,J121)+SUMIFS('3 Hazed Questions'!$K$2:$K$23,'3 Hazed Questions'!$A$2:$A$23,"Q3",'3 Hazed Questions'!$C$2:$C$23,K121)+SUMIFS('3 Hazed Questions'!$K$2:$K$23,'3 Hazed Questions'!$A$2:$A$23,"Q4",'3 Hazed Questions'!$C$2:$C$23,L121))</f>
        <v/>
      </c>
      <c r="U121" s="14" t="str">
        <f aca="false">IF(COUNTA(I121:L121)=0,"",SUMIFS('3 Hazed Questions'!$L$2:$L$23,'3 Hazed Questions'!$A$2:$A$23,"Q1",'3 Hazed Questions'!$C$2:$C$23,I121)+SUMIFS('3 Hazed Questions'!$L$2:$L$23,'3 Hazed Questions'!$A$2:$A$23,"Q2",'3 Hazed Questions'!$C$2:$C$23,J121)+SUMIFS('3 Hazed Questions'!$L$2:$L$23,'3 Hazed Questions'!$A$2:$A$23,"Q3",'3 Hazed Questions'!$C$2:$C$23,K121)+SUMIFS('3 Hazed Questions'!$L$2:$L$23,'3 Hazed Questions'!$A$2:$A$23,"Q4",'3 Hazed Questions'!$C$2:$C$23,L121))</f>
        <v/>
      </c>
      <c r="V121" s="14" t="str">
        <f aca="false">IF(COUNTA(I121:L121)=0,"",SUMIFS('3 Hazed Questions'!$M$2:$M$23,'3 Hazed Questions'!$A$2:$A$23,"Q1",'3 Hazed Questions'!$C$2:$C$23,I121)+SUMIFS('3 Hazed Questions'!$M$2:$M$23,'3 Hazed Questions'!$A$2:$A$23,"Q2",'3 Hazed Questions'!$C$2:$C$23,J121)+SUMIFS('3 Hazed Questions'!$M$2:$M$23,'3 Hazed Questions'!$A$2:$A$23,"Q3",'3 Hazed Questions'!$C$2:$C$23,K121)+SUMIFS('3 Hazed Questions'!$M$2:$M$23,'3 Hazed Questions'!$A$2:$A$23,"Q4",'3 Hazed Questions'!$C$2:$C$23,L121))</f>
        <v/>
      </c>
      <c r="W121" s="14" t="str">
        <f aca="false">IF(COUNTA(I121:L121)=0,"",SUMIFS('3 Hazed Questions'!$N$2:$N$23,'3 Hazed Questions'!$A$2:$A$23,"Q1",'3 Hazed Questions'!$C$2:$C$23,I121)+SUMIFS('3 Hazed Questions'!$N$2:$N$23,'3 Hazed Questions'!$A$2:$A$23,"Q2",'3 Hazed Questions'!$C$2:$C$23,J121)+SUMIFS('3 Hazed Questions'!$N$2:$N$23,'3 Hazed Questions'!$A$2:$A$23,"Q3",'3 Hazed Questions'!$C$2:$C$23,K121)+SUMIFS('3 Hazed Questions'!$N$2:$N$23,'3 Hazed Questions'!$A$2:$A$23,"Q4",'3 Hazed Questions'!$C$2:$C$23,L121))</f>
        <v/>
      </c>
      <c r="X121" s="14" t="str">
        <f aca="false">IF(COUNTA(I121:L121)=0,"",INDEX(Fields!$B$2:$B$50,MATCH(SUBSTITUTE(INDEX($N$1:$W$1,MATCH(MAX($N121:$W121),$N121:$W121,0)),"Score: ",""),Fields!$A$2:$A$50,0)))</f>
        <v/>
      </c>
      <c r="Y121" s="14" t="str">
        <f aca="true">IF(COUNTA(I121:L121)=0,"",IF(LARGE($N121:$W121,2)=0,"-",INDEX(Fields!$B$2:$B$50,MATCH(SUBSTITUTE(INDEX($N$1:$W$1,IF(LARGE($N121:$W121,2)=MAX($N121:$W121),MATCH(MAX($N121:$W121),OFFSET($N121:$W121,0,MATCH(MAX($N121:$W121),$N121:$W121,0),1,10-MATCH(MAX($N121:$W121),$N121:$W121,0)),0)+MATCH(MAX($N121:$W121),$N121:$W121,0),MATCH(LARGE($N121:$W121,2),$N121:$W121,0))),"Score: ",""),Fields!$A$2:$A$50,0))))</f>
        <v/>
      </c>
      <c r="Z121" s="14" t="str">
        <f aca="false">IF(M121="","",IFERROR(INDEX('3 Hazed Questions'!$O$2:$O$23,MATCH(1,INDEX(('3 Hazed Questions'!$A$2:$A$23="Q5")*('3 Hazed Questions'!$C$2:$C$23=M121),0),0))&amp;"",""))</f>
        <v/>
      </c>
      <c r="AA121" s="18"/>
      <c r="AB121" s="18"/>
      <c r="AC121" s="19"/>
      <c r="AD121" s="19"/>
      <c r="AE121" s="18"/>
      <c r="AF121" s="18"/>
      <c r="AG121" s="18"/>
    </row>
    <row r="122" customFormat="false" ht="15" hidden="false" customHeight="false" outlineLevel="0" collapsed="false">
      <c r="A122" s="18"/>
      <c r="B122" s="19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4" t="str">
        <f aca="false">IF(COUNTA(I122:L122)=0,"",SUMIFS('3 Hazed Questions'!$E$2:$E$23,'3 Hazed Questions'!$A$2:$A$23,"Q1",'3 Hazed Questions'!$C$2:$C$23,I122)+SUMIFS('3 Hazed Questions'!$E$2:$E$23,'3 Hazed Questions'!$A$2:$A$23,"Q2",'3 Hazed Questions'!$C$2:$C$23,J122)+SUMIFS('3 Hazed Questions'!$E$2:$E$23,'3 Hazed Questions'!$A$2:$A$23,"Q3",'3 Hazed Questions'!$C$2:$C$23,K122)+SUMIFS('3 Hazed Questions'!$E$2:$E$23,'3 Hazed Questions'!$A$2:$A$23,"Q4",'3 Hazed Questions'!$C$2:$C$23,L122))</f>
        <v/>
      </c>
      <c r="O122" s="14" t="str">
        <f aca="false">IF(COUNTA(I122:L122)=0,"",SUMIFS('3 Hazed Questions'!$F$2:$F$23,'3 Hazed Questions'!$A$2:$A$23,"Q1",'3 Hazed Questions'!$C$2:$C$23,I122)+SUMIFS('3 Hazed Questions'!$F$2:$F$23,'3 Hazed Questions'!$A$2:$A$23,"Q2",'3 Hazed Questions'!$C$2:$C$23,J122)+SUMIFS('3 Hazed Questions'!$F$2:$F$23,'3 Hazed Questions'!$A$2:$A$23,"Q3",'3 Hazed Questions'!$C$2:$C$23,K122)+SUMIFS('3 Hazed Questions'!$F$2:$F$23,'3 Hazed Questions'!$A$2:$A$23,"Q4",'3 Hazed Questions'!$C$2:$C$23,L122))</f>
        <v/>
      </c>
      <c r="P122" s="14" t="str">
        <f aca="false">IF(COUNTA(I122:L122)=0,"",SUMIFS('3 Hazed Questions'!$G$2:$G$23,'3 Hazed Questions'!$A$2:$A$23,"Q1",'3 Hazed Questions'!$C$2:$C$23,I122)+SUMIFS('3 Hazed Questions'!$G$2:$G$23,'3 Hazed Questions'!$A$2:$A$23,"Q2",'3 Hazed Questions'!$C$2:$C$23,J122)+SUMIFS('3 Hazed Questions'!$G$2:$G$23,'3 Hazed Questions'!$A$2:$A$23,"Q3",'3 Hazed Questions'!$C$2:$C$23,K122)+SUMIFS('3 Hazed Questions'!$G$2:$G$23,'3 Hazed Questions'!$A$2:$A$23,"Q4",'3 Hazed Questions'!$C$2:$C$23,L122))</f>
        <v/>
      </c>
      <c r="Q122" s="14" t="str">
        <f aca="false">IF(COUNTA(I122:L122)=0,"",SUMIFS('3 Hazed Questions'!$H$2:$H$23,'3 Hazed Questions'!$A$2:$A$23,"Q1",'3 Hazed Questions'!$C$2:$C$23,I122)+SUMIFS('3 Hazed Questions'!$H$2:$H$23,'3 Hazed Questions'!$A$2:$A$23,"Q2",'3 Hazed Questions'!$C$2:$C$23,J122)+SUMIFS('3 Hazed Questions'!$H$2:$H$23,'3 Hazed Questions'!$A$2:$A$23,"Q3",'3 Hazed Questions'!$C$2:$C$23,K122)+SUMIFS('3 Hazed Questions'!$H$2:$H$23,'3 Hazed Questions'!$A$2:$A$23,"Q4",'3 Hazed Questions'!$C$2:$C$23,L122))</f>
        <v/>
      </c>
      <c r="R122" s="14" t="str">
        <f aca="false">IF(COUNTA(I122:L122)=0,"",SUMIFS('3 Hazed Questions'!$I$2:$I$23,'3 Hazed Questions'!$A$2:$A$23,"Q1",'3 Hazed Questions'!$C$2:$C$23,I122)+SUMIFS('3 Hazed Questions'!$I$2:$I$23,'3 Hazed Questions'!$A$2:$A$23,"Q2",'3 Hazed Questions'!$C$2:$C$23,J122)+SUMIFS('3 Hazed Questions'!$I$2:$I$23,'3 Hazed Questions'!$A$2:$A$23,"Q3",'3 Hazed Questions'!$C$2:$C$23,K122)+SUMIFS('3 Hazed Questions'!$I$2:$I$23,'3 Hazed Questions'!$A$2:$A$23,"Q4",'3 Hazed Questions'!$C$2:$C$23,L122))</f>
        <v/>
      </c>
      <c r="S122" s="14" t="str">
        <f aca="false">IF(COUNTA(I122:L122)=0,"",SUMIFS('3 Hazed Questions'!$J$2:$J$23,'3 Hazed Questions'!$A$2:$A$23,"Q1",'3 Hazed Questions'!$C$2:$C$23,I122)+SUMIFS('3 Hazed Questions'!$J$2:$J$23,'3 Hazed Questions'!$A$2:$A$23,"Q2",'3 Hazed Questions'!$C$2:$C$23,J122)+SUMIFS('3 Hazed Questions'!$J$2:$J$23,'3 Hazed Questions'!$A$2:$A$23,"Q3",'3 Hazed Questions'!$C$2:$C$23,K122)+SUMIFS('3 Hazed Questions'!$J$2:$J$23,'3 Hazed Questions'!$A$2:$A$23,"Q4",'3 Hazed Questions'!$C$2:$C$23,L122))</f>
        <v/>
      </c>
      <c r="T122" s="14" t="str">
        <f aca="false">IF(COUNTA(I122:L122)=0,"",SUMIFS('3 Hazed Questions'!$K$2:$K$23,'3 Hazed Questions'!$A$2:$A$23,"Q1",'3 Hazed Questions'!$C$2:$C$23,I122)+SUMIFS('3 Hazed Questions'!$K$2:$K$23,'3 Hazed Questions'!$A$2:$A$23,"Q2",'3 Hazed Questions'!$C$2:$C$23,J122)+SUMIFS('3 Hazed Questions'!$K$2:$K$23,'3 Hazed Questions'!$A$2:$A$23,"Q3",'3 Hazed Questions'!$C$2:$C$23,K122)+SUMIFS('3 Hazed Questions'!$K$2:$K$23,'3 Hazed Questions'!$A$2:$A$23,"Q4",'3 Hazed Questions'!$C$2:$C$23,L122))</f>
        <v/>
      </c>
      <c r="U122" s="14" t="str">
        <f aca="false">IF(COUNTA(I122:L122)=0,"",SUMIFS('3 Hazed Questions'!$L$2:$L$23,'3 Hazed Questions'!$A$2:$A$23,"Q1",'3 Hazed Questions'!$C$2:$C$23,I122)+SUMIFS('3 Hazed Questions'!$L$2:$L$23,'3 Hazed Questions'!$A$2:$A$23,"Q2",'3 Hazed Questions'!$C$2:$C$23,J122)+SUMIFS('3 Hazed Questions'!$L$2:$L$23,'3 Hazed Questions'!$A$2:$A$23,"Q3",'3 Hazed Questions'!$C$2:$C$23,K122)+SUMIFS('3 Hazed Questions'!$L$2:$L$23,'3 Hazed Questions'!$A$2:$A$23,"Q4",'3 Hazed Questions'!$C$2:$C$23,L122))</f>
        <v/>
      </c>
      <c r="V122" s="14" t="str">
        <f aca="false">IF(COUNTA(I122:L122)=0,"",SUMIFS('3 Hazed Questions'!$M$2:$M$23,'3 Hazed Questions'!$A$2:$A$23,"Q1",'3 Hazed Questions'!$C$2:$C$23,I122)+SUMIFS('3 Hazed Questions'!$M$2:$M$23,'3 Hazed Questions'!$A$2:$A$23,"Q2",'3 Hazed Questions'!$C$2:$C$23,J122)+SUMIFS('3 Hazed Questions'!$M$2:$M$23,'3 Hazed Questions'!$A$2:$A$23,"Q3",'3 Hazed Questions'!$C$2:$C$23,K122)+SUMIFS('3 Hazed Questions'!$M$2:$M$23,'3 Hazed Questions'!$A$2:$A$23,"Q4",'3 Hazed Questions'!$C$2:$C$23,L122))</f>
        <v/>
      </c>
      <c r="W122" s="14" t="str">
        <f aca="false">IF(COUNTA(I122:L122)=0,"",SUMIFS('3 Hazed Questions'!$N$2:$N$23,'3 Hazed Questions'!$A$2:$A$23,"Q1",'3 Hazed Questions'!$C$2:$C$23,I122)+SUMIFS('3 Hazed Questions'!$N$2:$N$23,'3 Hazed Questions'!$A$2:$A$23,"Q2",'3 Hazed Questions'!$C$2:$C$23,J122)+SUMIFS('3 Hazed Questions'!$N$2:$N$23,'3 Hazed Questions'!$A$2:$A$23,"Q3",'3 Hazed Questions'!$C$2:$C$23,K122)+SUMIFS('3 Hazed Questions'!$N$2:$N$23,'3 Hazed Questions'!$A$2:$A$23,"Q4",'3 Hazed Questions'!$C$2:$C$23,L122))</f>
        <v/>
      </c>
      <c r="X122" s="14" t="str">
        <f aca="false">IF(COUNTA(I122:L122)=0,"",INDEX(Fields!$B$2:$B$50,MATCH(SUBSTITUTE(INDEX($N$1:$W$1,MATCH(MAX($N122:$W122),$N122:$W122,0)),"Score: ",""),Fields!$A$2:$A$50,0)))</f>
        <v/>
      </c>
      <c r="Y122" s="14" t="str">
        <f aca="true">IF(COUNTA(I122:L122)=0,"",IF(LARGE($N122:$W122,2)=0,"-",INDEX(Fields!$B$2:$B$50,MATCH(SUBSTITUTE(INDEX($N$1:$W$1,IF(LARGE($N122:$W122,2)=MAX($N122:$W122),MATCH(MAX($N122:$W122),OFFSET($N122:$W122,0,MATCH(MAX($N122:$W122),$N122:$W122,0),1,10-MATCH(MAX($N122:$W122),$N122:$W122,0)),0)+MATCH(MAX($N122:$W122),$N122:$W122,0),MATCH(LARGE($N122:$W122,2),$N122:$W122,0))),"Score: ",""),Fields!$A$2:$A$50,0))))</f>
        <v/>
      </c>
      <c r="Z122" s="14" t="str">
        <f aca="false">IF(M122="","",IFERROR(INDEX('3 Hazed Questions'!$O$2:$O$23,MATCH(1,INDEX(('3 Hazed Questions'!$A$2:$A$23="Q5")*('3 Hazed Questions'!$C$2:$C$23=M122),0),0))&amp;"",""))</f>
        <v/>
      </c>
      <c r="AA122" s="18"/>
      <c r="AB122" s="18"/>
      <c r="AC122" s="19"/>
      <c r="AD122" s="19"/>
      <c r="AE122" s="18"/>
      <c r="AF122" s="18"/>
      <c r="AG122" s="18"/>
    </row>
    <row r="123" customFormat="false" ht="15" hidden="false" customHeight="false" outlineLevel="0" collapsed="false">
      <c r="A123" s="18"/>
      <c r="B123" s="19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4" t="str">
        <f aca="false">IF(COUNTA(I123:L123)=0,"",SUMIFS('3 Hazed Questions'!$E$2:$E$23,'3 Hazed Questions'!$A$2:$A$23,"Q1",'3 Hazed Questions'!$C$2:$C$23,I123)+SUMIFS('3 Hazed Questions'!$E$2:$E$23,'3 Hazed Questions'!$A$2:$A$23,"Q2",'3 Hazed Questions'!$C$2:$C$23,J123)+SUMIFS('3 Hazed Questions'!$E$2:$E$23,'3 Hazed Questions'!$A$2:$A$23,"Q3",'3 Hazed Questions'!$C$2:$C$23,K123)+SUMIFS('3 Hazed Questions'!$E$2:$E$23,'3 Hazed Questions'!$A$2:$A$23,"Q4",'3 Hazed Questions'!$C$2:$C$23,L123))</f>
        <v/>
      </c>
      <c r="O123" s="14" t="str">
        <f aca="false">IF(COUNTA(I123:L123)=0,"",SUMIFS('3 Hazed Questions'!$F$2:$F$23,'3 Hazed Questions'!$A$2:$A$23,"Q1",'3 Hazed Questions'!$C$2:$C$23,I123)+SUMIFS('3 Hazed Questions'!$F$2:$F$23,'3 Hazed Questions'!$A$2:$A$23,"Q2",'3 Hazed Questions'!$C$2:$C$23,J123)+SUMIFS('3 Hazed Questions'!$F$2:$F$23,'3 Hazed Questions'!$A$2:$A$23,"Q3",'3 Hazed Questions'!$C$2:$C$23,K123)+SUMIFS('3 Hazed Questions'!$F$2:$F$23,'3 Hazed Questions'!$A$2:$A$23,"Q4",'3 Hazed Questions'!$C$2:$C$23,L123))</f>
        <v/>
      </c>
      <c r="P123" s="14" t="str">
        <f aca="false">IF(COUNTA(I123:L123)=0,"",SUMIFS('3 Hazed Questions'!$G$2:$G$23,'3 Hazed Questions'!$A$2:$A$23,"Q1",'3 Hazed Questions'!$C$2:$C$23,I123)+SUMIFS('3 Hazed Questions'!$G$2:$G$23,'3 Hazed Questions'!$A$2:$A$23,"Q2",'3 Hazed Questions'!$C$2:$C$23,J123)+SUMIFS('3 Hazed Questions'!$G$2:$G$23,'3 Hazed Questions'!$A$2:$A$23,"Q3",'3 Hazed Questions'!$C$2:$C$23,K123)+SUMIFS('3 Hazed Questions'!$G$2:$G$23,'3 Hazed Questions'!$A$2:$A$23,"Q4",'3 Hazed Questions'!$C$2:$C$23,L123))</f>
        <v/>
      </c>
      <c r="Q123" s="14" t="str">
        <f aca="false">IF(COUNTA(I123:L123)=0,"",SUMIFS('3 Hazed Questions'!$H$2:$H$23,'3 Hazed Questions'!$A$2:$A$23,"Q1",'3 Hazed Questions'!$C$2:$C$23,I123)+SUMIFS('3 Hazed Questions'!$H$2:$H$23,'3 Hazed Questions'!$A$2:$A$23,"Q2",'3 Hazed Questions'!$C$2:$C$23,J123)+SUMIFS('3 Hazed Questions'!$H$2:$H$23,'3 Hazed Questions'!$A$2:$A$23,"Q3",'3 Hazed Questions'!$C$2:$C$23,K123)+SUMIFS('3 Hazed Questions'!$H$2:$H$23,'3 Hazed Questions'!$A$2:$A$23,"Q4",'3 Hazed Questions'!$C$2:$C$23,L123))</f>
        <v/>
      </c>
      <c r="R123" s="14" t="str">
        <f aca="false">IF(COUNTA(I123:L123)=0,"",SUMIFS('3 Hazed Questions'!$I$2:$I$23,'3 Hazed Questions'!$A$2:$A$23,"Q1",'3 Hazed Questions'!$C$2:$C$23,I123)+SUMIFS('3 Hazed Questions'!$I$2:$I$23,'3 Hazed Questions'!$A$2:$A$23,"Q2",'3 Hazed Questions'!$C$2:$C$23,J123)+SUMIFS('3 Hazed Questions'!$I$2:$I$23,'3 Hazed Questions'!$A$2:$A$23,"Q3",'3 Hazed Questions'!$C$2:$C$23,K123)+SUMIFS('3 Hazed Questions'!$I$2:$I$23,'3 Hazed Questions'!$A$2:$A$23,"Q4",'3 Hazed Questions'!$C$2:$C$23,L123))</f>
        <v/>
      </c>
      <c r="S123" s="14" t="str">
        <f aca="false">IF(COUNTA(I123:L123)=0,"",SUMIFS('3 Hazed Questions'!$J$2:$J$23,'3 Hazed Questions'!$A$2:$A$23,"Q1",'3 Hazed Questions'!$C$2:$C$23,I123)+SUMIFS('3 Hazed Questions'!$J$2:$J$23,'3 Hazed Questions'!$A$2:$A$23,"Q2",'3 Hazed Questions'!$C$2:$C$23,J123)+SUMIFS('3 Hazed Questions'!$J$2:$J$23,'3 Hazed Questions'!$A$2:$A$23,"Q3",'3 Hazed Questions'!$C$2:$C$23,K123)+SUMIFS('3 Hazed Questions'!$J$2:$J$23,'3 Hazed Questions'!$A$2:$A$23,"Q4",'3 Hazed Questions'!$C$2:$C$23,L123))</f>
        <v/>
      </c>
      <c r="T123" s="14" t="str">
        <f aca="false">IF(COUNTA(I123:L123)=0,"",SUMIFS('3 Hazed Questions'!$K$2:$K$23,'3 Hazed Questions'!$A$2:$A$23,"Q1",'3 Hazed Questions'!$C$2:$C$23,I123)+SUMIFS('3 Hazed Questions'!$K$2:$K$23,'3 Hazed Questions'!$A$2:$A$23,"Q2",'3 Hazed Questions'!$C$2:$C$23,J123)+SUMIFS('3 Hazed Questions'!$K$2:$K$23,'3 Hazed Questions'!$A$2:$A$23,"Q3",'3 Hazed Questions'!$C$2:$C$23,K123)+SUMIFS('3 Hazed Questions'!$K$2:$K$23,'3 Hazed Questions'!$A$2:$A$23,"Q4",'3 Hazed Questions'!$C$2:$C$23,L123))</f>
        <v/>
      </c>
      <c r="U123" s="14" t="str">
        <f aca="false">IF(COUNTA(I123:L123)=0,"",SUMIFS('3 Hazed Questions'!$L$2:$L$23,'3 Hazed Questions'!$A$2:$A$23,"Q1",'3 Hazed Questions'!$C$2:$C$23,I123)+SUMIFS('3 Hazed Questions'!$L$2:$L$23,'3 Hazed Questions'!$A$2:$A$23,"Q2",'3 Hazed Questions'!$C$2:$C$23,J123)+SUMIFS('3 Hazed Questions'!$L$2:$L$23,'3 Hazed Questions'!$A$2:$A$23,"Q3",'3 Hazed Questions'!$C$2:$C$23,K123)+SUMIFS('3 Hazed Questions'!$L$2:$L$23,'3 Hazed Questions'!$A$2:$A$23,"Q4",'3 Hazed Questions'!$C$2:$C$23,L123))</f>
        <v/>
      </c>
      <c r="V123" s="14" t="str">
        <f aca="false">IF(COUNTA(I123:L123)=0,"",SUMIFS('3 Hazed Questions'!$M$2:$M$23,'3 Hazed Questions'!$A$2:$A$23,"Q1",'3 Hazed Questions'!$C$2:$C$23,I123)+SUMIFS('3 Hazed Questions'!$M$2:$M$23,'3 Hazed Questions'!$A$2:$A$23,"Q2",'3 Hazed Questions'!$C$2:$C$23,J123)+SUMIFS('3 Hazed Questions'!$M$2:$M$23,'3 Hazed Questions'!$A$2:$A$23,"Q3",'3 Hazed Questions'!$C$2:$C$23,K123)+SUMIFS('3 Hazed Questions'!$M$2:$M$23,'3 Hazed Questions'!$A$2:$A$23,"Q4",'3 Hazed Questions'!$C$2:$C$23,L123))</f>
        <v/>
      </c>
      <c r="W123" s="14" t="str">
        <f aca="false">IF(COUNTA(I123:L123)=0,"",SUMIFS('3 Hazed Questions'!$N$2:$N$23,'3 Hazed Questions'!$A$2:$A$23,"Q1",'3 Hazed Questions'!$C$2:$C$23,I123)+SUMIFS('3 Hazed Questions'!$N$2:$N$23,'3 Hazed Questions'!$A$2:$A$23,"Q2",'3 Hazed Questions'!$C$2:$C$23,J123)+SUMIFS('3 Hazed Questions'!$N$2:$N$23,'3 Hazed Questions'!$A$2:$A$23,"Q3",'3 Hazed Questions'!$C$2:$C$23,K123)+SUMIFS('3 Hazed Questions'!$N$2:$N$23,'3 Hazed Questions'!$A$2:$A$23,"Q4",'3 Hazed Questions'!$C$2:$C$23,L123))</f>
        <v/>
      </c>
      <c r="X123" s="14" t="str">
        <f aca="false">IF(COUNTA(I123:L123)=0,"",INDEX(Fields!$B$2:$B$50,MATCH(SUBSTITUTE(INDEX($N$1:$W$1,MATCH(MAX($N123:$W123),$N123:$W123,0)),"Score: ",""),Fields!$A$2:$A$50,0)))</f>
        <v/>
      </c>
      <c r="Y123" s="14" t="str">
        <f aca="true">IF(COUNTA(I123:L123)=0,"",IF(LARGE($N123:$W123,2)=0,"-",INDEX(Fields!$B$2:$B$50,MATCH(SUBSTITUTE(INDEX($N$1:$W$1,IF(LARGE($N123:$W123,2)=MAX($N123:$W123),MATCH(MAX($N123:$W123),OFFSET($N123:$W123,0,MATCH(MAX($N123:$W123),$N123:$W123,0),1,10-MATCH(MAX($N123:$W123),$N123:$W123,0)),0)+MATCH(MAX($N123:$W123),$N123:$W123,0),MATCH(LARGE($N123:$W123,2),$N123:$W123,0))),"Score: ",""),Fields!$A$2:$A$50,0))))</f>
        <v/>
      </c>
      <c r="Z123" s="14" t="str">
        <f aca="false">IF(M123="","",IFERROR(INDEX('3 Hazed Questions'!$O$2:$O$23,MATCH(1,INDEX(('3 Hazed Questions'!$A$2:$A$23="Q5")*('3 Hazed Questions'!$C$2:$C$23=M123),0),0))&amp;"",""))</f>
        <v/>
      </c>
      <c r="AA123" s="18"/>
      <c r="AB123" s="18"/>
      <c r="AC123" s="19"/>
      <c r="AD123" s="19"/>
      <c r="AE123" s="18"/>
      <c r="AF123" s="18"/>
      <c r="AG123" s="18"/>
    </row>
    <row r="124" customFormat="false" ht="15" hidden="false" customHeight="false" outlineLevel="0" collapsed="false">
      <c r="A124" s="18"/>
      <c r="B124" s="19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4" t="str">
        <f aca="false">IF(COUNTA(I124:L124)=0,"",SUMIFS('3 Hazed Questions'!$E$2:$E$23,'3 Hazed Questions'!$A$2:$A$23,"Q1",'3 Hazed Questions'!$C$2:$C$23,I124)+SUMIFS('3 Hazed Questions'!$E$2:$E$23,'3 Hazed Questions'!$A$2:$A$23,"Q2",'3 Hazed Questions'!$C$2:$C$23,J124)+SUMIFS('3 Hazed Questions'!$E$2:$E$23,'3 Hazed Questions'!$A$2:$A$23,"Q3",'3 Hazed Questions'!$C$2:$C$23,K124)+SUMIFS('3 Hazed Questions'!$E$2:$E$23,'3 Hazed Questions'!$A$2:$A$23,"Q4",'3 Hazed Questions'!$C$2:$C$23,L124))</f>
        <v/>
      </c>
      <c r="O124" s="14" t="str">
        <f aca="false">IF(COUNTA(I124:L124)=0,"",SUMIFS('3 Hazed Questions'!$F$2:$F$23,'3 Hazed Questions'!$A$2:$A$23,"Q1",'3 Hazed Questions'!$C$2:$C$23,I124)+SUMIFS('3 Hazed Questions'!$F$2:$F$23,'3 Hazed Questions'!$A$2:$A$23,"Q2",'3 Hazed Questions'!$C$2:$C$23,J124)+SUMIFS('3 Hazed Questions'!$F$2:$F$23,'3 Hazed Questions'!$A$2:$A$23,"Q3",'3 Hazed Questions'!$C$2:$C$23,K124)+SUMIFS('3 Hazed Questions'!$F$2:$F$23,'3 Hazed Questions'!$A$2:$A$23,"Q4",'3 Hazed Questions'!$C$2:$C$23,L124))</f>
        <v/>
      </c>
      <c r="P124" s="14" t="str">
        <f aca="false">IF(COUNTA(I124:L124)=0,"",SUMIFS('3 Hazed Questions'!$G$2:$G$23,'3 Hazed Questions'!$A$2:$A$23,"Q1",'3 Hazed Questions'!$C$2:$C$23,I124)+SUMIFS('3 Hazed Questions'!$G$2:$G$23,'3 Hazed Questions'!$A$2:$A$23,"Q2",'3 Hazed Questions'!$C$2:$C$23,J124)+SUMIFS('3 Hazed Questions'!$G$2:$G$23,'3 Hazed Questions'!$A$2:$A$23,"Q3",'3 Hazed Questions'!$C$2:$C$23,K124)+SUMIFS('3 Hazed Questions'!$G$2:$G$23,'3 Hazed Questions'!$A$2:$A$23,"Q4",'3 Hazed Questions'!$C$2:$C$23,L124))</f>
        <v/>
      </c>
      <c r="Q124" s="14" t="str">
        <f aca="false">IF(COUNTA(I124:L124)=0,"",SUMIFS('3 Hazed Questions'!$H$2:$H$23,'3 Hazed Questions'!$A$2:$A$23,"Q1",'3 Hazed Questions'!$C$2:$C$23,I124)+SUMIFS('3 Hazed Questions'!$H$2:$H$23,'3 Hazed Questions'!$A$2:$A$23,"Q2",'3 Hazed Questions'!$C$2:$C$23,J124)+SUMIFS('3 Hazed Questions'!$H$2:$H$23,'3 Hazed Questions'!$A$2:$A$23,"Q3",'3 Hazed Questions'!$C$2:$C$23,K124)+SUMIFS('3 Hazed Questions'!$H$2:$H$23,'3 Hazed Questions'!$A$2:$A$23,"Q4",'3 Hazed Questions'!$C$2:$C$23,L124))</f>
        <v/>
      </c>
      <c r="R124" s="14" t="str">
        <f aca="false">IF(COUNTA(I124:L124)=0,"",SUMIFS('3 Hazed Questions'!$I$2:$I$23,'3 Hazed Questions'!$A$2:$A$23,"Q1",'3 Hazed Questions'!$C$2:$C$23,I124)+SUMIFS('3 Hazed Questions'!$I$2:$I$23,'3 Hazed Questions'!$A$2:$A$23,"Q2",'3 Hazed Questions'!$C$2:$C$23,J124)+SUMIFS('3 Hazed Questions'!$I$2:$I$23,'3 Hazed Questions'!$A$2:$A$23,"Q3",'3 Hazed Questions'!$C$2:$C$23,K124)+SUMIFS('3 Hazed Questions'!$I$2:$I$23,'3 Hazed Questions'!$A$2:$A$23,"Q4",'3 Hazed Questions'!$C$2:$C$23,L124))</f>
        <v/>
      </c>
      <c r="S124" s="14" t="str">
        <f aca="false">IF(COUNTA(I124:L124)=0,"",SUMIFS('3 Hazed Questions'!$J$2:$J$23,'3 Hazed Questions'!$A$2:$A$23,"Q1",'3 Hazed Questions'!$C$2:$C$23,I124)+SUMIFS('3 Hazed Questions'!$J$2:$J$23,'3 Hazed Questions'!$A$2:$A$23,"Q2",'3 Hazed Questions'!$C$2:$C$23,J124)+SUMIFS('3 Hazed Questions'!$J$2:$J$23,'3 Hazed Questions'!$A$2:$A$23,"Q3",'3 Hazed Questions'!$C$2:$C$23,K124)+SUMIFS('3 Hazed Questions'!$J$2:$J$23,'3 Hazed Questions'!$A$2:$A$23,"Q4",'3 Hazed Questions'!$C$2:$C$23,L124))</f>
        <v/>
      </c>
      <c r="T124" s="14" t="str">
        <f aca="false">IF(COUNTA(I124:L124)=0,"",SUMIFS('3 Hazed Questions'!$K$2:$K$23,'3 Hazed Questions'!$A$2:$A$23,"Q1",'3 Hazed Questions'!$C$2:$C$23,I124)+SUMIFS('3 Hazed Questions'!$K$2:$K$23,'3 Hazed Questions'!$A$2:$A$23,"Q2",'3 Hazed Questions'!$C$2:$C$23,J124)+SUMIFS('3 Hazed Questions'!$K$2:$K$23,'3 Hazed Questions'!$A$2:$A$23,"Q3",'3 Hazed Questions'!$C$2:$C$23,K124)+SUMIFS('3 Hazed Questions'!$K$2:$K$23,'3 Hazed Questions'!$A$2:$A$23,"Q4",'3 Hazed Questions'!$C$2:$C$23,L124))</f>
        <v/>
      </c>
      <c r="U124" s="14" t="str">
        <f aca="false">IF(COUNTA(I124:L124)=0,"",SUMIFS('3 Hazed Questions'!$L$2:$L$23,'3 Hazed Questions'!$A$2:$A$23,"Q1",'3 Hazed Questions'!$C$2:$C$23,I124)+SUMIFS('3 Hazed Questions'!$L$2:$L$23,'3 Hazed Questions'!$A$2:$A$23,"Q2",'3 Hazed Questions'!$C$2:$C$23,J124)+SUMIFS('3 Hazed Questions'!$L$2:$L$23,'3 Hazed Questions'!$A$2:$A$23,"Q3",'3 Hazed Questions'!$C$2:$C$23,K124)+SUMIFS('3 Hazed Questions'!$L$2:$L$23,'3 Hazed Questions'!$A$2:$A$23,"Q4",'3 Hazed Questions'!$C$2:$C$23,L124))</f>
        <v/>
      </c>
      <c r="V124" s="14" t="str">
        <f aca="false">IF(COUNTA(I124:L124)=0,"",SUMIFS('3 Hazed Questions'!$M$2:$M$23,'3 Hazed Questions'!$A$2:$A$23,"Q1",'3 Hazed Questions'!$C$2:$C$23,I124)+SUMIFS('3 Hazed Questions'!$M$2:$M$23,'3 Hazed Questions'!$A$2:$A$23,"Q2",'3 Hazed Questions'!$C$2:$C$23,J124)+SUMIFS('3 Hazed Questions'!$M$2:$M$23,'3 Hazed Questions'!$A$2:$A$23,"Q3",'3 Hazed Questions'!$C$2:$C$23,K124)+SUMIFS('3 Hazed Questions'!$M$2:$M$23,'3 Hazed Questions'!$A$2:$A$23,"Q4",'3 Hazed Questions'!$C$2:$C$23,L124))</f>
        <v/>
      </c>
      <c r="W124" s="14" t="str">
        <f aca="false">IF(COUNTA(I124:L124)=0,"",SUMIFS('3 Hazed Questions'!$N$2:$N$23,'3 Hazed Questions'!$A$2:$A$23,"Q1",'3 Hazed Questions'!$C$2:$C$23,I124)+SUMIFS('3 Hazed Questions'!$N$2:$N$23,'3 Hazed Questions'!$A$2:$A$23,"Q2",'3 Hazed Questions'!$C$2:$C$23,J124)+SUMIFS('3 Hazed Questions'!$N$2:$N$23,'3 Hazed Questions'!$A$2:$A$23,"Q3",'3 Hazed Questions'!$C$2:$C$23,K124)+SUMIFS('3 Hazed Questions'!$N$2:$N$23,'3 Hazed Questions'!$A$2:$A$23,"Q4",'3 Hazed Questions'!$C$2:$C$23,L124))</f>
        <v/>
      </c>
      <c r="X124" s="14" t="str">
        <f aca="false">IF(COUNTA(I124:L124)=0,"",INDEX(Fields!$B$2:$B$50,MATCH(SUBSTITUTE(INDEX($N$1:$W$1,MATCH(MAX($N124:$W124),$N124:$W124,0)),"Score: ",""),Fields!$A$2:$A$50,0)))</f>
        <v/>
      </c>
      <c r="Y124" s="14" t="str">
        <f aca="true">IF(COUNTA(I124:L124)=0,"",IF(LARGE($N124:$W124,2)=0,"-",INDEX(Fields!$B$2:$B$50,MATCH(SUBSTITUTE(INDEX($N$1:$W$1,IF(LARGE($N124:$W124,2)=MAX($N124:$W124),MATCH(MAX($N124:$W124),OFFSET($N124:$W124,0,MATCH(MAX($N124:$W124),$N124:$W124,0),1,10-MATCH(MAX($N124:$W124),$N124:$W124,0)),0)+MATCH(MAX($N124:$W124),$N124:$W124,0),MATCH(LARGE($N124:$W124,2),$N124:$W124,0))),"Score: ",""),Fields!$A$2:$A$50,0))))</f>
        <v/>
      </c>
      <c r="Z124" s="14" t="str">
        <f aca="false">IF(M124="","",IFERROR(INDEX('3 Hazed Questions'!$O$2:$O$23,MATCH(1,INDEX(('3 Hazed Questions'!$A$2:$A$23="Q5")*('3 Hazed Questions'!$C$2:$C$23=M124),0),0))&amp;"",""))</f>
        <v/>
      </c>
      <c r="AA124" s="18"/>
      <c r="AB124" s="18"/>
      <c r="AC124" s="19"/>
      <c r="AD124" s="19"/>
      <c r="AE124" s="18"/>
      <c r="AF124" s="18"/>
      <c r="AG124" s="18"/>
    </row>
    <row r="125" customFormat="false" ht="15" hidden="false" customHeight="false" outlineLevel="0" collapsed="false">
      <c r="A125" s="18"/>
      <c r="B125" s="19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4" t="str">
        <f aca="false">IF(COUNTA(I125:L125)=0,"",SUMIFS('3 Hazed Questions'!$E$2:$E$23,'3 Hazed Questions'!$A$2:$A$23,"Q1",'3 Hazed Questions'!$C$2:$C$23,I125)+SUMIFS('3 Hazed Questions'!$E$2:$E$23,'3 Hazed Questions'!$A$2:$A$23,"Q2",'3 Hazed Questions'!$C$2:$C$23,J125)+SUMIFS('3 Hazed Questions'!$E$2:$E$23,'3 Hazed Questions'!$A$2:$A$23,"Q3",'3 Hazed Questions'!$C$2:$C$23,K125)+SUMIFS('3 Hazed Questions'!$E$2:$E$23,'3 Hazed Questions'!$A$2:$A$23,"Q4",'3 Hazed Questions'!$C$2:$C$23,L125))</f>
        <v/>
      </c>
      <c r="O125" s="14" t="str">
        <f aca="false">IF(COUNTA(I125:L125)=0,"",SUMIFS('3 Hazed Questions'!$F$2:$F$23,'3 Hazed Questions'!$A$2:$A$23,"Q1",'3 Hazed Questions'!$C$2:$C$23,I125)+SUMIFS('3 Hazed Questions'!$F$2:$F$23,'3 Hazed Questions'!$A$2:$A$23,"Q2",'3 Hazed Questions'!$C$2:$C$23,J125)+SUMIFS('3 Hazed Questions'!$F$2:$F$23,'3 Hazed Questions'!$A$2:$A$23,"Q3",'3 Hazed Questions'!$C$2:$C$23,K125)+SUMIFS('3 Hazed Questions'!$F$2:$F$23,'3 Hazed Questions'!$A$2:$A$23,"Q4",'3 Hazed Questions'!$C$2:$C$23,L125))</f>
        <v/>
      </c>
      <c r="P125" s="14" t="str">
        <f aca="false">IF(COUNTA(I125:L125)=0,"",SUMIFS('3 Hazed Questions'!$G$2:$G$23,'3 Hazed Questions'!$A$2:$A$23,"Q1",'3 Hazed Questions'!$C$2:$C$23,I125)+SUMIFS('3 Hazed Questions'!$G$2:$G$23,'3 Hazed Questions'!$A$2:$A$23,"Q2",'3 Hazed Questions'!$C$2:$C$23,J125)+SUMIFS('3 Hazed Questions'!$G$2:$G$23,'3 Hazed Questions'!$A$2:$A$23,"Q3",'3 Hazed Questions'!$C$2:$C$23,K125)+SUMIFS('3 Hazed Questions'!$G$2:$G$23,'3 Hazed Questions'!$A$2:$A$23,"Q4",'3 Hazed Questions'!$C$2:$C$23,L125))</f>
        <v/>
      </c>
      <c r="Q125" s="14" t="str">
        <f aca="false">IF(COUNTA(I125:L125)=0,"",SUMIFS('3 Hazed Questions'!$H$2:$H$23,'3 Hazed Questions'!$A$2:$A$23,"Q1",'3 Hazed Questions'!$C$2:$C$23,I125)+SUMIFS('3 Hazed Questions'!$H$2:$H$23,'3 Hazed Questions'!$A$2:$A$23,"Q2",'3 Hazed Questions'!$C$2:$C$23,J125)+SUMIFS('3 Hazed Questions'!$H$2:$H$23,'3 Hazed Questions'!$A$2:$A$23,"Q3",'3 Hazed Questions'!$C$2:$C$23,K125)+SUMIFS('3 Hazed Questions'!$H$2:$H$23,'3 Hazed Questions'!$A$2:$A$23,"Q4",'3 Hazed Questions'!$C$2:$C$23,L125))</f>
        <v/>
      </c>
      <c r="R125" s="14" t="str">
        <f aca="false">IF(COUNTA(I125:L125)=0,"",SUMIFS('3 Hazed Questions'!$I$2:$I$23,'3 Hazed Questions'!$A$2:$A$23,"Q1",'3 Hazed Questions'!$C$2:$C$23,I125)+SUMIFS('3 Hazed Questions'!$I$2:$I$23,'3 Hazed Questions'!$A$2:$A$23,"Q2",'3 Hazed Questions'!$C$2:$C$23,J125)+SUMIFS('3 Hazed Questions'!$I$2:$I$23,'3 Hazed Questions'!$A$2:$A$23,"Q3",'3 Hazed Questions'!$C$2:$C$23,K125)+SUMIFS('3 Hazed Questions'!$I$2:$I$23,'3 Hazed Questions'!$A$2:$A$23,"Q4",'3 Hazed Questions'!$C$2:$C$23,L125))</f>
        <v/>
      </c>
      <c r="S125" s="14" t="str">
        <f aca="false">IF(COUNTA(I125:L125)=0,"",SUMIFS('3 Hazed Questions'!$J$2:$J$23,'3 Hazed Questions'!$A$2:$A$23,"Q1",'3 Hazed Questions'!$C$2:$C$23,I125)+SUMIFS('3 Hazed Questions'!$J$2:$J$23,'3 Hazed Questions'!$A$2:$A$23,"Q2",'3 Hazed Questions'!$C$2:$C$23,J125)+SUMIFS('3 Hazed Questions'!$J$2:$J$23,'3 Hazed Questions'!$A$2:$A$23,"Q3",'3 Hazed Questions'!$C$2:$C$23,K125)+SUMIFS('3 Hazed Questions'!$J$2:$J$23,'3 Hazed Questions'!$A$2:$A$23,"Q4",'3 Hazed Questions'!$C$2:$C$23,L125))</f>
        <v/>
      </c>
      <c r="T125" s="14" t="str">
        <f aca="false">IF(COUNTA(I125:L125)=0,"",SUMIFS('3 Hazed Questions'!$K$2:$K$23,'3 Hazed Questions'!$A$2:$A$23,"Q1",'3 Hazed Questions'!$C$2:$C$23,I125)+SUMIFS('3 Hazed Questions'!$K$2:$K$23,'3 Hazed Questions'!$A$2:$A$23,"Q2",'3 Hazed Questions'!$C$2:$C$23,J125)+SUMIFS('3 Hazed Questions'!$K$2:$K$23,'3 Hazed Questions'!$A$2:$A$23,"Q3",'3 Hazed Questions'!$C$2:$C$23,K125)+SUMIFS('3 Hazed Questions'!$K$2:$K$23,'3 Hazed Questions'!$A$2:$A$23,"Q4",'3 Hazed Questions'!$C$2:$C$23,L125))</f>
        <v/>
      </c>
      <c r="U125" s="14" t="str">
        <f aca="false">IF(COUNTA(I125:L125)=0,"",SUMIFS('3 Hazed Questions'!$L$2:$L$23,'3 Hazed Questions'!$A$2:$A$23,"Q1",'3 Hazed Questions'!$C$2:$C$23,I125)+SUMIFS('3 Hazed Questions'!$L$2:$L$23,'3 Hazed Questions'!$A$2:$A$23,"Q2",'3 Hazed Questions'!$C$2:$C$23,J125)+SUMIFS('3 Hazed Questions'!$L$2:$L$23,'3 Hazed Questions'!$A$2:$A$23,"Q3",'3 Hazed Questions'!$C$2:$C$23,K125)+SUMIFS('3 Hazed Questions'!$L$2:$L$23,'3 Hazed Questions'!$A$2:$A$23,"Q4",'3 Hazed Questions'!$C$2:$C$23,L125))</f>
        <v/>
      </c>
      <c r="V125" s="14" t="str">
        <f aca="false">IF(COUNTA(I125:L125)=0,"",SUMIFS('3 Hazed Questions'!$M$2:$M$23,'3 Hazed Questions'!$A$2:$A$23,"Q1",'3 Hazed Questions'!$C$2:$C$23,I125)+SUMIFS('3 Hazed Questions'!$M$2:$M$23,'3 Hazed Questions'!$A$2:$A$23,"Q2",'3 Hazed Questions'!$C$2:$C$23,J125)+SUMIFS('3 Hazed Questions'!$M$2:$M$23,'3 Hazed Questions'!$A$2:$A$23,"Q3",'3 Hazed Questions'!$C$2:$C$23,K125)+SUMIFS('3 Hazed Questions'!$M$2:$M$23,'3 Hazed Questions'!$A$2:$A$23,"Q4",'3 Hazed Questions'!$C$2:$C$23,L125))</f>
        <v/>
      </c>
      <c r="W125" s="14" t="str">
        <f aca="false">IF(COUNTA(I125:L125)=0,"",SUMIFS('3 Hazed Questions'!$N$2:$N$23,'3 Hazed Questions'!$A$2:$A$23,"Q1",'3 Hazed Questions'!$C$2:$C$23,I125)+SUMIFS('3 Hazed Questions'!$N$2:$N$23,'3 Hazed Questions'!$A$2:$A$23,"Q2",'3 Hazed Questions'!$C$2:$C$23,J125)+SUMIFS('3 Hazed Questions'!$N$2:$N$23,'3 Hazed Questions'!$A$2:$A$23,"Q3",'3 Hazed Questions'!$C$2:$C$23,K125)+SUMIFS('3 Hazed Questions'!$N$2:$N$23,'3 Hazed Questions'!$A$2:$A$23,"Q4",'3 Hazed Questions'!$C$2:$C$23,L125))</f>
        <v/>
      </c>
      <c r="X125" s="14" t="str">
        <f aca="false">IF(COUNTA(I125:L125)=0,"",INDEX(Fields!$B$2:$B$50,MATCH(SUBSTITUTE(INDEX($N$1:$W$1,MATCH(MAX($N125:$W125),$N125:$W125,0)),"Score: ",""),Fields!$A$2:$A$50,0)))</f>
        <v/>
      </c>
      <c r="Y125" s="14" t="str">
        <f aca="true">IF(COUNTA(I125:L125)=0,"",IF(LARGE($N125:$W125,2)=0,"-",INDEX(Fields!$B$2:$B$50,MATCH(SUBSTITUTE(INDEX($N$1:$W$1,IF(LARGE($N125:$W125,2)=MAX($N125:$W125),MATCH(MAX($N125:$W125),OFFSET($N125:$W125,0,MATCH(MAX($N125:$W125),$N125:$W125,0),1,10-MATCH(MAX($N125:$W125),$N125:$W125,0)),0)+MATCH(MAX($N125:$W125),$N125:$W125,0),MATCH(LARGE($N125:$W125,2),$N125:$W125,0))),"Score: ",""),Fields!$A$2:$A$50,0))))</f>
        <v/>
      </c>
      <c r="Z125" s="14" t="str">
        <f aca="false">IF(M125="","",IFERROR(INDEX('3 Hazed Questions'!$O$2:$O$23,MATCH(1,INDEX(('3 Hazed Questions'!$A$2:$A$23="Q5")*('3 Hazed Questions'!$C$2:$C$23=M125),0),0))&amp;"",""))</f>
        <v/>
      </c>
      <c r="AA125" s="18"/>
      <c r="AB125" s="18"/>
      <c r="AC125" s="19"/>
      <c r="AD125" s="19"/>
      <c r="AE125" s="18"/>
      <c r="AF125" s="18"/>
      <c r="AG125" s="18"/>
    </row>
    <row r="126" customFormat="false" ht="15" hidden="false" customHeight="false" outlineLevel="0" collapsed="false">
      <c r="A126" s="18"/>
      <c r="B126" s="19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4" t="str">
        <f aca="false">IF(COUNTA(I126:L126)=0,"",SUMIFS('3 Hazed Questions'!$E$2:$E$23,'3 Hazed Questions'!$A$2:$A$23,"Q1",'3 Hazed Questions'!$C$2:$C$23,I126)+SUMIFS('3 Hazed Questions'!$E$2:$E$23,'3 Hazed Questions'!$A$2:$A$23,"Q2",'3 Hazed Questions'!$C$2:$C$23,J126)+SUMIFS('3 Hazed Questions'!$E$2:$E$23,'3 Hazed Questions'!$A$2:$A$23,"Q3",'3 Hazed Questions'!$C$2:$C$23,K126)+SUMIFS('3 Hazed Questions'!$E$2:$E$23,'3 Hazed Questions'!$A$2:$A$23,"Q4",'3 Hazed Questions'!$C$2:$C$23,L126))</f>
        <v/>
      </c>
      <c r="O126" s="14" t="str">
        <f aca="false">IF(COUNTA(I126:L126)=0,"",SUMIFS('3 Hazed Questions'!$F$2:$F$23,'3 Hazed Questions'!$A$2:$A$23,"Q1",'3 Hazed Questions'!$C$2:$C$23,I126)+SUMIFS('3 Hazed Questions'!$F$2:$F$23,'3 Hazed Questions'!$A$2:$A$23,"Q2",'3 Hazed Questions'!$C$2:$C$23,J126)+SUMIFS('3 Hazed Questions'!$F$2:$F$23,'3 Hazed Questions'!$A$2:$A$23,"Q3",'3 Hazed Questions'!$C$2:$C$23,K126)+SUMIFS('3 Hazed Questions'!$F$2:$F$23,'3 Hazed Questions'!$A$2:$A$23,"Q4",'3 Hazed Questions'!$C$2:$C$23,L126))</f>
        <v/>
      </c>
      <c r="P126" s="14" t="str">
        <f aca="false">IF(COUNTA(I126:L126)=0,"",SUMIFS('3 Hazed Questions'!$G$2:$G$23,'3 Hazed Questions'!$A$2:$A$23,"Q1",'3 Hazed Questions'!$C$2:$C$23,I126)+SUMIFS('3 Hazed Questions'!$G$2:$G$23,'3 Hazed Questions'!$A$2:$A$23,"Q2",'3 Hazed Questions'!$C$2:$C$23,J126)+SUMIFS('3 Hazed Questions'!$G$2:$G$23,'3 Hazed Questions'!$A$2:$A$23,"Q3",'3 Hazed Questions'!$C$2:$C$23,K126)+SUMIFS('3 Hazed Questions'!$G$2:$G$23,'3 Hazed Questions'!$A$2:$A$23,"Q4",'3 Hazed Questions'!$C$2:$C$23,L126))</f>
        <v/>
      </c>
      <c r="Q126" s="14" t="str">
        <f aca="false">IF(COUNTA(I126:L126)=0,"",SUMIFS('3 Hazed Questions'!$H$2:$H$23,'3 Hazed Questions'!$A$2:$A$23,"Q1",'3 Hazed Questions'!$C$2:$C$23,I126)+SUMIFS('3 Hazed Questions'!$H$2:$H$23,'3 Hazed Questions'!$A$2:$A$23,"Q2",'3 Hazed Questions'!$C$2:$C$23,J126)+SUMIFS('3 Hazed Questions'!$H$2:$H$23,'3 Hazed Questions'!$A$2:$A$23,"Q3",'3 Hazed Questions'!$C$2:$C$23,K126)+SUMIFS('3 Hazed Questions'!$H$2:$H$23,'3 Hazed Questions'!$A$2:$A$23,"Q4",'3 Hazed Questions'!$C$2:$C$23,L126))</f>
        <v/>
      </c>
      <c r="R126" s="14" t="str">
        <f aca="false">IF(COUNTA(I126:L126)=0,"",SUMIFS('3 Hazed Questions'!$I$2:$I$23,'3 Hazed Questions'!$A$2:$A$23,"Q1",'3 Hazed Questions'!$C$2:$C$23,I126)+SUMIFS('3 Hazed Questions'!$I$2:$I$23,'3 Hazed Questions'!$A$2:$A$23,"Q2",'3 Hazed Questions'!$C$2:$C$23,J126)+SUMIFS('3 Hazed Questions'!$I$2:$I$23,'3 Hazed Questions'!$A$2:$A$23,"Q3",'3 Hazed Questions'!$C$2:$C$23,K126)+SUMIFS('3 Hazed Questions'!$I$2:$I$23,'3 Hazed Questions'!$A$2:$A$23,"Q4",'3 Hazed Questions'!$C$2:$C$23,L126))</f>
        <v/>
      </c>
      <c r="S126" s="14" t="str">
        <f aca="false">IF(COUNTA(I126:L126)=0,"",SUMIFS('3 Hazed Questions'!$J$2:$J$23,'3 Hazed Questions'!$A$2:$A$23,"Q1",'3 Hazed Questions'!$C$2:$C$23,I126)+SUMIFS('3 Hazed Questions'!$J$2:$J$23,'3 Hazed Questions'!$A$2:$A$23,"Q2",'3 Hazed Questions'!$C$2:$C$23,J126)+SUMIFS('3 Hazed Questions'!$J$2:$J$23,'3 Hazed Questions'!$A$2:$A$23,"Q3",'3 Hazed Questions'!$C$2:$C$23,K126)+SUMIFS('3 Hazed Questions'!$J$2:$J$23,'3 Hazed Questions'!$A$2:$A$23,"Q4",'3 Hazed Questions'!$C$2:$C$23,L126))</f>
        <v/>
      </c>
      <c r="T126" s="14" t="str">
        <f aca="false">IF(COUNTA(I126:L126)=0,"",SUMIFS('3 Hazed Questions'!$K$2:$K$23,'3 Hazed Questions'!$A$2:$A$23,"Q1",'3 Hazed Questions'!$C$2:$C$23,I126)+SUMIFS('3 Hazed Questions'!$K$2:$K$23,'3 Hazed Questions'!$A$2:$A$23,"Q2",'3 Hazed Questions'!$C$2:$C$23,J126)+SUMIFS('3 Hazed Questions'!$K$2:$K$23,'3 Hazed Questions'!$A$2:$A$23,"Q3",'3 Hazed Questions'!$C$2:$C$23,K126)+SUMIFS('3 Hazed Questions'!$K$2:$K$23,'3 Hazed Questions'!$A$2:$A$23,"Q4",'3 Hazed Questions'!$C$2:$C$23,L126))</f>
        <v/>
      </c>
      <c r="U126" s="14" t="str">
        <f aca="false">IF(COUNTA(I126:L126)=0,"",SUMIFS('3 Hazed Questions'!$L$2:$L$23,'3 Hazed Questions'!$A$2:$A$23,"Q1",'3 Hazed Questions'!$C$2:$C$23,I126)+SUMIFS('3 Hazed Questions'!$L$2:$L$23,'3 Hazed Questions'!$A$2:$A$23,"Q2",'3 Hazed Questions'!$C$2:$C$23,J126)+SUMIFS('3 Hazed Questions'!$L$2:$L$23,'3 Hazed Questions'!$A$2:$A$23,"Q3",'3 Hazed Questions'!$C$2:$C$23,K126)+SUMIFS('3 Hazed Questions'!$L$2:$L$23,'3 Hazed Questions'!$A$2:$A$23,"Q4",'3 Hazed Questions'!$C$2:$C$23,L126))</f>
        <v/>
      </c>
      <c r="V126" s="14" t="str">
        <f aca="false">IF(COUNTA(I126:L126)=0,"",SUMIFS('3 Hazed Questions'!$M$2:$M$23,'3 Hazed Questions'!$A$2:$A$23,"Q1",'3 Hazed Questions'!$C$2:$C$23,I126)+SUMIFS('3 Hazed Questions'!$M$2:$M$23,'3 Hazed Questions'!$A$2:$A$23,"Q2",'3 Hazed Questions'!$C$2:$C$23,J126)+SUMIFS('3 Hazed Questions'!$M$2:$M$23,'3 Hazed Questions'!$A$2:$A$23,"Q3",'3 Hazed Questions'!$C$2:$C$23,K126)+SUMIFS('3 Hazed Questions'!$M$2:$M$23,'3 Hazed Questions'!$A$2:$A$23,"Q4",'3 Hazed Questions'!$C$2:$C$23,L126))</f>
        <v/>
      </c>
      <c r="W126" s="14" t="str">
        <f aca="false">IF(COUNTA(I126:L126)=0,"",SUMIFS('3 Hazed Questions'!$N$2:$N$23,'3 Hazed Questions'!$A$2:$A$23,"Q1",'3 Hazed Questions'!$C$2:$C$23,I126)+SUMIFS('3 Hazed Questions'!$N$2:$N$23,'3 Hazed Questions'!$A$2:$A$23,"Q2",'3 Hazed Questions'!$C$2:$C$23,J126)+SUMIFS('3 Hazed Questions'!$N$2:$N$23,'3 Hazed Questions'!$A$2:$A$23,"Q3",'3 Hazed Questions'!$C$2:$C$23,K126)+SUMIFS('3 Hazed Questions'!$N$2:$N$23,'3 Hazed Questions'!$A$2:$A$23,"Q4",'3 Hazed Questions'!$C$2:$C$23,L126))</f>
        <v/>
      </c>
      <c r="X126" s="14" t="str">
        <f aca="false">IF(COUNTA(I126:L126)=0,"",INDEX(Fields!$B$2:$B$50,MATCH(SUBSTITUTE(INDEX($N$1:$W$1,MATCH(MAX($N126:$W126),$N126:$W126,0)),"Score: ",""),Fields!$A$2:$A$50,0)))</f>
        <v/>
      </c>
      <c r="Y126" s="14" t="str">
        <f aca="true">IF(COUNTA(I126:L126)=0,"",IF(LARGE($N126:$W126,2)=0,"-",INDEX(Fields!$B$2:$B$50,MATCH(SUBSTITUTE(INDEX($N$1:$W$1,IF(LARGE($N126:$W126,2)=MAX($N126:$W126),MATCH(MAX($N126:$W126),OFFSET($N126:$W126,0,MATCH(MAX($N126:$W126),$N126:$W126,0),1,10-MATCH(MAX($N126:$W126),$N126:$W126,0)),0)+MATCH(MAX($N126:$W126),$N126:$W126,0),MATCH(LARGE($N126:$W126,2),$N126:$W126,0))),"Score: ",""),Fields!$A$2:$A$50,0))))</f>
        <v/>
      </c>
      <c r="Z126" s="14" t="str">
        <f aca="false">IF(M126="","",IFERROR(INDEX('3 Hazed Questions'!$O$2:$O$23,MATCH(1,INDEX(('3 Hazed Questions'!$A$2:$A$23="Q5")*('3 Hazed Questions'!$C$2:$C$23=M126),0),0))&amp;"",""))</f>
        <v/>
      </c>
      <c r="AA126" s="18"/>
      <c r="AB126" s="18"/>
      <c r="AC126" s="19"/>
      <c r="AD126" s="19"/>
      <c r="AE126" s="18"/>
      <c r="AF126" s="18"/>
      <c r="AG126" s="18"/>
    </row>
    <row r="127" customFormat="false" ht="15" hidden="false" customHeight="false" outlineLevel="0" collapsed="false">
      <c r="A127" s="18"/>
      <c r="B127" s="19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4" t="str">
        <f aca="false">IF(COUNTA(I127:L127)=0,"",SUMIFS('3 Hazed Questions'!$E$2:$E$23,'3 Hazed Questions'!$A$2:$A$23,"Q1",'3 Hazed Questions'!$C$2:$C$23,I127)+SUMIFS('3 Hazed Questions'!$E$2:$E$23,'3 Hazed Questions'!$A$2:$A$23,"Q2",'3 Hazed Questions'!$C$2:$C$23,J127)+SUMIFS('3 Hazed Questions'!$E$2:$E$23,'3 Hazed Questions'!$A$2:$A$23,"Q3",'3 Hazed Questions'!$C$2:$C$23,K127)+SUMIFS('3 Hazed Questions'!$E$2:$E$23,'3 Hazed Questions'!$A$2:$A$23,"Q4",'3 Hazed Questions'!$C$2:$C$23,L127))</f>
        <v/>
      </c>
      <c r="O127" s="14" t="str">
        <f aca="false">IF(COUNTA(I127:L127)=0,"",SUMIFS('3 Hazed Questions'!$F$2:$F$23,'3 Hazed Questions'!$A$2:$A$23,"Q1",'3 Hazed Questions'!$C$2:$C$23,I127)+SUMIFS('3 Hazed Questions'!$F$2:$F$23,'3 Hazed Questions'!$A$2:$A$23,"Q2",'3 Hazed Questions'!$C$2:$C$23,J127)+SUMIFS('3 Hazed Questions'!$F$2:$F$23,'3 Hazed Questions'!$A$2:$A$23,"Q3",'3 Hazed Questions'!$C$2:$C$23,K127)+SUMIFS('3 Hazed Questions'!$F$2:$F$23,'3 Hazed Questions'!$A$2:$A$23,"Q4",'3 Hazed Questions'!$C$2:$C$23,L127))</f>
        <v/>
      </c>
      <c r="P127" s="14" t="str">
        <f aca="false">IF(COUNTA(I127:L127)=0,"",SUMIFS('3 Hazed Questions'!$G$2:$G$23,'3 Hazed Questions'!$A$2:$A$23,"Q1",'3 Hazed Questions'!$C$2:$C$23,I127)+SUMIFS('3 Hazed Questions'!$G$2:$G$23,'3 Hazed Questions'!$A$2:$A$23,"Q2",'3 Hazed Questions'!$C$2:$C$23,J127)+SUMIFS('3 Hazed Questions'!$G$2:$G$23,'3 Hazed Questions'!$A$2:$A$23,"Q3",'3 Hazed Questions'!$C$2:$C$23,K127)+SUMIFS('3 Hazed Questions'!$G$2:$G$23,'3 Hazed Questions'!$A$2:$A$23,"Q4",'3 Hazed Questions'!$C$2:$C$23,L127))</f>
        <v/>
      </c>
      <c r="Q127" s="14" t="str">
        <f aca="false">IF(COUNTA(I127:L127)=0,"",SUMIFS('3 Hazed Questions'!$H$2:$H$23,'3 Hazed Questions'!$A$2:$A$23,"Q1",'3 Hazed Questions'!$C$2:$C$23,I127)+SUMIFS('3 Hazed Questions'!$H$2:$H$23,'3 Hazed Questions'!$A$2:$A$23,"Q2",'3 Hazed Questions'!$C$2:$C$23,J127)+SUMIFS('3 Hazed Questions'!$H$2:$H$23,'3 Hazed Questions'!$A$2:$A$23,"Q3",'3 Hazed Questions'!$C$2:$C$23,K127)+SUMIFS('3 Hazed Questions'!$H$2:$H$23,'3 Hazed Questions'!$A$2:$A$23,"Q4",'3 Hazed Questions'!$C$2:$C$23,L127))</f>
        <v/>
      </c>
      <c r="R127" s="14" t="str">
        <f aca="false">IF(COUNTA(I127:L127)=0,"",SUMIFS('3 Hazed Questions'!$I$2:$I$23,'3 Hazed Questions'!$A$2:$A$23,"Q1",'3 Hazed Questions'!$C$2:$C$23,I127)+SUMIFS('3 Hazed Questions'!$I$2:$I$23,'3 Hazed Questions'!$A$2:$A$23,"Q2",'3 Hazed Questions'!$C$2:$C$23,J127)+SUMIFS('3 Hazed Questions'!$I$2:$I$23,'3 Hazed Questions'!$A$2:$A$23,"Q3",'3 Hazed Questions'!$C$2:$C$23,K127)+SUMIFS('3 Hazed Questions'!$I$2:$I$23,'3 Hazed Questions'!$A$2:$A$23,"Q4",'3 Hazed Questions'!$C$2:$C$23,L127))</f>
        <v/>
      </c>
      <c r="S127" s="14" t="str">
        <f aca="false">IF(COUNTA(I127:L127)=0,"",SUMIFS('3 Hazed Questions'!$J$2:$J$23,'3 Hazed Questions'!$A$2:$A$23,"Q1",'3 Hazed Questions'!$C$2:$C$23,I127)+SUMIFS('3 Hazed Questions'!$J$2:$J$23,'3 Hazed Questions'!$A$2:$A$23,"Q2",'3 Hazed Questions'!$C$2:$C$23,J127)+SUMIFS('3 Hazed Questions'!$J$2:$J$23,'3 Hazed Questions'!$A$2:$A$23,"Q3",'3 Hazed Questions'!$C$2:$C$23,K127)+SUMIFS('3 Hazed Questions'!$J$2:$J$23,'3 Hazed Questions'!$A$2:$A$23,"Q4",'3 Hazed Questions'!$C$2:$C$23,L127))</f>
        <v/>
      </c>
      <c r="T127" s="14" t="str">
        <f aca="false">IF(COUNTA(I127:L127)=0,"",SUMIFS('3 Hazed Questions'!$K$2:$K$23,'3 Hazed Questions'!$A$2:$A$23,"Q1",'3 Hazed Questions'!$C$2:$C$23,I127)+SUMIFS('3 Hazed Questions'!$K$2:$K$23,'3 Hazed Questions'!$A$2:$A$23,"Q2",'3 Hazed Questions'!$C$2:$C$23,J127)+SUMIFS('3 Hazed Questions'!$K$2:$K$23,'3 Hazed Questions'!$A$2:$A$23,"Q3",'3 Hazed Questions'!$C$2:$C$23,K127)+SUMIFS('3 Hazed Questions'!$K$2:$K$23,'3 Hazed Questions'!$A$2:$A$23,"Q4",'3 Hazed Questions'!$C$2:$C$23,L127))</f>
        <v/>
      </c>
      <c r="U127" s="14" t="str">
        <f aca="false">IF(COUNTA(I127:L127)=0,"",SUMIFS('3 Hazed Questions'!$L$2:$L$23,'3 Hazed Questions'!$A$2:$A$23,"Q1",'3 Hazed Questions'!$C$2:$C$23,I127)+SUMIFS('3 Hazed Questions'!$L$2:$L$23,'3 Hazed Questions'!$A$2:$A$23,"Q2",'3 Hazed Questions'!$C$2:$C$23,J127)+SUMIFS('3 Hazed Questions'!$L$2:$L$23,'3 Hazed Questions'!$A$2:$A$23,"Q3",'3 Hazed Questions'!$C$2:$C$23,K127)+SUMIFS('3 Hazed Questions'!$L$2:$L$23,'3 Hazed Questions'!$A$2:$A$23,"Q4",'3 Hazed Questions'!$C$2:$C$23,L127))</f>
        <v/>
      </c>
      <c r="V127" s="14" t="str">
        <f aca="false">IF(COUNTA(I127:L127)=0,"",SUMIFS('3 Hazed Questions'!$M$2:$M$23,'3 Hazed Questions'!$A$2:$A$23,"Q1",'3 Hazed Questions'!$C$2:$C$23,I127)+SUMIFS('3 Hazed Questions'!$M$2:$M$23,'3 Hazed Questions'!$A$2:$A$23,"Q2",'3 Hazed Questions'!$C$2:$C$23,J127)+SUMIFS('3 Hazed Questions'!$M$2:$M$23,'3 Hazed Questions'!$A$2:$A$23,"Q3",'3 Hazed Questions'!$C$2:$C$23,K127)+SUMIFS('3 Hazed Questions'!$M$2:$M$23,'3 Hazed Questions'!$A$2:$A$23,"Q4",'3 Hazed Questions'!$C$2:$C$23,L127))</f>
        <v/>
      </c>
      <c r="W127" s="14" t="str">
        <f aca="false">IF(COUNTA(I127:L127)=0,"",SUMIFS('3 Hazed Questions'!$N$2:$N$23,'3 Hazed Questions'!$A$2:$A$23,"Q1",'3 Hazed Questions'!$C$2:$C$23,I127)+SUMIFS('3 Hazed Questions'!$N$2:$N$23,'3 Hazed Questions'!$A$2:$A$23,"Q2",'3 Hazed Questions'!$C$2:$C$23,J127)+SUMIFS('3 Hazed Questions'!$N$2:$N$23,'3 Hazed Questions'!$A$2:$A$23,"Q3",'3 Hazed Questions'!$C$2:$C$23,K127)+SUMIFS('3 Hazed Questions'!$N$2:$N$23,'3 Hazed Questions'!$A$2:$A$23,"Q4",'3 Hazed Questions'!$C$2:$C$23,L127))</f>
        <v/>
      </c>
      <c r="X127" s="14" t="str">
        <f aca="false">IF(COUNTA(I127:L127)=0,"",INDEX(Fields!$B$2:$B$50,MATCH(SUBSTITUTE(INDEX($N$1:$W$1,MATCH(MAX($N127:$W127),$N127:$W127,0)),"Score: ",""),Fields!$A$2:$A$50,0)))</f>
        <v/>
      </c>
      <c r="Y127" s="14" t="str">
        <f aca="true">IF(COUNTA(I127:L127)=0,"",IF(LARGE($N127:$W127,2)=0,"-",INDEX(Fields!$B$2:$B$50,MATCH(SUBSTITUTE(INDEX($N$1:$W$1,IF(LARGE($N127:$W127,2)=MAX($N127:$W127),MATCH(MAX($N127:$W127),OFFSET($N127:$W127,0,MATCH(MAX($N127:$W127),$N127:$W127,0),1,10-MATCH(MAX($N127:$W127),$N127:$W127,0)),0)+MATCH(MAX($N127:$W127),$N127:$W127,0),MATCH(LARGE($N127:$W127,2),$N127:$W127,0))),"Score: ",""),Fields!$A$2:$A$50,0))))</f>
        <v/>
      </c>
      <c r="Z127" s="14" t="str">
        <f aca="false">IF(M127="","",IFERROR(INDEX('3 Hazed Questions'!$O$2:$O$23,MATCH(1,INDEX(('3 Hazed Questions'!$A$2:$A$23="Q5")*('3 Hazed Questions'!$C$2:$C$23=M127),0),0))&amp;"",""))</f>
        <v/>
      </c>
      <c r="AA127" s="18"/>
      <c r="AB127" s="18"/>
      <c r="AC127" s="19"/>
      <c r="AD127" s="19"/>
      <c r="AE127" s="18"/>
      <c r="AF127" s="18"/>
      <c r="AG127" s="18"/>
    </row>
    <row r="128" customFormat="false" ht="15" hidden="false" customHeight="false" outlineLevel="0" collapsed="false">
      <c r="A128" s="18"/>
      <c r="B128" s="19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4" t="str">
        <f aca="false">IF(COUNTA(I128:L128)=0,"",SUMIFS('3 Hazed Questions'!$E$2:$E$23,'3 Hazed Questions'!$A$2:$A$23,"Q1",'3 Hazed Questions'!$C$2:$C$23,I128)+SUMIFS('3 Hazed Questions'!$E$2:$E$23,'3 Hazed Questions'!$A$2:$A$23,"Q2",'3 Hazed Questions'!$C$2:$C$23,J128)+SUMIFS('3 Hazed Questions'!$E$2:$E$23,'3 Hazed Questions'!$A$2:$A$23,"Q3",'3 Hazed Questions'!$C$2:$C$23,K128)+SUMIFS('3 Hazed Questions'!$E$2:$E$23,'3 Hazed Questions'!$A$2:$A$23,"Q4",'3 Hazed Questions'!$C$2:$C$23,L128))</f>
        <v/>
      </c>
      <c r="O128" s="14" t="str">
        <f aca="false">IF(COUNTA(I128:L128)=0,"",SUMIFS('3 Hazed Questions'!$F$2:$F$23,'3 Hazed Questions'!$A$2:$A$23,"Q1",'3 Hazed Questions'!$C$2:$C$23,I128)+SUMIFS('3 Hazed Questions'!$F$2:$F$23,'3 Hazed Questions'!$A$2:$A$23,"Q2",'3 Hazed Questions'!$C$2:$C$23,J128)+SUMIFS('3 Hazed Questions'!$F$2:$F$23,'3 Hazed Questions'!$A$2:$A$23,"Q3",'3 Hazed Questions'!$C$2:$C$23,K128)+SUMIFS('3 Hazed Questions'!$F$2:$F$23,'3 Hazed Questions'!$A$2:$A$23,"Q4",'3 Hazed Questions'!$C$2:$C$23,L128))</f>
        <v/>
      </c>
      <c r="P128" s="14" t="str">
        <f aca="false">IF(COUNTA(I128:L128)=0,"",SUMIFS('3 Hazed Questions'!$G$2:$G$23,'3 Hazed Questions'!$A$2:$A$23,"Q1",'3 Hazed Questions'!$C$2:$C$23,I128)+SUMIFS('3 Hazed Questions'!$G$2:$G$23,'3 Hazed Questions'!$A$2:$A$23,"Q2",'3 Hazed Questions'!$C$2:$C$23,J128)+SUMIFS('3 Hazed Questions'!$G$2:$G$23,'3 Hazed Questions'!$A$2:$A$23,"Q3",'3 Hazed Questions'!$C$2:$C$23,K128)+SUMIFS('3 Hazed Questions'!$G$2:$G$23,'3 Hazed Questions'!$A$2:$A$23,"Q4",'3 Hazed Questions'!$C$2:$C$23,L128))</f>
        <v/>
      </c>
      <c r="Q128" s="14" t="str">
        <f aca="false">IF(COUNTA(I128:L128)=0,"",SUMIFS('3 Hazed Questions'!$H$2:$H$23,'3 Hazed Questions'!$A$2:$A$23,"Q1",'3 Hazed Questions'!$C$2:$C$23,I128)+SUMIFS('3 Hazed Questions'!$H$2:$H$23,'3 Hazed Questions'!$A$2:$A$23,"Q2",'3 Hazed Questions'!$C$2:$C$23,J128)+SUMIFS('3 Hazed Questions'!$H$2:$H$23,'3 Hazed Questions'!$A$2:$A$23,"Q3",'3 Hazed Questions'!$C$2:$C$23,K128)+SUMIFS('3 Hazed Questions'!$H$2:$H$23,'3 Hazed Questions'!$A$2:$A$23,"Q4",'3 Hazed Questions'!$C$2:$C$23,L128))</f>
        <v/>
      </c>
      <c r="R128" s="14" t="str">
        <f aca="false">IF(COUNTA(I128:L128)=0,"",SUMIFS('3 Hazed Questions'!$I$2:$I$23,'3 Hazed Questions'!$A$2:$A$23,"Q1",'3 Hazed Questions'!$C$2:$C$23,I128)+SUMIFS('3 Hazed Questions'!$I$2:$I$23,'3 Hazed Questions'!$A$2:$A$23,"Q2",'3 Hazed Questions'!$C$2:$C$23,J128)+SUMIFS('3 Hazed Questions'!$I$2:$I$23,'3 Hazed Questions'!$A$2:$A$23,"Q3",'3 Hazed Questions'!$C$2:$C$23,K128)+SUMIFS('3 Hazed Questions'!$I$2:$I$23,'3 Hazed Questions'!$A$2:$A$23,"Q4",'3 Hazed Questions'!$C$2:$C$23,L128))</f>
        <v/>
      </c>
      <c r="S128" s="14" t="str">
        <f aca="false">IF(COUNTA(I128:L128)=0,"",SUMIFS('3 Hazed Questions'!$J$2:$J$23,'3 Hazed Questions'!$A$2:$A$23,"Q1",'3 Hazed Questions'!$C$2:$C$23,I128)+SUMIFS('3 Hazed Questions'!$J$2:$J$23,'3 Hazed Questions'!$A$2:$A$23,"Q2",'3 Hazed Questions'!$C$2:$C$23,J128)+SUMIFS('3 Hazed Questions'!$J$2:$J$23,'3 Hazed Questions'!$A$2:$A$23,"Q3",'3 Hazed Questions'!$C$2:$C$23,K128)+SUMIFS('3 Hazed Questions'!$J$2:$J$23,'3 Hazed Questions'!$A$2:$A$23,"Q4",'3 Hazed Questions'!$C$2:$C$23,L128))</f>
        <v/>
      </c>
      <c r="T128" s="14" t="str">
        <f aca="false">IF(COUNTA(I128:L128)=0,"",SUMIFS('3 Hazed Questions'!$K$2:$K$23,'3 Hazed Questions'!$A$2:$A$23,"Q1",'3 Hazed Questions'!$C$2:$C$23,I128)+SUMIFS('3 Hazed Questions'!$K$2:$K$23,'3 Hazed Questions'!$A$2:$A$23,"Q2",'3 Hazed Questions'!$C$2:$C$23,J128)+SUMIFS('3 Hazed Questions'!$K$2:$K$23,'3 Hazed Questions'!$A$2:$A$23,"Q3",'3 Hazed Questions'!$C$2:$C$23,K128)+SUMIFS('3 Hazed Questions'!$K$2:$K$23,'3 Hazed Questions'!$A$2:$A$23,"Q4",'3 Hazed Questions'!$C$2:$C$23,L128))</f>
        <v/>
      </c>
      <c r="U128" s="14" t="str">
        <f aca="false">IF(COUNTA(I128:L128)=0,"",SUMIFS('3 Hazed Questions'!$L$2:$L$23,'3 Hazed Questions'!$A$2:$A$23,"Q1",'3 Hazed Questions'!$C$2:$C$23,I128)+SUMIFS('3 Hazed Questions'!$L$2:$L$23,'3 Hazed Questions'!$A$2:$A$23,"Q2",'3 Hazed Questions'!$C$2:$C$23,J128)+SUMIFS('3 Hazed Questions'!$L$2:$L$23,'3 Hazed Questions'!$A$2:$A$23,"Q3",'3 Hazed Questions'!$C$2:$C$23,K128)+SUMIFS('3 Hazed Questions'!$L$2:$L$23,'3 Hazed Questions'!$A$2:$A$23,"Q4",'3 Hazed Questions'!$C$2:$C$23,L128))</f>
        <v/>
      </c>
      <c r="V128" s="14" t="str">
        <f aca="false">IF(COUNTA(I128:L128)=0,"",SUMIFS('3 Hazed Questions'!$M$2:$M$23,'3 Hazed Questions'!$A$2:$A$23,"Q1",'3 Hazed Questions'!$C$2:$C$23,I128)+SUMIFS('3 Hazed Questions'!$M$2:$M$23,'3 Hazed Questions'!$A$2:$A$23,"Q2",'3 Hazed Questions'!$C$2:$C$23,J128)+SUMIFS('3 Hazed Questions'!$M$2:$M$23,'3 Hazed Questions'!$A$2:$A$23,"Q3",'3 Hazed Questions'!$C$2:$C$23,K128)+SUMIFS('3 Hazed Questions'!$M$2:$M$23,'3 Hazed Questions'!$A$2:$A$23,"Q4",'3 Hazed Questions'!$C$2:$C$23,L128))</f>
        <v/>
      </c>
      <c r="W128" s="14" t="str">
        <f aca="false">IF(COUNTA(I128:L128)=0,"",SUMIFS('3 Hazed Questions'!$N$2:$N$23,'3 Hazed Questions'!$A$2:$A$23,"Q1",'3 Hazed Questions'!$C$2:$C$23,I128)+SUMIFS('3 Hazed Questions'!$N$2:$N$23,'3 Hazed Questions'!$A$2:$A$23,"Q2",'3 Hazed Questions'!$C$2:$C$23,J128)+SUMIFS('3 Hazed Questions'!$N$2:$N$23,'3 Hazed Questions'!$A$2:$A$23,"Q3",'3 Hazed Questions'!$C$2:$C$23,K128)+SUMIFS('3 Hazed Questions'!$N$2:$N$23,'3 Hazed Questions'!$A$2:$A$23,"Q4",'3 Hazed Questions'!$C$2:$C$23,L128))</f>
        <v/>
      </c>
      <c r="X128" s="14" t="str">
        <f aca="false">IF(COUNTA(I128:L128)=0,"",INDEX(Fields!$B$2:$B$50,MATCH(SUBSTITUTE(INDEX($N$1:$W$1,MATCH(MAX($N128:$W128),$N128:$W128,0)),"Score: ",""),Fields!$A$2:$A$50,0)))</f>
        <v/>
      </c>
      <c r="Y128" s="14" t="str">
        <f aca="true">IF(COUNTA(I128:L128)=0,"",IF(LARGE($N128:$W128,2)=0,"-",INDEX(Fields!$B$2:$B$50,MATCH(SUBSTITUTE(INDEX($N$1:$W$1,IF(LARGE($N128:$W128,2)=MAX($N128:$W128),MATCH(MAX($N128:$W128),OFFSET($N128:$W128,0,MATCH(MAX($N128:$W128),$N128:$W128,0),1,10-MATCH(MAX($N128:$W128),$N128:$W128,0)),0)+MATCH(MAX($N128:$W128),$N128:$W128,0),MATCH(LARGE($N128:$W128,2),$N128:$W128,0))),"Score: ",""),Fields!$A$2:$A$50,0))))</f>
        <v/>
      </c>
      <c r="Z128" s="14" t="str">
        <f aca="false">IF(M128="","",IFERROR(INDEX('3 Hazed Questions'!$O$2:$O$23,MATCH(1,INDEX(('3 Hazed Questions'!$A$2:$A$23="Q5")*('3 Hazed Questions'!$C$2:$C$23=M128),0),0))&amp;"",""))</f>
        <v/>
      </c>
      <c r="AA128" s="18"/>
      <c r="AB128" s="18"/>
      <c r="AC128" s="19"/>
      <c r="AD128" s="19"/>
      <c r="AE128" s="18"/>
      <c r="AF128" s="18"/>
      <c r="AG128" s="18"/>
    </row>
    <row r="129" customFormat="false" ht="15" hidden="false" customHeight="false" outlineLevel="0" collapsed="false">
      <c r="A129" s="18"/>
      <c r="B129" s="19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4" t="str">
        <f aca="false">IF(COUNTA(I129:L129)=0,"",SUMIFS('3 Hazed Questions'!$E$2:$E$23,'3 Hazed Questions'!$A$2:$A$23,"Q1",'3 Hazed Questions'!$C$2:$C$23,I129)+SUMIFS('3 Hazed Questions'!$E$2:$E$23,'3 Hazed Questions'!$A$2:$A$23,"Q2",'3 Hazed Questions'!$C$2:$C$23,J129)+SUMIFS('3 Hazed Questions'!$E$2:$E$23,'3 Hazed Questions'!$A$2:$A$23,"Q3",'3 Hazed Questions'!$C$2:$C$23,K129)+SUMIFS('3 Hazed Questions'!$E$2:$E$23,'3 Hazed Questions'!$A$2:$A$23,"Q4",'3 Hazed Questions'!$C$2:$C$23,L129))</f>
        <v/>
      </c>
      <c r="O129" s="14" t="str">
        <f aca="false">IF(COUNTA(I129:L129)=0,"",SUMIFS('3 Hazed Questions'!$F$2:$F$23,'3 Hazed Questions'!$A$2:$A$23,"Q1",'3 Hazed Questions'!$C$2:$C$23,I129)+SUMIFS('3 Hazed Questions'!$F$2:$F$23,'3 Hazed Questions'!$A$2:$A$23,"Q2",'3 Hazed Questions'!$C$2:$C$23,J129)+SUMIFS('3 Hazed Questions'!$F$2:$F$23,'3 Hazed Questions'!$A$2:$A$23,"Q3",'3 Hazed Questions'!$C$2:$C$23,K129)+SUMIFS('3 Hazed Questions'!$F$2:$F$23,'3 Hazed Questions'!$A$2:$A$23,"Q4",'3 Hazed Questions'!$C$2:$C$23,L129))</f>
        <v/>
      </c>
      <c r="P129" s="14" t="str">
        <f aca="false">IF(COUNTA(I129:L129)=0,"",SUMIFS('3 Hazed Questions'!$G$2:$G$23,'3 Hazed Questions'!$A$2:$A$23,"Q1",'3 Hazed Questions'!$C$2:$C$23,I129)+SUMIFS('3 Hazed Questions'!$G$2:$G$23,'3 Hazed Questions'!$A$2:$A$23,"Q2",'3 Hazed Questions'!$C$2:$C$23,J129)+SUMIFS('3 Hazed Questions'!$G$2:$G$23,'3 Hazed Questions'!$A$2:$A$23,"Q3",'3 Hazed Questions'!$C$2:$C$23,K129)+SUMIFS('3 Hazed Questions'!$G$2:$G$23,'3 Hazed Questions'!$A$2:$A$23,"Q4",'3 Hazed Questions'!$C$2:$C$23,L129))</f>
        <v/>
      </c>
      <c r="Q129" s="14" t="str">
        <f aca="false">IF(COUNTA(I129:L129)=0,"",SUMIFS('3 Hazed Questions'!$H$2:$H$23,'3 Hazed Questions'!$A$2:$A$23,"Q1",'3 Hazed Questions'!$C$2:$C$23,I129)+SUMIFS('3 Hazed Questions'!$H$2:$H$23,'3 Hazed Questions'!$A$2:$A$23,"Q2",'3 Hazed Questions'!$C$2:$C$23,J129)+SUMIFS('3 Hazed Questions'!$H$2:$H$23,'3 Hazed Questions'!$A$2:$A$23,"Q3",'3 Hazed Questions'!$C$2:$C$23,K129)+SUMIFS('3 Hazed Questions'!$H$2:$H$23,'3 Hazed Questions'!$A$2:$A$23,"Q4",'3 Hazed Questions'!$C$2:$C$23,L129))</f>
        <v/>
      </c>
      <c r="R129" s="14" t="str">
        <f aca="false">IF(COUNTA(I129:L129)=0,"",SUMIFS('3 Hazed Questions'!$I$2:$I$23,'3 Hazed Questions'!$A$2:$A$23,"Q1",'3 Hazed Questions'!$C$2:$C$23,I129)+SUMIFS('3 Hazed Questions'!$I$2:$I$23,'3 Hazed Questions'!$A$2:$A$23,"Q2",'3 Hazed Questions'!$C$2:$C$23,J129)+SUMIFS('3 Hazed Questions'!$I$2:$I$23,'3 Hazed Questions'!$A$2:$A$23,"Q3",'3 Hazed Questions'!$C$2:$C$23,K129)+SUMIFS('3 Hazed Questions'!$I$2:$I$23,'3 Hazed Questions'!$A$2:$A$23,"Q4",'3 Hazed Questions'!$C$2:$C$23,L129))</f>
        <v/>
      </c>
      <c r="S129" s="14" t="str">
        <f aca="false">IF(COUNTA(I129:L129)=0,"",SUMIFS('3 Hazed Questions'!$J$2:$J$23,'3 Hazed Questions'!$A$2:$A$23,"Q1",'3 Hazed Questions'!$C$2:$C$23,I129)+SUMIFS('3 Hazed Questions'!$J$2:$J$23,'3 Hazed Questions'!$A$2:$A$23,"Q2",'3 Hazed Questions'!$C$2:$C$23,J129)+SUMIFS('3 Hazed Questions'!$J$2:$J$23,'3 Hazed Questions'!$A$2:$A$23,"Q3",'3 Hazed Questions'!$C$2:$C$23,K129)+SUMIFS('3 Hazed Questions'!$J$2:$J$23,'3 Hazed Questions'!$A$2:$A$23,"Q4",'3 Hazed Questions'!$C$2:$C$23,L129))</f>
        <v/>
      </c>
      <c r="T129" s="14" t="str">
        <f aca="false">IF(COUNTA(I129:L129)=0,"",SUMIFS('3 Hazed Questions'!$K$2:$K$23,'3 Hazed Questions'!$A$2:$A$23,"Q1",'3 Hazed Questions'!$C$2:$C$23,I129)+SUMIFS('3 Hazed Questions'!$K$2:$K$23,'3 Hazed Questions'!$A$2:$A$23,"Q2",'3 Hazed Questions'!$C$2:$C$23,J129)+SUMIFS('3 Hazed Questions'!$K$2:$K$23,'3 Hazed Questions'!$A$2:$A$23,"Q3",'3 Hazed Questions'!$C$2:$C$23,K129)+SUMIFS('3 Hazed Questions'!$K$2:$K$23,'3 Hazed Questions'!$A$2:$A$23,"Q4",'3 Hazed Questions'!$C$2:$C$23,L129))</f>
        <v/>
      </c>
      <c r="U129" s="14" t="str">
        <f aca="false">IF(COUNTA(I129:L129)=0,"",SUMIFS('3 Hazed Questions'!$L$2:$L$23,'3 Hazed Questions'!$A$2:$A$23,"Q1",'3 Hazed Questions'!$C$2:$C$23,I129)+SUMIFS('3 Hazed Questions'!$L$2:$L$23,'3 Hazed Questions'!$A$2:$A$23,"Q2",'3 Hazed Questions'!$C$2:$C$23,J129)+SUMIFS('3 Hazed Questions'!$L$2:$L$23,'3 Hazed Questions'!$A$2:$A$23,"Q3",'3 Hazed Questions'!$C$2:$C$23,K129)+SUMIFS('3 Hazed Questions'!$L$2:$L$23,'3 Hazed Questions'!$A$2:$A$23,"Q4",'3 Hazed Questions'!$C$2:$C$23,L129))</f>
        <v/>
      </c>
      <c r="V129" s="14" t="str">
        <f aca="false">IF(COUNTA(I129:L129)=0,"",SUMIFS('3 Hazed Questions'!$M$2:$M$23,'3 Hazed Questions'!$A$2:$A$23,"Q1",'3 Hazed Questions'!$C$2:$C$23,I129)+SUMIFS('3 Hazed Questions'!$M$2:$M$23,'3 Hazed Questions'!$A$2:$A$23,"Q2",'3 Hazed Questions'!$C$2:$C$23,J129)+SUMIFS('3 Hazed Questions'!$M$2:$M$23,'3 Hazed Questions'!$A$2:$A$23,"Q3",'3 Hazed Questions'!$C$2:$C$23,K129)+SUMIFS('3 Hazed Questions'!$M$2:$M$23,'3 Hazed Questions'!$A$2:$A$23,"Q4",'3 Hazed Questions'!$C$2:$C$23,L129))</f>
        <v/>
      </c>
      <c r="W129" s="14" t="str">
        <f aca="false">IF(COUNTA(I129:L129)=0,"",SUMIFS('3 Hazed Questions'!$N$2:$N$23,'3 Hazed Questions'!$A$2:$A$23,"Q1",'3 Hazed Questions'!$C$2:$C$23,I129)+SUMIFS('3 Hazed Questions'!$N$2:$N$23,'3 Hazed Questions'!$A$2:$A$23,"Q2",'3 Hazed Questions'!$C$2:$C$23,J129)+SUMIFS('3 Hazed Questions'!$N$2:$N$23,'3 Hazed Questions'!$A$2:$A$23,"Q3",'3 Hazed Questions'!$C$2:$C$23,K129)+SUMIFS('3 Hazed Questions'!$N$2:$N$23,'3 Hazed Questions'!$A$2:$A$23,"Q4",'3 Hazed Questions'!$C$2:$C$23,L129))</f>
        <v/>
      </c>
      <c r="X129" s="14" t="str">
        <f aca="false">IF(COUNTA(I129:L129)=0,"",INDEX(Fields!$B$2:$B$50,MATCH(SUBSTITUTE(INDEX($N$1:$W$1,MATCH(MAX($N129:$W129),$N129:$W129,0)),"Score: ",""),Fields!$A$2:$A$50,0)))</f>
        <v/>
      </c>
      <c r="Y129" s="14" t="str">
        <f aca="true">IF(COUNTA(I129:L129)=0,"",IF(LARGE($N129:$W129,2)=0,"-",INDEX(Fields!$B$2:$B$50,MATCH(SUBSTITUTE(INDEX($N$1:$W$1,IF(LARGE($N129:$W129,2)=MAX($N129:$W129),MATCH(MAX($N129:$W129),OFFSET($N129:$W129,0,MATCH(MAX($N129:$W129),$N129:$W129,0),1,10-MATCH(MAX($N129:$W129),$N129:$W129,0)),0)+MATCH(MAX($N129:$W129),$N129:$W129,0),MATCH(LARGE($N129:$W129,2),$N129:$W129,0))),"Score: ",""),Fields!$A$2:$A$50,0))))</f>
        <v/>
      </c>
      <c r="Z129" s="14" t="str">
        <f aca="false">IF(M129="","",IFERROR(INDEX('3 Hazed Questions'!$O$2:$O$23,MATCH(1,INDEX(('3 Hazed Questions'!$A$2:$A$23="Q5")*('3 Hazed Questions'!$C$2:$C$23=M129),0),0))&amp;"",""))</f>
        <v/>
      </c>
      <c r="AA129" s="18"/>
      <c r="AB129" s="18"/>
      <c r="AC129" s="19"/>
      <c r="AD129" s="19"/>
      <c r="AE129" s="18"/>
      <c r="AF129" s="18"/>
      <c r="AG129" s="18"/>
    </row>
    <row r="130" customFormat="false" ht="15" hidden="false" customHeight="false" outlineLevel="0" collapsed="false">
      <c r="A130" s="18"/>
      <c r="B130" s="19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4" t="str">
        <f aca="false">IF(COUNTA(I130:L130)=0,"",SUMIFS('3 Hazed Questions'!$E$2:$E$23,'3 Hazed Questions'!$A$2:$A$23,"Q1",'3 Hazed Questions'!$C$2:$C$23,I130)+SUMIFS('3 Hazed Questions'!$E$2:$E$23,'3 Hazed Questions'!$A$2:$A$23,"Q2",'3 Hazed Questions'!$C$2:$C$23,J130)+SUMIFS('3 Hazed Questions'!$E$2:$E$23,'3 Hazed Questions'!$A$2:$A$23,"Q3",'3 Hazed Questions'!$C$2:$C$23,K130)+SUMIFS('3 Hazed Questions'!$E$2:$E$23,'3 Hazed Questions'!$A$2:$A$23,"Q4",'3 Hazed Questions'!$C$2:$C$23,L130))</f>
        <v/>
      </c>
      <c r="O130" s="14" t="str">
        <f aca="false">IF(COUNTA(I130:L130)=0,"",SUMIFS('3 Hazed Questions'!$F$2:$F$23,'3 Hazed Questions'!$A$2:$A$23,"Q1",'3 Hazed Questions'!$C$2:$C$23,I130)+SUMIFS('3 Hazed Questions'!$F$2:$F$23,'3 Hazed Questions'!$A$2:$A$23,"Q2",'3 Hazed Questions'!$C$2:$C$23,J130)+SUMIFS('3 Hazed Questions'!$F$2:$F$23,'3 Hazed Questions'!$A$2:$A$23,"Q3",'3 Hazed Questions'!$C$2:$C$23,K130)+SUMIFS('3 Hazed Questions'!$F$2:$F$23,'3 Hazed Questions'!$A$2:$A$23,"Q4",'3 Hazed Questions'!$C$2:$C$23,L130))</f>
        <v/>
      </c>
      <c r="P130" s="14" t="str">
        <f aca="false">IF(COUNTA(I130:L130)=0,"",SUMIFS('3 Hazed Questions'!$G$2:$G$23,'3 Hazed Questions'!$A$2:$A$23,"Q1",'3 Hazed Questions'!$C$2:$C$23,I130)+SUMIFS('3 Hazed Questions'!$G$2:$G$23,'3 Hazed Questions'!$A$2:$A$23,"Q2",'3 Hazed Questions'!$C$2:$C$23,J130)+SUMIFS('3 Hazed Questions'!$G$2:$G$23,'3 Hazed Questions'!$A$2:$A$23,"Q3",'3 Hazed Questions'!$C$2:$C$23,K130)+SUMIFS('3 Hazed Questions'!$G$2:$G$23,'3 Hazed Questions'!$A$2:$A$23,"Q4",'3 Hazed Questions'!$C$2:$C$23,L130))</f>
        <v/>
      </c>
      <c r="Q130" s="14" t="str">
        <f aca="false">IF(COUNTA(I130:L130)=0,"",SUMIFS('3 Hazed Questions'!$H$2:$H$23,'3 Hazed Questions'!$A$2:$A$23,"Q1",'3 Hazed Questions'!$C$2:$C$23,I130)+SUMIFS('3 Hazed Questions'!$H$2:$H$23,'3 Hazed Questions'!$A$2:$A$23,"Q2",'3 Hazed Questions'!$C$2:$C$23,J130)+SUMIFS('3 Hazed Questions'!$H$2:$H$23,'3 Hazed Questions'!$A$2:$A$23,"Q3",'3 Hazed Questions'!$C$2:$C$23,K130)+SUMIFS('3 Hazed Questions'!$H$2:$H$23,'3 Hazed Questions'!$A$2:$A$23,"Q4",'3 Hazed Questions'!$C$2:$C$23,L130))</f>
        <v/>
      </c>
      <c r="R130" s="14" t="str">
        <f aca="false">IF(COUNTA(I130:L130)=0,"",SUMIFS('3 Hazed Questions'!$I$2:$I$23,'3 Hazed Questions'!$A$2:$A$23,"Q1",'3 Hazed Questions'!$C$2:$C$23,I130)+SUMIFS('3 Hazed Questions'!$I$2:$I$23,'3 Hazed Questions'!$A$2:$A$23,"Q2",'3 Hazed Questions'!$C$2:$C$23,J130)+SUMIFS('3 Hazed Questions'!$I$2:$I$23,'3 Hazed Questions'!$A$2:$A$23,"Q3",'3 Hazed Questions'!$C$2:$C$23,K130)+SUMIFS('3 Hazed Questions'!$I$2:$I$23,'3 Hazed Questions'!$A$2:$A$23,"Q4",'3 Hazed Questions'!$C$2:$C$23,L130))</f>
        <v/>
      </c>
      <c r="S130" s="14" t="str">
        <f aca="false">IF(COUNTA(I130:L130)=0,"",SUMIFS('3 Hazed Questions'!$J$2:$J$23,'3 Hazed Questions'!$A$2:$A$23,"Q1",'3 Hazed Questions'!$C$2:$C$23,I130)+SUMIFS('3 Hazed Questions'!$J$2:$J$23,'3 Hazed Questions'!$A$2:$A$23,"Q2",'3 Hazed Questions'!$C$2:$C$23,J130)+SUMIFS('3 Hazed Questions'!$J$2:$J$23,'3 Hazed Questions'!$A$2:$A$23,"Q3",'3 Hazed Questions'!$C$2:$C$23,K130)+SUMIFS('3 Hazed Questions'!$J$2:$J$23,'3 Hazed Questions'!$A$2:$A$23,"Q4",'3 Hazed Questions'!$C$2:$C$23,L130))</f>
        <v/>
      </c>
      <c r="T130" s="14" t="str">
        <f aca="false">IF(COUNTA(I130:L130)=0,"",SUMIFS('3 Hazed Questions'!$K$2:$K$23,'3 Hazed Questions'!$A$2:$A$23,"Q1",'3 Hazed Questions'!$C$2:$C$23,I130)+SUMIFS('3 Hazed Questions'!$K$2:$K$23,'3 Hazed Questions'!$A$2:$A$23,"Q2",'3 Hazed Questions'!$C$2:$C$23,J130)+SUMIFS('3 Hazed Questions'!$K$2:$K$23,'3 Hazed Questions'!$A$2:$A$23,"Q3",'3 Hazed Questions'!$C$2:$C$23,K130)+SUMIFS('3 Hazed Questions'!$K$2:$K$23,'3 Hazed Questions'!$A$2:$A$23,"Q4",'3 Hazed Questions'!$C$2:$C$23,L130))</f>
        <v/>
      </c>
      <c r="U130" s="14" t="str">
        <f aca="false">IF(COUNTA(I130:L130)=0,"",SUMIFS('3 Hazed Questions'!$L$2:$L$23,'3 Hazed Questions'!$A$2:$A$23,"Q1",'3 Hazed Questions'!$C$2:$C$23,I130)+SUMIFS('3 Hazed Questions'!$L$2:$L$23,'3 Hazed Questions'!$A$2:$A$23,"Q2",'3 Hazed Questions'!$C$2:$C$23,J130)+SUMIFS('3 Hazed Questions'!$L$2:$L$23,'3 Hazed Questions'!$A$2:$A$23,"Q3",'3 Hazed Questions'!$C$2:$C$23,K130)+SUMIFS('3 Hazed Questions'!$L$2:$L$23,'3 Hazed Questions'!$A$2:$A$23,"Q4",'3 Hazed Questions'!$C$2:$C$23,L130))</f>
        <v/>
      </c>
      <c r="V130" s="14" t="str">
        <f aca="false">IF(COUNTA(I130:L130)=0,"",SUMIFS('3 Hazed Questions'!$M$2:$M$23,'3 Hazed Questions'!$A$2:$A$23,"Q1",'3 Hazed Questions'!$C$2:$C$23,I130)+SUMIFS('3 Hazed Questions'!$M$2:$M$23,'3 Hazed Questions'!$A$2:$A$23,"Q2",'3 Hazed Questions'!$C$2:$C$23,J130)+SUMIFS('3 Hazed Questions'!$M$2:$M$23,'3 Hazed Questions'!$A$2:$A$23,"Q3",'3 Hazed Questions'!$C$2:$C$23,K130)+SUMIFS('3 Hazed Questions'!$M$2:$M$23,'3 Hazed Questions'!$A$2:$A$23,"Q4",'3 Hazed Questions'!$C$2:$C$23,L130))</f>
        <v/>
      </c>
      <c r="W130" s="14" t="str">
        <f aca="false">IF(COUNTA(I130:L130)=0,"",SUMIFS('3 Hazed Questions'!$N$2:$N$23,'3 Hazed Questions'!$A$2:$A$23,"Q1",'3 Hazed Questions'!$C$2:$C$23,I130)+SUMIFS('3 Hazed Questions'!$N$2:$N$23,'3 Hazed Questions'!$A$2:$A$23,"Q2",'3 Hazed Questions'!$C$2:$C$23,J130)+SUMIFS('3 Hazed Questions'!$N$2:$N$23,'3 Hazed Questions'!$A$2:$A$23,"Q3",'3 Hazed Questions'!$C$2:$C$23,K130)+SUMIFS('3 Hazed Questions'!$N$2:$N$23,'3 Hazed Questions'!$A$2:$A$23,"Q4",'3 Hazed Questions'!$C$2:$C$23,L130))</f>
        <v/>
      </c>
      <c r="X130" s="14" t="str">
        <f aca="false">IF(COUNTA(I130:L130)=0,"",INDEX(Fields!$B$2:$B$50,MATCH(SUBSTITUTE(INDEX($N$1:$W$1,MATCH(MAX($N130:$W130),$N130:$W130,0)),"Score: ",""),Fields!$A$2:$A$50,0)))</f>
        <v/>
      </c>
      <c r="Y130" s="14" t="str">
        <f aca="true">IF(COUNTA(I130:L130)=0,"",IF(LARGE($N130:$W130,2)=0,"-",INDEX(Fields!$B$2:$B$50,MATCH(SUBSTITUTE(INDEX($N$1:$W$1,IF(LARGE($N130:$W130,2)=MAX($N130:$W130),MATCH(MAX($N130:$W130),OFFSET($N130:$W130,0,MATCH(MAX($N130:$W130),$N130:$W130,0),1,10-MATCH(MAX($N130:$W130),$N130:$W130,0)),0)+MATCH(MAX($N130:$W130),$N130:$W130,0),MATCH(LARGE($N130:$W130,2),$N130:$W130,0))),"Score: ",""),Fields!$A$2:$A$50,0))))</f>
        <v/>
      </c>
      <c r="Z130" s="14" t="str">
        <f aca="false">IF(M130="","",IFERROR(INDEX('3 Hazed Questions'!$O$2:$O$23,MATCH(1,INDEX(('3 Hazed Questions'!$A$2:$A$23="Q5")*('3 Hazed Questions'!$C$2:$C$23=M130),0),0))&amp;"",""))</f>
        <v/>
      </c>
      <c r="AA130" s="18"/>
      <c r="AB130" s="18"/>
      <c r="AC130" s="19"/>
      <c r="AD130" s="19"/>
      <c r="AE130" s="18"/>
      <c r="AF130" s="18"/>
      <c r="AG130" s="18"/>
    </row>
    <row r="131" customFormat="false" ht="15" hidden="false" customHeight="false" outlineLevel="0" collapsed="false">
      <c r="A131" s="18"/>
      <c r="B131" s="19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4" t="str">
        <f aca="false">IF(COUNTA(I131:L131)=0,"",SUMIFS('3 Hazed Questions'!$E$2:$E$23,'3 Hazed Questions'!$A$2:$A$23,"Q1",'3 Hazed Questions'!$C$2:$C$23,I131)+SUMIFS('3 Hazed Questions'!$E$2:$E$23,'3 Hazed Questions'!$A$2:$A$23,"Q2",'3 Hazed Questions'!$C$2:$C$23,J131)+SUMIFS('3 Hazed Questions'!$E$2:$E$23,'3 Hazed Questions'!$A$2:$A$23,"Q3",'3 Hazed Questions'!$C$2:$C$23,K131)+SUMIFS('3 Hazed Questions'!$E$2:$E$23,'3 Hazed Questions'!$A$2:$A$23,"Q4",'3 Hazed Questions'!$C$2:$C$23,L131))</f>
        <v/>
      </c>
      <c r="O131" s="14" t="str">
        <f aca="false">IF(COUNTA(I131:L131)=0,"",SUMIFS('3 Hazed Questions'!$F$2:$F$23,'3 Hazed Questions'!$A$2:$A$23,"Q1",'3 Hazed Questions'!$C$2:$C$23,I131)+SUMIFS('3 Hazed Questions'!$F$2:$F$23,'3 Hazed Questions'!$A$2:$A$23,"Q2",'3 Hazed Questions'!$C$2:$C$23,J131)+SUMIFS('3 Hazed Questions'!$F$2:$F$23,'3 Hazed Questions'!$A$2:$A$23,"Q3",'3 Hazed Questions'!$C$2:$C$23,K131)+SUMIFS('3 Hazed Questions'!$F$2:$F$23,'3 Hazed Questions'!$A$2:$A$23,"Q4",'3 Hazed Questions'!$C$2:$C$23,L131))</f>
        <v/>
      </c>
      <c r="P131" s="14" t="str">
        <f aca="false">IF(COUNTA(I131:L131)=0,"",SUMIFS('3 Hazed Questions'!$G$2:$G$23,'3 Hazed Questions'!$A$2:$A$23,"Q1",'3 Hazed Questions'!$C$2:$C$23,I131)+SUMIFS('3 Hazed Questions'!$G$2:$G$23,'3 Hazed Questions'!$A$2:$A$23,"Q2",'3 Hazed Questions'!$C$2:$C$23,J131)+SUMIFS('3 Hazed Questions'!$G$2:$G$23,'3 Hazed Questions'!$A$2:$A$23,"Q3",'3 Hazed Questions'!$C$2:$C$23,K131)+SUMIFS('3 Hazed Questions'!$G$2:$G$23,'3 Hazed Questions'!$A$2:$A$23,"Q4",'3 Hazed Questions'!$C$2:$C$23,L131))</f>
        <v/>
      </c>
      <c r="Q131" s="14" t="str">
        <f aca="false">IF(COUNTA(I131:L131)=0,"",SUMIFS('3 Hazed Questions'!$H$2:$H$23,'3 Hazed Questions'!$A$2:$A$23,"Q1",'3 Hazed Questions'!$C$2:$C$23,I131)+SUMIFS('3 Hazed Questions'!$H$2:$H$23,'3 Hazed Questions'!$A$2:$A$23,"Q2",'3 Hazed Questions'!$C$2:$C$23,J131)+SUMIFS('3 Hazed Questions'!$H$2:$H$23,'3 Hazed Questions'!$A$2:$A$23,"Q3",'3 Hazed Questions'!$C$2:$C$23,K131)+SUMIFS('3 Hazed Questions'!$H$2:$H$23,'3 Hazed Questions'!$A$2:$A$23,"Q4",'3 Hazed Questions'!$C$2:$C$23,L131))</f>
        <v/>
      </c>
      <c r="R131" s="14" t="str">
        <f aca="false">IF(COUNTA(I131:L131)=0,"",SUMIFS('3 Hazed Questions'!$I$2:$I$23,'3 Hazed Questions'!$A$2:$A$23,"Q1",'3 Hazed Questions'!$C$2:$C$23,I131)+SUMIFS('3 Hazed Questions'!$I$2:$I$23,'3 Hazed Questions'!$A$2:$A$23,"Q2",'3 Hazed Questions'!$C$2:$C$23,J131)+SUMIFS('3 Hazed Questions'!$I$2:$I$23,'3 Hazed Questions'!$A$2:$A$23,"Q3",'3 Hazed Questions'!$C$2:$C$23,K131)+SUMIFS('3 Hazed Questions'!$I$2:$I$23,'3 Hazed Questions'!$A$2:$A$23,"Q4",'3 Hazed Questions'!$C$2:$C$23,L131))</f>
        <v/>
      </c>
      <c r="S131" s="14" t="str">
        <f aca="false">IF(COUNTA(I131:L131)=0,"",SUMIFS('3 Hazed Questions'!$J$2:$J$23,'3 Hazed Questions'!$A$2:$A$23,"Q1",'3 Hazed Questions'!$C$2:$C$23,I131)+SUMIFS('3 Hazed Questions'!$J$2:$J$23,'3 Hazed Questions'!$A$2:$A$23,"Q2",'3 Hazed Questions'!$C$2:$C$23,J131)+SUMIFS('3 Hazed Questions'!$J$2:$J$23,'3 Hazed Questions'!$A$2:$A$23,"Q3",'3 Hazed Questions'!$C$2:$C$23,K131)+SUMIFS('3 Hazed Questions'!$J$2:$J$23,'3 Hazed Questions'!$A$2:$A$23,"Q4",'3 Hazed Questions'!$C$2:$C$23,L131))</f>
        <v/>
      </c>
      <c r="T131" s="14" t="str">
        <f aca="false">IF(COUNTA(I131:L131)=0,"",SUMIFS('3 Hazed Questions'!$K$2:$K$23,'3 Hazed Questions'!$A$2:$A$23,"Q1",'3 Hazed Questions'!$C$2:$C$23,I131)+SUMIFS('3 Hazed Questions'!$K$2:$K$23,'3 Hazed Questions'!$A$2:$A$23,"Q2",'3 Hazed Questions'!$C$2:$C$23,J131)+SUMIFS('3 Hazed Questions'!$K$2:$K$23,'3 Hazed Questions'!$A$2:$A$23,"Q3",'3 Hazed Questions'!$C$2:$C$23,K131)+SUMIFS('3 Hazed Questions'!$K$2:$K$23,'3 Hazed Questions'!$A$2:$A$23,"Q4",'3 Hazed Questions'!$C$2:$C$23,L131))</f>
        <v/>
      </c>
      <c r="U131" s="14" t="str">
        <f aca="false">IF(COUNTA(I131:L131)=0,"",SUMIFS('3 Hazed Questions'!$L$2:$L$23,'3 Hazed Questions'!$A$2:$A$23,"Q1",'3 Hazed Questions'!$C$2:$C$23,I131)+SUMIFS('3 Hazed Questions'!$L$2:$L$23,'3 Hazed Questions'!$A$2:$A$23,"Q2",'3 Hazed Questions'!$C$2:$C$23,J131)+SUMIFS('3 Hazed Questions'!$L$2:$L$23,'3 Hazed Questions'!$A$2:$A$23,"Q3",'3 Hazed Questions'!$C$2:$C$23,K131)+SUMIFS('3 Hazed Questions'!$L$2:$L$23,'3 Hazed Questions'!$A$2:$A$23,"Q4",'3 Hazed Questions'!$C$2:$C$23,L131))</f>
        <v/>
      </c>
      <c r="V131" s="14" t="str">
        <f aca="false">IF(COUNTA(I131:L131)=0,"",SUMIFS('3 Hazed Questions'!$M$2:$M$23,'3 Hazed Questions'!$A$2:$A$23,"Q1",'3 Hazed Questions'!$C$2:$C$23,I131)+SUMIFS('3 Hazed Questions'!$M$2:$M$23,'3 Hazed Questions'!$A$2:$A$23,"Q2",'3 Hazed Questions'!$C$2:$C$23,J131)+SUMIFS('3 Hazed Questions'!$M$2:$M$23,'3 Hazed Questions'!$A$2:$A$23,"Q3",'3 Hazed Questions'!$C$2:$C$23,K131)+SUMIFS('3 Hazed Questions'!$M$2:$M$23,'3 Hazed Questions'!$A$2:$A$23,"Q4",'3 Hazed Questions'!$C$2:$C$23,L131))</f>
        <v/>
      </c>
      <c r="W131" s="14" t="str">
        <f aca="false">IF(COUNTA(I131:L131)=0,"",SUMIFS('3 Hazed Questions'!$N$2:$N$23,'3 Hazed Questions'!$A$2:$A$23,"Q1",'3 Hazed Questions'!$C$2:$C$23,I131)+SUMIFS('3 Hazed Questions'!$N$2:$N$23,'3 Hazed Questions'!$A$2:$A$23,"Q2",'3 Hazed Questions'!$C$2:$C$23,J131)+SUMIFS('3 Hazed Questions'!$N$2:$N$23,'3 Hazed Questions'!$A$2:$A$23,"Q3",'3 Hazed Questions'!$C$2:$C$23,K131)+SUMIFS('3 Hazed Questions'!$N$2:$N$23,'3 Hazed Questions'!$A$2:$A$23,"Q4",'3 Hazed Questions'!$C$2:$C$23,L131))</f>
        <v/>
      </c>
      <c r="X131" s="14" t="str">
        <f aca="false">IF(COUNTA(I131:L131)=0,"",INDEX(Fields!$B$2:$B$50,MATCH(SUBSTITUTE(INDEX($N$1:$W$1,MATCH(MAX($N131:$W131),$N131:$W131,0)),"Score: ",""),Fields!$A$2:$A$50,0)))</f>
        <v/>
      </c>
      <c r="Y131" s="14" t="str">
        <f aca="true">IF(COUNTA(I131:L131)=0,"",IF(LARGE($N131:$W131,2)=0,"-",INDEX(Fields!$B$2:$B$50,MATCH(SUBSTITUTE(INDEX($N$1:$W$1,IF(LARGE($N131:$W131,2)=MAX($N131:$W131),MATCH(MAX($N131:$W131),OFFSET($N131:$W131,0,MATCH(MAX($N131:$W131),$N131:$W131,0),1,10-MATCH(MAX($N131:$W131),$N131:$W131,0)),0)+MATCH(MAX($N131:$W131),$N131:$W131,0),MATCH(LARGE($N131:$W131,2),$N131:$W131,0))),"Score: ",""),Fields!$A$2:$A$50,0))))</f>
        <v/>
      </c>
      <c r="Z131" s="14" t="str">
        <f aca="false">IF(M131="","",IFERROR(INDEX('3 Hazed Questions'!$O$2:$O$23,MATCH(1,INDEX(('3 Hazed Questions'!$A$2:$A$23="Q5")*('3 Hazed Questions'!$C$2:$C$23=M131),0),0))&amp;"",""))</f>
        <v/>
      </c>
      <c r="AA131" s="18"/>
      <c r="AB131" s="18"/>
      <c r="AC131" s="19"/>
      <c r="AD131" s="19"/>
      <c r="AE131" s="18"/>
      <c r="AF131" s="18"/>
      <c r="AG131" s="18"/>
    </row>
    <row r="132" customFormat="false" ht="15" hidden="false" customHeight="false" outlineLevel="0" collapsed="false">
      <c r="A132" s="18"/>
      <c r="B132" s="19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4" t="str">
        <f aca="false">IF(COUNTA(I132:L132)=0,"",SUMIFS('3 Hazed Questions'!$E$2:$E$23,'3 Hazed Questions'!$A$2:$A$23,"Q1",'3 Hazed Questions'!$C$2:$C$23,I132)+SUMIFS('3 Hazed Questions'!$E$2:$E$23,'3 Hazed Questions'!$A$2:$A$23,"Q2",'3 Hazed Questions'!$C$2:$C$23,J132)+SUMIFS('3 Hazed Questions'!$E$2:$E$23,'3 Hazed Questions'!$A$2:$A$23,"Q3",'3 Hazed Questions'!$C$2:$C$23,K132)+SUMIFS('3 Hazed Questions'!$E$2:$E$23,'3 Hazed Questions'!$A$2:$A$23,"Q4",'3 Hazed Questions'!$C$2:$C$23,L132))</f>
        <v/>
      </c>
      <c r="O132" s="14" t="str">
        <f aca="false">IF(COUNTA(I132:L132)=0,"",SUMIFS('3 Hazed Questions'!$F$2:$F$23,'3 Hazed Questions'!$A$2:$A$23,"Q1",'3 Hazed Questions'!$C$2:$C$23,I132)+SUMIFS('3 Hazed Questions'!$F$2:$F$23,'3 Hazed Questions'!$A$2:$A$23,"Q2",'3 Hazed Questions'!$C$2:$C$23,J132)+SUMIFS('3 Hazed Questions'!$F$2:$F$23,'3 Hazed Questions'!$A$2:$A$23,"Q3",'3 Hazed Questions'!$C$2:$C$23,K132)+SUMIFS('3 Hazed Questions'!$F$2:$F$23,'3 Hazed Questions'!$A$2:$A$23,"Q4",'3 Hazed Questions'!$C$2:$C$23,L132))</f>
        <v/>
      </c>
      <c r="P132" s="14" t="str">
        <f aca="false">IF(COUNTA(I132:L132)=0,"",SUMIFS('3 Hazed Questions'!$G$2:$G$23,'3 Hazed Questions'!$A$2:$A$23,"Q1",'3 Hazed Questions'!$C$2:$C$23,I132)+SUMIFS('3 Hazed Questions'!$G$2:$G$23,'3 Hazed Questions'!$A$2:$A$23,"Q2",'3 Hazed Questions'!$C$2:$C$23,J132)+SUMIFS('3 Hazed Questions'!$G$2:$G$23,'3 Hazed Questions'!$A$2:$A$23,"Q3",'3 Hazed Questions'!$C$2:$C$23,K132)+SUMIFS('3 Hazed Questions'!$G$2:$G$23,'3 Hazed Questions'!$A$2:$A$23,"Q4",'3 Hazed Questions'!$C$2:$C$23,L132))</f>
        <v/>
      </c>
      <c r="Q132" s="14" t="str">
        <f aca="false">IF(COUNTA(I132:L132)=0,"",SUMIFS('3 Hazed Questions'!$H$2:$H$23,'3 Hazed Questions'!$A$2:$A$23,"Q1",'3 Hazed Questions'!$C$2:$C$23,I132)+SUMIFS('3 Hazed Questions'!$H$2:$H$23,'3 Hazed Questions'!$A$2:$A$23,"Q2",'3 Hazed Questions'!$C$2:$C$23,J132)+SUMIFS('3 Hazed Questions'!$H$2:$H$23,'3 Hazed Questions'!$A$2:$A$23,"Q3",'3 Hazed Questions'!$C$2:$C$23,K132)+SUMIFS('3 Hazed Questions'!$H$2:$H$23,'3 Hazed Questions'!$A$2:$A$23,"Q4",'3 Hazed Questions'!$C$2:$C$23,L132))</f>
        <v/>
      </c>
      <c r="R132" s="14" t="str">
        <f aca="false">IF(COUNTA(I132:L132)=0,"",SUMIFS('3 Hazed Questions'!$I$2:$I$23,'3 Hazed Questions'!$A$2:$A$23,"Q1",'3 Hazed Questions'!$C$2:$C$23,I132)+SUMIFS('3 Hazed Questions'!$I$2:$I$23,'3 Hazed Questions'!$A$2:$A$23,"Q2",'3 Hazed Questions'!$C$2:$C$23,J132)+SUMIFS('3 Hazed Questions'!$I$2:$I$23,'3 Hazed Questions'!$A$2:$A$23,"Q3",'3 Hazed Questions'!$C$2:$C$23,K132)+SUMIFS('3 Hazed Questions'!$I$2:$I$23,'3 Hazed Questions'!$A$2:$A$23,"Q4",'3 Hazed Questions'!$C$2:$C$23,L132))</f>
        <v/>
      </c>
      <c r="S132" s="14" t="str">
        <f aca="false">IF(COUNTA(I132:L132)=0,"",SUMIFS('3 Hazed Questions'!$J$2:$J$23,'3 Hazed Questions'!$A$2:$A$23,"Q1",'3 Hazed Questions'!$C$2:$C$23,I132)+SUMIFS('3 Hazed Questions'!$J$2:$J$23,'3 Hazed Questions'!$A$2:$A$23,"Q2",'3 Hazed Questions'!$C$2:$C$23,J132)+SUMIFS('3 Hazed Questions'!$J$2:$J$23,'3 Hazed Questions'!$A$2:$A$23,"Q3",'3 Hazed Questions'!$C$2:$C$23,K132)+SUMIFS('3 Hazed Questions'!$J$2:$J$23,'3 Hazed Questions'!$A$2:$A$23,"Q4",'3 Hazed Questions'!$C$2:$C$23,L132))</f>
        <v/>
      </c>
      <c r="T132" s="14" t="str">
        <f aca="false">IF(COUNTA(I132:L132)=0,"",SUMIFS('3 Hazed Questions'!$K$2:$K$23,'3 Hazed Questions'!$A$2:$A$23,"Q1",'3 Hazed Questions'!$C$2:$C$23,I132)+SUMIFS('3 Hazed Questions'!$K$2:$K$23,'3 Hazed Questions'!$A$2:$A$23,"Q2",'3 Hazed Questions'!$C$2:$C$23,J132)+SUMIFS('3 Hazed Questions'!$K$2:$K$23,'3 Hazed Questions'!$A$2:$A$23,"Q3",'3 Hazed Questions'!$C$2:$C$23,K132)+SUMIFS('3 Hazed Questions'!$K$2:$K$23,'3 Hazed Questions'!$A$2:$A$23,"Q4",'3 Hazed Questions'!$C$2:$C$23,L132))</f>
        <v/>
      </c>
      <c r="U132" s="14" t="str">
        <f aca="false">IF(COUNTA(I132:L132)=0,"",SUMIFS('3 Hazed Questions'!$L$2:$L$23,'3 Hazed Questions'!$A$2:$A$23,"Q1",'3 Hazed Questions'!$C$2:$C$23,I132)+SUMIFS('3 Hazed Questions'!$L$2:$L$23,'3 Hazed Questions'!$A$2:$A$23,"Q2",'3 Hazed Questions'!$C$2:$C$23,J132)+SUMIFS('3 Hazed Questions'!$L$2:$L$23,'3 Hazed Questions'!$A$2:$A$23,"Q3",'3 Hazed Questions'!$C$2:$C$23,K132)+SUMIFS('3 Hazed Questions'!$L$2:$L$23,'3 Hazed Questions'!$A$2:$A$23,"Q4",'3 Hazed Questions'!$C$2:$C$23,L132))</f>
        <v/>
      </c>
      <c r="V132" s="14" t="str">
        <f aca="false">IF(COUNTA(I132:L132)=0,"",SUMIFS('3 Hazed Questions'!$M$2:$M$23,'3 Hazed Questions'!$A$2:$A$23,"Q1",'3 Hazed Questions'!$C$2:$C$23,I132)+SUMIFS('3 Hazed Questions'!$M$2:$M$23,'3 Hazed Questions'!$A$2:$A$23,"Q2",'3 Hazed Questions'!$C$2:$C$23,J132)+SUMIFS('3 Hazed Questions'!$M$2:$M$23,'3 Hazed Questions'!$A$2:$A$23,"Q3",'3 Hazed Questions'!$C$2:$C$23,K132)+SUMIFS('3 Hazed Questions'!$M$2:$M$23,'3 Hazed Questions'!$A$2:$A$23,"Q4",'3 Hazed Questions'!$C$2:$C$23,L132))</f>
        <v/>
      </c>
      <c r="W132" s="14" t="str">
        <f aca="false">IF(COUNTA(I132:L132)=0,"",SUMIFS('3 Hazed Questions'!$N$2:$N$23,'3 Hazed Questions'!$A$2:$A$23,"Q1",'3 Hazed Questions'!$C$2:$C$23,I132)+SUMIFS('3 Hazed Questions'!$N$2:$N$23,'3 Hazed Questions'!$A$2:$A$23,"Q2",'3 Hazed Questions'!$C$2:$C$23,J132)+SUMIFS('3 Hazed Questions'!$N$2:$N$23,'3 Hazed Questions'!$A$2:$A$23,"Q3",'3 Hazed Questions'!$C$2:$C$23,K132)+SUMIFS('3 Hazed Questions'!$N$2:$N$23,'3 Hazed Questions'!$A$2:$A$23,"Q4",'3 Hazed Questions'!$C$2:$C$23,L132))</f>
        <v/>
      </c>
      <c r="X132" s="14" t="str">
        <f aca="false">IF(COUNTA(I132:L132)=0,"",INDEX(Fields!$B$2:$B$50,MATCH(SUBSTITUTE(INDEX($N$1:$W$1,MATCH(MAX($N132:$W132),$N132:$W132,0)),"Score: ",""),Fields!$A$2:$A$50,0)))</f>
        <v/>
      </c>
      <c r="Y132" s="14" t="str">
        <f aca="true">IF(COUNTA(I132:L132)=0,"",IF(LARGE($N132:$W132,2)=0,"-",INDEX(Fields!$B$2:$B$50,MATCH(SUBSTITUTE(INDEX($N$1:$W$1,IF(LARGE($N132:$W132,2)=MAX($N132:$W132),MATCH(MAX($N132:$W132),OFFSET($N132:$W132,0,MATCH(MAX($N132:$W132),$N132:$W132,0),1,10-MATCH(MAX($N132:$W132),$N132:$W132,0)),0)+MATCH(MAX($N132:$W132),$N132:$W132,0),MATCH(LARGE($N132:$W132,2),$N132:$W132,0))),"Score: ",""),Fields!$A$2:$A$50,0))))</f>
        <v/>
      </c>
      <c r="Z132" s="14" t="str">
        <f aca="false">IF(M132="","",IFERROR(INDEX('3 Hazed Questions'!$O$2:$O$23,MATCH(1,INDEX(('3 Hazed Questions'!$A$2:$A$23="Q5")*('3 Hazed Questions'!$C$2:$C$23=M132),0),0))&amp;"",""))</f>
        <v/>
      </c>
      <c r="AA132" s="18"/>
      <c r="AB132" s="18"/>
      <c r="AC132" s="19"/>
      <c r="AD132" s="19"/>
      <c r="AE132" s="18"/>
      <c r="AF132" s="18"/>
      <c r="AG132" s="18"/>
    </row>
    <row r="133" customFormat="false" ht="15" hidden="false" customHeight="false" outlineLevel="0" collapsed="false">
      <c r="A133" s="18"/>
      <c r="B133" s="19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4" t="str">
        <f aca="false">IF(COUNTA(I133:L133)=0,"",SUMIFS('3 Hazed Questions'!$E$2:$E$23,'3 Hazed Questions'!$A$2:$A$23,"Q1",'3 Hazed Questions'!$C$2:$C$23,I133)+SUMIFS('3 Hazed Questions'!$E$2:$E$23,'3 Hazed Questions'!$A$2:$A$23,"Q2",'3 Hazed Questions'!$C$2:$C$23,J133)+SUMIFS('3 Hazed Questions'!$E$2:$E$23,'3 Hazed Questions'!$A$2:$A$23,"Q3",'3 Hazed Questions'!$C$2:$C$23,K133)+SUMIFS('3 Hazed Questions'!$E$2:$E$23,'3 Hazed Questions'!$A$2:$A$23,"Q4",'3 Hazed Questions'!$C$2:$C$23,L133))</f>
        <v/>
      </c>
      <c r="O133" s="14" t="str">
        <f aca="false">IF(COUNTA(I133:L133)=0,"",SUMIFS('3 Hazed Questions'!$F$2:$F$23,'3 Hazed Questions'!$A$2:$A$23,"Q1",'3 Hazed Questions'!$C$2:$C$23,I133)+SUMIFS('3 Hazed Questions'!$F$2:$F$23,'3 Hazed Questions'!$A$2:$A$23,"Q2",'3 Hazed Questions'!$C$2:$C$23,J133)+SUMIFS('3 Hazed Questions'!$F$2:$F$23,'3 Hazed Questions'!$A$2:$A$23,"Q3",'3 Hazed Questions'!$C$2:$C$23,K133)+SUMIFS('3 Hazed Questions'!$F$2:$F$23,'3 Hazed Questions'!$A$2:$A$23,"Q4",'3 Hazed Questions'!$C$2:$C$23,L133))</f>
        <v/>
      </c>
      <c r="P133" s="14" t="str">
        <f aca="false">IF(COUNTA(I133:L133)=0,"",SUMIFS('3 Hazed Questions'!$G$2:$G$23,'3 Hazed Questions'!$A$2:$A$23,"Q1",'3 Hazed Questions'!$C$2:$C$23,I133)+SUMIFS('3 Hazed Questions'!$G$2:$G$23,'3 Hazed Questions'!$A$2:$A$23,"Q2",'3 Hazed Questions'!$C$2:$C$23,J133)+SUMIFS('3 Hazed Questions'!$G$2:$G$23,'3 Hazed Questions'!$A$2:$A$23,"Q3",'3 Hazed Questions'!$C$2:$C$23,K133)+SUMIFS('3 Hazed Questions'!$G$2:$G$23,'3 Hazed Questions'!$A$2:$A$23,"Q4",'3 Hazed Questions'!$C$2:$C$23,L133))</f>
        <v/>
      </c>
      <c r="Q133" s="14" t="str">
        <f aca="false">IF(COUNTA(I133:L133)=0,"",SUMIFS('3 Hazed Questions'!$H$2:$H$23,'3 Hazed Questions'!$A$2:$A$23,"Q1",'3 Hazed Questions'!$C$2:$C$23,I133)+SUMIFS('3 Hazed Questions'!$H$2:$H$23,'3 Hazed Questions'!$A$2:$A$23,"Q2",'3 Hazed Questions'!$C$2:$C$23,J133)+SUMIFS('3 Hazed Questions'!$H$2:$H$23,'3 Hazed Questions'!$A$2:$A$23,"Q3",'3 Hazed Questions'!$C$2:$C$23,K133)+SUMIFS('3 Hazed Questions'!$H$2:$H$23,'3 Hazed Questions'!$A$2:$A$23,"Q4",'3 Hazed Questions'!$C$2:$C$23,L133))</f>
        <v/>
      </c>
      <c r="R133" s="14" t="str">
        <f aca="false">IF(COUNTA(I133:L133)=0,"",SUMIFS('3 Hazed Questions'!$I$2:$I$23,'3 Hazed Questions'!$A$2:$A$23,"Q1",'3 Hazed Questions'!$C$2:$C$23,I133)+SUMIFS('3 Hazed Questions'!$I$2:$I$23,'3 Hazed Questions'!$A$2:$A$23,"Q2",'3 Hazed Questions'!$C$2:$C$23,J133)+SUMIFS('3 Hazed Questions'!$I$2:$I$23,'3 Hazed Questions'!$A$2:$A$23,"Q3",'3 Hazed Questions'!$C$2:$C$23,K133)+SUMIFS('3 Hazed Questions'!$I$2:$I$23,'3 Hazed Questions'!$A$2:$A$23,"Q4",'3 Hazed Questions'!$C$2:$C$23,L133))</f>
        <v/>
      </c>
      <c r="S133" s="14" t="str">
        <f aca="false">IF(COUNTA(I133:L133)=0,"",SUMIFS('3 Hazed Questions'!$J$2:$J$23,'3 Hazed Questions'!$A$2:$A$23,"Q1",'3 Hazed Questions'!$C$2:$C$23,I133)+SUMIFS('3 Hazed Questions'!$J$2:$J$23,'3 Hazed Questions'!$A$2:$A$23,"Q2",'3 Hazed Questions'!$C$2:$C$23,J133)+SUMIFS('3 Hazed Questions'!$J$2:$J$23,'3 Hazed Questions'!$A$2:$A$23,"Q3",'3 Hazed Questions'!$C$2:$C$23,K133)+SUMIFS('3 Hazed Questions'!$J$2:$J$23,'3 Hazed Questions'!$A$2:$A$23,"Q4",'3 Hazed Questions'!$C$2:$C$23,L133))</f>
        <v/>
      </c>
      <c r="T133" s="14" t="str">
        <f aca="false">IF(COUNTA(I133:L133)=0,"",SUMIFS('3 Hazed Questions'!$K$2:$K$23,'3 Hazed Questions'!$A$2:$A$23,"Q1",'3 Hazed Questions'!$C$2:$C$23,I133)+SUMIFS('3 Hazed Questions'!$K$2:$K$23,'3 Hazed Questions'!$A$2:$A$23,"Q2",'3 Hazed Questions'!$C$2:$C$23,J133)+SUMIFS('3 Hazed Questions'!$K$2:$K$23,'3 Hazed Questions'!$A$2:$A$23,"Q3",'3 Hazed Questions'!$C$2:$C$23,K133)+SUMIFS('3 Hazed Questions'!$K$2:$K$23,'3 Hazed Questions'!$A$2:$A$23,"Q4",'3 Hazed Questions'!$C$2:$C$23,L133))</f>
        <v/>
      </c>
      <c r="U133" s="14" t="str">
        <f aca="false">IF(COUNTA(I133:L133)=0,"",SUMIFS('3 Hazed Questions'!$L$2:$L$23,'3 Hazed Questions'!$A$2:$A$23,"Q1",'3 Hazed Questions'!$C$2:$C$23,I133)+SUMIFS('3 Hazed Questions'!$L$2:$L$23,'3 Hazed Questions'!$A$2:$A$23,"Q2",'3 Hazed Questions'!$C$2:$C$23,J133)+SUMIFS('3 Hazed Questions'!$L$2:$L$23,'3 Hazed Questions'!$A$2:$A$23,"Q3",'3 Hazed Questions'!$C$2:$C$23,K133)+SUMIFS('3 Hazed Questions'!$L$2:$L$23,'3 Hazed Questions'!$A$2:$A$23,"Q4",'3 Hazed Questions'!$C$2:$C$23,L133))</f>
        <v/>
      </c>
      <c r="V133" s="14" t="str">
        <f aca="false">IF(COUNTA(I133:L133)=0,"",SUMIFS('3 Hazed Questions'!$M$2:$M$23,'3 Hazed Questions'!$A$2:$A$23,"Q1",'3 Hazed Questions'!$C$2:$C$23,I133)+SUMIFS('3 Hazed Questions'!$M$2:$M$23,'3 Hazed Questions'!$A$2:$A$23,"Q2",'3 Hazed Questions'!$C$2:$C$23,J133)+SUMIFS('3 Hazed Questions'!$M$2:$M$23,'3 Hazed Questions'!$A$2:$A$23,"Q3",'3 Hazed Questions'!$C$2:$C$23,K133)+SUMIFS('3 Hazed Questions'!$M$2:$M$23,'3 Hazed Questions'!$A$2:$A$23,"Q4",'3 Hazed Questions'!$C$2:$C$23,L133))</f>
        <v/>
      </c>
      <c r="W133" s="14" t="str">
        <f aca="false">IF(COUNTA(I133:L133)=0,"",SUMIFS('3 Hazed Questions'!$N$2:$N$23,'3 Hazed Questions'!$A$2:$A$23,"Q1",'3 Hazed Questions'!$C$2:$C$23,I133)+SUMIFS('3 Hazed Questions'!$N$2:$N$23,'3 Hazed Questions'!$A$2:$A$23,"Q2",'3 Hazed Questions'!$C$2:$C$23,J133)+SUMIFS('3 Hazed Questions'!$N$2:$N$23,'3 Hazed Questions'!$A$2:$A$23,"Q3",'3 Hazed Questions'!$C$2:$C$23,K133)+SUMIFS('3 Hazed Questions'!$N$2:$N$23,'3 Hazed Questions'!$A$2:$A$23,"Q4",'3 Hazed Questions'!$C$2:$C$23,L133))</f>
        <v/>
      </c>
      <c r="X133" s="14" t="str">
        <f aca="false">IF(COUNTA(I133:L133)=0,"",INDEX(Fields!$B$2:$B$50,MATCH(SUBSTITUTE(INDEX($N$1:$W$1,MATCH(MAX($N133:$W133),$N133:$W133,0)),"Score: ",""),Fields!$A$2:$A$50,0)))</f>
        <v/>
      </c>
      <c r="Y133" s="14" t="str">
        <f aca="true">IF(COUNTA(I133:L133)=0,"",IF(LARGE($N133:$W133,2)=0,"-",INDEX(Fields!$B$2:$B$50,MATCH(SUBSTITUTE(INDEX($N$1:$W$1,IF(LARGE($N133:$W133,2)=MAX($N133:$W133),MATCH(MAX($N133:$W133),OFFSET($N133:$W133,0,MATCH(MAX($N133:$W133),$N133:$W133,0),1,10-MATCH(MAX($N133:$W133),$N133:$W133,0)),0)+MATCH(MAX($N133:$W133),$N133:$W133,0),MATCH(LARGE($N133:$W133,2),$N133:$W133,0))),"Score: ",""),Fields!$A$2:$A$50,0))))</f>
        <v/>
      </c>
      <c r="Z133" s="14" t="str">
        <f aca="false">IF(M133="","",IFERROR(INDEX('3 Hazed Questions'!$O$2:$O$23,MATCH(1,INDEX(('3 Hazed Questions'!$A$2:$A$23="Q5")*('3 Hazed Questions'!$C$2:$C$23=M133),0),0))&amp;"",""))</f>
        <v/>
      </c>
      <c r="AA133" s="18"/>
      <c r="AB133" s="18"/>
      <c r="AC133" s="19"/>
      <c r="AD133" s="19"/>
      <c r="AE133" s="18"/>
      <c r="AF133" s="18"/>
      <c r="AG133" s="18"/>
    </row>
    <row r="134" customFormat="false" ht="15" hidden="false" customHeight="false" outlineLevel="0" collapsed="false">
      <c r="A134" s="18"/>
      <c r="B134" s="19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4" t="str">
        <f aca="false">IF(COUNTA(I134:L134)=0,"",SUMIFS('3 Hazed Questions'!$E$2:$E$23,'3 Hazed Questions'!$A$2:$A$23,"Q1",'3 Hazed Questions'!$C$2:$C$23,I134)+SUMIFS('3 Hazed Questions'!$E$2:$E$23,'3 Hazed Questions'!$A$2:$A$23,"Q2",'3 Hazed Questions'!$C$2:$C$23,J134)+SUMIFS('3 Hazed Questions'!$E$2:$E$23,'3 Hazed Questions'!$A$2:$A$23,"Q3",'3 Hazed Questions'!$C$2:$C$23,K134)+SUMIFS('3 Hazed Questions'!$E$2:$E$23,'3 Hazed Questions'!$A$2:$A$23,"Q4",'3 Hazed Questions'!$C$2:$C$23,L134))</f>
        <v/>
      </c>
      <c r="O134" s="14" t="str">
        <f aca="false">IF(COUNTA(I134:L134)=0,"",SUMIFS('3 Hazed Questions'!$F$2:$F$23,'3 Hazed Questions'!$A$2:$A$23,"Q1",'3 Hazed Questions'!$C$2:$C$23,I134)+SUMIFS('3 Hazed Questions'!$F$2:$F$23,'3 Hazed Questions'!$A$2:$A$23,"Q2",'3 Hazed Questions'!$C$2:$C$23,J134)+SUMIFS('3 Hazed Questions'!$F$2:$F$23,'3 Hazed Questions'!$A$2:$A$23,"Q3",'3 Hazed Questions'!$C$2:$C$23,K134)+SUMIFS('3 Hazed Questions'!$F$2:$F$23,'3 Hazed Questions'!$A$2:$A$23,"Q4",'3 Hazed Questions'!$C$2:$C$23,L134))</f>
        <v/>
      </c>
      <c r="P134" s="14" t="str">
        <f aca="false">IF(COUNTA(I134:L134)=0,"",SUMIFS('3 Hazed Questions'!$G$2:$G$23,'3 Hazed Questions'!$A$2:$A$23,"Q1",'3 Hazed Questions'!$C$2:$C$23,I134)+SUMIFS('3 Hazed Questions'!$G$2:$G$23,'3 Hazed Questions'!$A$2:$A$23,"Q2",'3 Hazed Questions'!$C$2:$C$23,J134)+SUMIFS('3 Hazed Questions'!$G$2:$G$23,'3 Hazed Questions'!$A$2:$A$23,"Q3",'3 Hazed Questions'!$C$2:$C$23,K134)+SUMIFS('3 Hazed Questions'!$G$2:$G$23,'3 Hazed Questions'!$A$2:$A$23,"Q4",'3 Hazed Questions'!$C$2:$C$23,L134))</f>
        <v/>
      </c>
      <c r="Q134" s="14" t="str">
        <f aca="false">IF(COUNTA(I134:L134)=0,"",SUMIFS('3 Hazed Questions'!$H$2:$H$23,'3 Hazed Questions'!$A$2:$A$23,"Q1",'3 Hazed Questions'!$C$2:$C$23,I134)+SUMIFS('3 Hazed Questions'!$H$2:$H$23,'3 Hazed Questions'!$A$2:$A$23,"Q2",'3 Hazed Questions'!$C$2:$C$23,J134)+SUMIFS('3 Hazed Questions'!$H$2:$H$23,'3 Hazed Questions'!$A$2:$A$23,"Q3",'3 Hazed Questions'!$C$2:$C$23,K134)+SUMIFS('3 Hazed Questions'!$H$2:$H$23,'3 Hazed Questions'!$A$2:$A$23,"Q4",'3 Hazed Questions'!$C$2:$C$23,L134))</f>
        <v/>
      </c>
      <c r="R134" s="14" t="str">
        <f aca="false">IF(COUNTA(I134:L134)=0,"",SUMIFS('3 Hazed Questions'!$I$2:$I$23,'3 Hazed Questions'!$A$2:$A$23,"Q1",'3 Hazed Questions'!$C$2:$C$23,I134)+SUMIFS('3 Hazed Questions'!$I$2:$I$23,'3 Hazed Questions'!$A$2:$A$23,"Q2",'3 Hazed Questions'!$C$2:$C$23,J134)+SUMIFS('3 Hazed Questions'!$I$2:$I$23,'3 Hazed Questions'!$A$2:$A$23,"Q3",'3 Hazed Questions'!$C$2:$C$23,K134)+SUMIFS('3 Hazed Questions'!$I$2:$I$23,'3 Hazed Questions'!$A$2:$A$23,"Q4",'3 Hazed Questions'!$C$2:$C$23,L134))</f>
        <v/>
      </c>
      <c r="S134" s="14" t="str">
        <f aca="false">IF(COUNTA(I134:L134)=0,"",SUMIFS('3 Hazed Questions'!$J$2:$J$23,'3 Hazed Questions'!$A$2:$A$23,"Q1",'3 Hazed Questions'!$C$2:$C$23,I134)+SUMIFS('3 Hazed Questions'!$J$2:$J$23,'3 Hazed Questions'!$A$2:$A$23,"Q2",'3 Hazed Questions'!$C$2:$C$23,J134)+SUMIFS('3 Hazed Questions'!$J$2:$J$23,'3 Hazed Questions'!$A$2:$A$23,"Q3",'3 Hazed Questions'!$C$2:$C$23,K134)+SUMIFS('3 Hazed Questions'!$J$2:$J$23,'3 Hazed Questions'!$A$2:$A$23,"Q4",'3 Hazed Questions'!$C$2:$C$23,L134))</f>
        <v/>
      </c>
      <c r="T134" s="14" t="str">
        <f aca="false">IF(COUNTA(I134:L134)=0,"",SUMIFS('3 Hazed Questions'!$K$2:$K$23,'3 Hazed Questions'!$A$2:$A$23,"Q1",'3 Hazed Questions'!$C$2:$C$23,I134)+SUMIFS('3 Hazed Questions'!$K$2:$K$23,'3 Hazed Questions'!$A$2:$A$23,"Q2",'3 Hazed Questions'!$C$2:$C$23,J134)+SUMIFS('3 Hazed Questions'!$K$2:$K$23,'3 Hazed Questions'!$A$2:$A$23,"Q3",'3 Hazed Questions'!$C$2:$C$23,K134)+SUMIFS('3 Hazed Questions'!$K$2:$K$23,'3 Hazed Questions'!$A$2:$A$23,"Q4",'3 Hazed Questions'!$C$2:$C$23,L134))</f>
        <v/>
      </c>
      <c r="U134" s="14" t="str">
        <f aca="false">IF(COUNTA(I134:L134)=0,"",SUMIFS('3 Hazed Questions'!$L$2:$L$23,'3 Hazed Questions'!$A$2:$A$23,"Q1",'3 Hazed Questions'!$C$2:$C$23,I134)+SUMIFS('3 Hazed Questions'!$L$2:$L$23,'3 Hazed Questions'!$A$2:$A$23,"Q2",'3 Hazed Questions'!$C$2:$C$23,J134)+SUMIFS('3 Hazed Questions'!$L$2:$L$23,'3 Hazed Questions'!$A$2:$A$23,"Q3",'3 Hazed Questions'!$C$2:$C$23,K134)+SUMIFS('3 Hazed Questions'!$L$2:$L$23,'3 Hazed Questions'!$A$2:$A$23,"Q4",'3 Hazed Questions'!$C$2:$C$23,L134))</f>
        <v/>
      </c>
      <c r="V134" s="14" t="str">
        <f aca="false">IF(COUNTA(I134:L134)=0,"",SUMIFS('3 Hazed Questions'!$M$2:$M$23,'3 Hazed Questions'!$A$2:$A$23,"Q1",'3 Hazed Questions'!$C$2:$C$23,I134)+SUMIFS('3 Hazed Questions'!$M$2:$M$23,'3 Hazed Questions'!$A$2:$A$23,"Q2",'3 Hazed Questions'!$C$2:$C$23,J134)+SUMIFS('3 Hazed Questions'!$M$2:$M$23,'3 Hazed Questions'!$A$2:$A$23,"Q3",'3 Hazed Questions'!$C$2:$C$23,K134)+SUMIFS('3 Hazed Questions'!$M$2:$M$23,'3 Hazed Questions'!$A$2:$A$23,"Q4",'3 Hazed Questions'!$C$2:$C$23,L134))</f>
        <v/>
      </c>
      <c r="W134" s="14" t="str">
        <f aca="false">IF(COUNTA(I134:L134)=0,"",SUMIFS('3 Hazed Questions'!$N$2:$N$23,'3 Hazed Questions'!$A$2:$A$23,"Q1",'3 Hazed Questions'!$C$2:$C$23,I134)+SUMIFS('3 Hazed Questions'!$N$2:$N$23,'3 Hazed Questions'!$A$2:$A$23,"Q2",'3 Hazed Questions'!$C$2:$C$23,J134)+SUMIFS('3 Hazed Questions'!$N$2:$N$23,'3 Hazed Questions'!$A$2:$A$23,"Q3",'3 Hazed Questions'!$C$2:$C$23,K134)+SUMIFS('3 Hazed Questions'!$N$2:$N$23,'3 Hazed Questions'!$A$2:$A$23,"Q4",'3 Hazed Questions'!$C$2:$C$23,L134))</f>
        <v/>
      </c>
      <c r="X134" s="14" t="str">
        <f aca="false">IF(COUNTA(I134:L134)=0,"",INDEX(Fields!$B$2:$B$50,MATCH(SUBSTITUTE(INDEX($N$1:$W$1,MATCH(MAX($N134:$W134),$N134:$W134,0)),"Score: ",""),Fields!$A$2:$A$50,0)))</f>
        <v/>
      </c>
      <c r="Y134" s="14" t="str">
        <f aca="true">IF(COUNTA(I134:L134)=0,"",IF(LARGE($N134:$W134,2)=0,"-",INDEX(Fields!$B$2:$B$50,MATCH(SUBSTITUTE(INDEX($N$1:$W$1,IF(LARGE($N134:$W134,2)=MAX($N134:$W134),MATCH(MAX($N134:$W134),OFFSET($N134:$W134,0,MATCH(MAX($N134:$W134),$N134:$W134,0),1,10-MATCH(MAX($N134:$W134),$N134:$W134,0)),0)+MATCH(MAX($N134:$W134),$N134:$W134,0),MATCH(LARGE($N134:$W134,2),$N134:$W134,0))),"Score: ",""),Fields!$A$2:$A$50,0))))</f>
        <v/>
      </c>
      <c r="Z134" s="14" t="str">
        <f aca="false">IF(M134="","",IFERROR(INDEX('3 Hazed Questions'!$O$2:$O$23,MATCH(1,INDEX(('3 Hazed Questions'!$A$2:$A$23="Q5")*('3 Hazed Questions'!$C$2:$C$23=M134),0),0))&amp;"",""))</f>
        <v/>
      </c>
      <c r="AA134" s="18"/>
      <c r="AB134" s="18"/>
      <c r="AC134" s="19"/>
      <c r="AD134" s="19"/>
      <c r="AE134" s="18"/>
      <c r="AF134" s="18"/>
      <c r="AG134" s="18"/>
    </row>
    <row r="135" customFormat="false" ht="15" hidden="false" customHeight="false" outlineLevel="0" collapsed="false">
      <c r="A135" s="18"/>
      <c r="B135" s="19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4" t="str">
        <f aca="false">IF(COUNTA(I135:L135)=0,"",SUMIFS('3 Hazed Questions'!$E$2:$E$23,'3 Hazed Questions'!$A$2:$A$23,"Q1",'3 Hazed Questions'!$C$2:$C$23,I135)+SUMIFS('3 Hazed Questions'!$E$2:$E$23,'3 Hazed Questions'!$A$2:$A$23,"Q2",'3 Hazed Questions'!$C$2:$C$23,J135)+SUMIFS('3 Hazed Questions'!$E$2:$E$23,'3 Hazed Questions'!$A$2:$A$23,"Q3",'3 Hazed Questions'!$C$2:$C$23,K135)+SUMIFS('3 Hazed Questions'!$E$2:$E$23,'3 Hazed Questions'!$A$2:$A$23,"Q4",'3 Hazed Questions'!$C$2:$C$23,L135))</f>
        <v/>
      </c>
      <c r="O135" s="14" t="str">
        <f aca="false">IF(COUNTA(I135:L135)=0,"",SUMIFS('3 Hazed Questions'!$F$2:$F$23,'3 Hazed Questions'!$A$2:$A$23,"Q1",'3 Hazed Questions'!$C$2:$C$23,I135)+SUMIFS('3 Hazed Questions'!$F$2:$F$23,'3 Hazed Questions'!$A$2:$A$23,"Q2",'3 Hazed Questions'!$C$2:$C$23,J135)+SUMIFS('3 Hazed Questions'!$F$2:$F$23,'3 Hazed Questions'!$A$2:$A$23,"Q3",'3 Hazed Questions'!$C$2:$C$23,K135)+SUMIFS('3 Hazed Questions'!$F$2:$F$23,'3 Hazed Questions'!$A$2:$A$23,"Q4",'3 Hazed Questions'!$C$2:$C$23,L135))</f>
        <v/>
      </c>
      <c r="P135" s="14" t="str">
        <f aca="false">IF(COUNTA(I135:L135)=0,"",SUMIFS('3 Hazed Questions'!$G$2:$G$23,'3 Hazed Questions'!$A$2:$A$23,"Q1",'3 Hazed Questions'!$C$2:$C$23,I135)+SUMIFS('3 Hazed Questions'!$G$2:$G$23,'3 Hazed Questions'!$A$2:$A$23,"Q2",'3 Hazed Questions'!$C$2:$C$23,J135)+SUMIFS('3 Hazed Questions'!$G$2:$G$23,'3 Hazed Questions'!$A$2:$A$23,"Q3",'3 Hazed Questions'!$C$2:$C$23,K135)+SUMIFS('3 Hazed Questions'!$G$2:$G$23,'3 Hazed Questions'!$A$2:$A$23,"Q4",'3 Hazed Questions'!$C$2:$C$23,L135))</f>
        <v/>
      </c>
      <c r="Q135" s="14" t="str">
        <f aca="false">IF(COUNTA(I135:L135)=0,"",SUMIFS('3 Hazed Questions'!$H$2:$H$23,'3 Hazed Questions'!$A$2:$A$23,"Q1",'3 Hazed Questions'!$C$2:$C$23,I135)+SUMIFS('3 Hazed Questions'!$H$2:$H$23,'3 Hazed Questions'!$A$2:$A$23,"Q2",'3 Hazed Questions'!$C$2:$C$23,J135)+SUMIFS('3 Hazed Questions'!$H$2:$H$23,'3 Hazed Questions'!$A$2:$A$23,"Q3",'3 Hazed Questions'!$C$2:$C$23,K135)+SUMIFS('3 Hazed Questions'!$H$2:$H$23,'3 Hazed Questions'!$A$2:$A$23,"Q4",'3 Hazed Questions'!$C$2:$C$23,L135))</f>
        <v/>
      </c>
      <c r="R135" s="14" t="str">
        <f aca="false">IF(COUNTA(I135:L135)=0,"",SUMIFS('3 Hazed Questions'!$I$2:$I$23,'3 Hazed Questions'!$A$2:$A$23,"Q1",'3 Hazed Questions'!$C$2:$C$23,I135)+SUMIFS('3 Hazed Questions'!$I$2:$I$23,'3 Hazed Questions'!$A$2:$A$23,"Q2",'3 Hazed Questions'!$C$2:$C$23,J135)+SUMIFS('3 Hazed Questions'!$I$2:$I$23,'3 Hazed Questions'!$A$2:$A$23,"Q3",'3 Hazed Questions'!$C$2:$C$23,K135)+SUMIFS('3 Hazed Questions'!$I$2:$I$23,'3 Hazed Questions'!$A$2:$A$23,"Q4",'3 Hazed Questions'!$C$2:$C$23,L135))</f>
        <v/>
      </c>
      <c r="S135" s="14" t="str">
        <f aca="false">IF(COUNTA(I135:L135)=0,"",SUMIFS('3 Hazed Questions'!$J$2:$J$23,'3 Hazed Questions'!$A$2:$A$23,"Q1",'3 Hazed Questions'!$C$2:$C$23,I135)+SUMIFS('3 Hazed Questions'!$J$2:$J$23,'3 Hazed Questions'!$A$2:$A$23,"Q2",'3 Hazed Questions'!$C$2:$C$23,J135)+SUMIFS('3 Hazed Questions'!$J$2:$J$23,'3 Hazed Questions'!$A$2:$A$23,"Q3",'3 Hazed Questions'!$C$2:$C$23,K135)+SUMIFS('3 Hazed Questions'!$J$2:$J$23,'3 Hazed Questions'!$A$2:$A$23,"Q4",'3 Hazed Questions'!$C$2:$C$23,L135))</f>
        <v/>
      </c>
      <c r="T135" s="14" t="str">
        <f aca="false">IF(COUNTA(I135:L135)=0,"",SUMIFS('3 Hazed Questions'!$K$2:$K$23,'3 Hazed Questions'!$A$2:$A$23,"Q1",'3 Hazed Questions'!$C$2:$C$23,I135)+SUMIFS('3 Hazed Questions'!$K$2:$K$23,'3 Hazed Questions'!$A$2:$A$23,"Q2",'3 Hazed Questions'!$C$2:$C$23,J135)+SUMIFS('3 Hazed Questions'!$K$2:$K$23,'3 Hazed Questions'!$A$2:$A$23,"Q3",'3 Hazed Questions'!$C$2:$C$23,K135)+SUMIFS('3 Hazed Questions'!$K$2:$K$23,'3 Hazed Questions'!$A$2:$A$23,"Q4",'3 Hazed Questions'!$C$2:$C$23,L135))</f>
        <v/>
      </c>
      <c r="U135" s="14" t="str">
        <f aca="false">IF(COUNTA(I135:L135)=0,"",SUMIFS('3 Hazed Questions'!$L$2:$L$23,'3 Hazed Questions'!$A$2:$A$23,"Q1",'3 Hazed Questions'!$C$2:$C$23,I135)+SUMIFS('3 Hazed Questions'!$L$2:$L$23,'3 Hazed Questions'!$A$2:$A$23,"Q2",'3 Hazed Questions'!$C$2:$C$23,J135)+SUMIFS('3 Hazed Questions'!$L$2:$L$23,'3 Hazed Questions'!$A$2:$A$23,"Q3",'3 Hazed Questions'!$C$2:$C$23,K135)+SUMIFS('3 Hazed Questions'!$L$2:$L$23,'3 Hazed Questions'!$A$2:$A$23,"Q4",'3 Hazed Questions'!$C$2:$C$23,L135))</f>
        <v/>
      </c>
      <c r="V135" s="14" t="str">
        <f aca="false">IF(COUNTA(I135:L135)=0,"",SUMIFS('3 Hazed Questions'!$M$2:$M$23,'3 Hazed Questions'!$A$2:$A$23,"Q1",'3 Hazed Questions'!$C$2:$C$23,I135)+SUMIFS('3 Hazed Questions'!$M$2:$M$23,'3 Hazed Questions'!$A$2:$A$23,"Q2",'3 Hazed Questions'!$C$2:$C$23,J135)+SUMIFS('3 Hazed Questions'!$M$2:$M$23,'3 Hazed Questions'!$A$2:$A$23,"Q3",'3 Hazed Questions'!$C$2:$C$23,K135)+SUMIFS('3 Hazed Questions'!$M$2:$M$23,'3 Hazed Questions'!$A$2:$A$23,"Q4",'3 Hazed Questions'!$C$2:$C$23,L135))</f>
        <v/>
      </c>
      <c r="W135" s="14" t="str">
        <f aca="false">IF(COUNTA(I135:L135)=0,"",SUMIFS('3 Hazed Questions'!$N$2:$N$23,'3 Hazed Questions'!$A$2:$A$23,"Q1",'3 Hazed Questions'!$C$2:$C$23,I135)+SUMIFS('3 Hazed Questions'!$N$2:$N$23,'3 Hazed Questions'!$A$2:$A$23,"Q2",'3 Hazed Questions'!$C$2:$C$23,J135)+SUMIFS('3 Hazed Questions'!$N$2:$N$23,'3 Hazed Questions'!$A$2:$A$23,"Q3",'3 Hazed Questions'!$C$2:$C$23,K135)+SUMIFS('3 Hazed Questions'!$N$2:$N$23,'3 Hazed Questions'!$A$2:$A$23,"Q4",'3 Hazed Questions'!$C$2:$C$23,L135))</f>
        <v/>
      </c>
      <c r="X135" s="14" t="str">
        <f aca="false">IF(COUNTA(I135:L135)=0,"",INDEX(Fields!$B$2:$B$50,MATCH(SUBSTITUTE(INDEX($N$1:$W$1,MATCH(MAX($N135:$W135),$N135:$W135,0)),"Score: ",""),Fields!$A$2:$A$50,0)))</f>
        <v/>
      </c>
      <c r="Y135" s="14" t="str">
        <f aca="true">IF(COUNTA(I135:L135)=0,"",IF(LARGE($N135:$W135,2)=0,"-",INDEX(Fields!$B$2:$B$50,MATCH(SUBSTITUTE(INDEX($N$1:$W$1,IF(LARGE($N135:$W135,2)=MAX($N135:$W135),MATCH(MAX($N135:$W135),OFFSET($N135:$W135,0,MATCH(MAX($N135:$W135),$N135:$W135,0),1,10-MATCH(MAX($N135:$W135),$N135:$W135,0)),0)+MATCH(MAX($N135:$W135),$N135:$W135,0),MATCH(LARGE($N135:$W135,2),$N135:$W135,0))),"Score: ",""),Fields!$A$2:$A$50,0))))</f>
        <v/>
      </c>
      <c r="Z135" s="14" t="str">
        <f aca="false">IF(M135="","",IFERROR(INDEX('3 Hazed Questions'!$O$2:$O$23,MATCH(1,INDEX(('3 Hazed Questions'!$A$2:$A$23="Q5")*('3 Hazed Questions'!$C$2:$C$23=M135),0),0))&amp;"",""))</f>
        <v/>
      </c>
      <c r="AA135" s="18"/>
      <c r="AB135" s="18"/>
      <c r="AC135" s="19"/>
      <c r="AD135" s="19"/>
      <c r="AE135" s="18"/>
      <c r="AF135" s="18"/>
      <c r="AG135" s="18"/>
    </row>
    <row r="136" customFormat="false" ht="15" hidden="false" customHeight="false" outlineLevel="0" collapsed="false">
      <c r="A136" s="18"/>
      <c r="B136" s="19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4" t="str">
        <f aca="false">IF(COUNTA(I136:L136)=0,"",SUMIFS('3 Hazed Questions'!$E$2:$E$23,'3 Hazed Questions'!$A$2:$A$23,"Q1",'3 Hazed Questions'!$C$2:$C$23,I136)+SUMIFS('3 Hazed Questions'!$E$2:$E$23,'3 Hazed Questions'!$A$2:$A$23,"Q2",'3 Hazed Questions'!$C$2:$C$23,J136)+SUMIFS('3 Hazed Questions'!$E$2:$E$23,'3 Hazed Questions'!$A$2:$A$23,"Q3",'3 Hazed Questions'!$C$2:$C$23,K136)+SUMIFS('3 Hazed Questions'!$E$2:$E$23,'3 Hazed Questions'!$A$2:$A$23,"Q4",'3 Hazed Questions'!$C$2:$C$23,L136))</f>
        <v/>
      </c>
      <c r="O136" s="14" t="str">
        <f aca="false">IF(COUNTA(I136:L136)=0,"",SUMIFS('3 Hazed Questions'!$F$2:$F$23,'3 Hazed Questions'!$A$2:$A$23,"Q1",'3 Hazed Questions'!$C$2:$C$23,I136)+SUMIFS('3 Hazed Questions'!$F$2:$F$23,'3 Hazed Questions'!$A$2:$A$23,"Q2",'3 Hazed Questions'!$C$2:$C$23,J136)+SUMIFS('3 Hazed Questions'!$F$2:$F$23,'3 Hazed Questions'!$A$2:$A$23,"Q3",'3 Hazed Questions'!$C$2:$C$23,K136)+SUMIFS('3 Hazed Questions'!$F$2:$F$23,'3 Hazed Questions'!$A$2:$A$23,"Q4",'3 Hazed Questions'!$C$2:$C$23,L136))</f>
        <v/>
      </c>
      <c r="P136" s="14" t="str">
        <f aca="false">IF(COUNTA(I136:L136)=0,"",SUMIFS('3 Hazed Questions'!$G$2:$G$23,'3 Hazed Questions'!$A$2:$A$23,"Q1",'3 Hazed Questions'!$C$2:$C$23,I136)+SUMIFS('3 Hazed Questions'!$G$2:$G$23,'3 Hazed Questions'!$A$2:$A$23,"Q2",'3 Hazed Questions'!$C$2:$C$23,J136)+SUMIFS('3 Hazed Questions'!$G$2:$G$23,'3 Hazed Questions'!$A$2:$A$23,"Q3",'3 Hazed Questions'!$C$2:$C$23,K136)+SUMIFS('3 Hazed Questions'!$G$2:$G$23,'3 Hazed Questions'!$A$2:$A$23,"Q4",'3 Hazed Questions'!$C$2:$C$23,L136))</f>
        <v/>
      </c>
      <c r="Q136" s="14" t="str">
        <f aca="false">IF(COUNTA(I136:L136)=0,"",SUMIFS('3 Hazed Questions'!$H$2:$H$23,'3 Hazed Questions'!$A$2:$A$23,"Q1",'3 Hazed Questions'!$C$2:$C$23,I136)+SUMIFS('3 Hazed Questions'!$H$2:$H$23,'3 Hazed Questions'!$A$2:$A$23,"Q2",'3 Hazed Questions'!$C$2:$C$23,J136)+SUMIFS('3 Hazed Questions'!$H$2:$H$23,'3 Hazed Questions'!$A$2:$A$23,"Q3",'3 Hazed Questions'!$C$2:$C$23,K136)+SUMIFS('3 Hazed Questions'!$H$2:$H$23,'3 Hazed Questions'!$A$2:$A$23,"Q4",'3 Hazed Questions'!$C$2:$C$23,L136))</f>
        <v/>
      </c>
      <c r="R136" s="14" t="str">
        <f aca="false">IF(COUNTA(I136:L136)=0,"",SUMIFS('3 Hazed Questions'!$I$2:$I$23,'3 Hazed Questions'!$A$2:$A$23,"Q1",'3 Hazed Questions'!$C$2:$C$23,I136)+SUMIFS('3 Hazed Questions'!$I$2:$I$23,'3 Hazed Questions'!$A$2:$A$23,"Q2",'3 Hazed Questions'!$C$2:$C$23,J136)+SUMIFS('3 Hazed Questions'!$I$2:$I$23,'3 Hazed Questions'!$A$2:$A$23,"Q3",'3 Hazed Questions'!$C$2:$C$23,K136)+SUMIFS('3 Hazed Questions'!$I$2:$I$23,'3 Hazed Questions'!$A$2:$A$23,"Q4",'3 Hazed Questions'!$C$2:$C$23,L136))</f>
        <v/>
      </c>
      <c r="S136" s="14" t="str">
        <f aca="false">IF(COUNTA(I136:L136)=0,"",SUMIFS('3 Hazed Questions'!$J$2:$J$23,'3 Hazed Questions'!$A$2:$A$23,"Q1",'3 Hazed Questions'!$C$2:$C$23,I136)+SUMIFS('3 Hazed Questions'!$J$2:$J$23,'3 Hazed Questions'!$A$2:$A$23,"Q2",'3 Hazed Questions'!$C$2:$C$23,J136)+SUMIFS('3 Hazed Questions'!$J$2:$J$23,'3 Hazed Questions'!$A$2:$A$23,"Q3",'3 Hazed Questions'!$C$2:$C$23,K136)+SUMIFS('3 Hazed Questions'!$J$2:$J$23,'3 Hazed Questions'!$A$2:$A$23,"Q4",'3 Hazed Questions'!$C$2:$C$23,L136))</f>
        <v/>
      </c>
      <c r="T136" s="14" t="str">
        <f aca="false">IF(COUNTA(I136:L136)=0,"",SUMIFS('3 Hazed Questions'!$K$2:$K$23,'3 Hazed Questions'!$A$2:$A$23,"Q1",'3 Hazed Questions'!$C$2:$C$23,I136)+SUMIFS('3 Hazed Questions'!$K$2:$K$23,'3 Hazed Questions'!$A$2:$A$23,"Q2",'3 Hazed Questions'!$C$2:$C$23,J136)+SUMIFS('3 Hazed Questions'!$K$2:$K$23,'3 Hazed Questions'!$A$2:$A$23,"Q3",'3 Hazed Questions'!$C$2:$C$23,K136)+SUMIFS('3 Hazed Questions'!$K$2:$K$23,'3 Hazed Questions'!$A$2:$A$23,"Q4",'3 Hazed Questions'!$C$2:$C$23,L136))</f>
        <v/>
      </c>
      <c r="U136" s="14" t="str">
        <f aca="false">IF(COUNTA(I136:L136)=0,"",SUMIFS('3 Hazed Questions'!$L$2:$L$23,'3 Hazed Questions'!$A$2:$A$23,"Q1",'3 Hazed Questions'!$C$2:$C$23,I136)+SUMIFS('3 Hazed Questions'!$L$2:$L$23,'3 Hazed Questions'!$A$2:$A$23,"Q2",'3 Hazed Questions'!$C$2:$C$23,J136)+SUMIFS('3 Hazed Questions'!$L$2:$L$23,'3 Hazed Questions'!$A$2:$A$23,"Q3",'3 Hazed Questions'!$C$2:$C$23,K136)+SUMIFS('3 Hazed Questions'!$L$2:$L$23,'3 Hazed Questions'!$A$2:$A$23,"Q4",'3 Hazed Questions'!$C$2:$C$23,L136))</f>
        <v/>
      </c>
      <c r="V136" s="14" t="str">
        <f aca="false">IF(COUNTA(I136:L136)=0,"",SUMIFS('3 Hazed Questions'!$M$2:$M$23,'3 Hazed Questions'!$A$2:$A$23,"Q1",'3 Hazed Questions'!$C$2:$C$23,I136)+SUMIFS('3 Hazed Questions'!$M$2:$M$23,'3 Hazed Questions'!$A$2:$A$23,"Q2",'3 Hazed Questions'!$C$2:$C$23,J136)+SUMIFS('3 Hazed Questions'!$M$2:$M$23,'3 Hazed Questions'!$A$2:$A$23,"Q3",'3 Hazed Questions'!$C$2:$C$23,K136)+SUMIFS('3 Hazed Questions'!$M$2:$M$23,'3 Hazed Questions'!$A$2:$A$23,"Q4",'3 Hazed Questions'!$C$2:$C$23,L136))</f>
        <v/>
      </c>
      <c r="W136" s="14" t="str">
        <f aca="false">IF(COUNTA(I136:L136)=0,"",SUMIFS('3 Hazed Questions'!$N$2:$N$23,'3 Hazed Questions'!$A$2:$A$23,"Q1",'3 Hazed Questions'!$C$2:$C$23,I136)+SUMIFS('3 Hazed Questions'!$N$2:$N$23,'3 Hazed Questions'!$A$2:$A$23,"Q2",'3 Hazed Questions'!$C$2:$C$23,J136)+SUMIFS('3 Hazed Questions'!$N$2:$N$23,'3 Hazed Questions'!$A$2:$A$23,"Q3",'3 Hazed Questions'!$C$2:$C$23,K136)+SUMIFS('3 Hazed Questions'!$N$2:$N$23,'3 Hazed Questions'!$A$2:$A$23,"Q4",'3 Hazed Questions'!$C$2:$C$23,L136))</f>
        <v/>
      </c>
      <c r="X136" s="14" t="str">
        <f aca="false">IF(COUNTA(I136:L136)=0,"",INDEX(Fields!$B$2:$B$50,MATCH(SUBSTITUTE(INDEX($N$1:$W$1,MATCH(MAX($N136:$W136),$N136:$W136,0)),"Score: ",""),Fields!$A$2:$A$50,0)))</f>
        <v/>
      </c>
      <c r="Y136" s="14" t="str">
        <f aca="true">IF(COUNTA(I136:L136)=0,"",IF(LARGE($N136:$W136,2)=0,"-",INDEX(Fields!$B$2:$B$50,MATCH(SUBSTITUTE(INDEX($N$1:$W$1,IF(LARGE($N136:$W136,2)=MAX($N136:$W136),MATCH(MAX($N136:$W136),OFFSET($N136:$W136,0,MATCH(MAX($N136:$W136),$N136:$W136,0),1,10-MATCH(MAX($N136:$W136),$N136:$W136,0)),0)+MATCH(MAX($N136:$W136),$N136:$W136,0),MATCH(LARGE($N136:$W136,2),$N136:$W136,0))),"Score: ",""),Fields!$A$2:$A$50,0))))</f>
        <v/>
      </c>
      <c r="Z136" s="14" t="str">
        <f aca="false">IF(M136="","",IFERROR(INDEX('3 Hazed Questions'!$O$2:$O$23,MATCH(1,INDEX(('3 Hazed Questions'!$A$2:$A$23="Q5")*('3 Hazed Questions'!$C$2:$C$23=M136),0),0))&amp;"",""))</f>
        <v/>
      </c>
      <c r="AA136" s="18"/>
      <c r="AB136" s="18"/>
      <c r="AC136" s="19"/>
      <c r="AD136" s="19"/>
      <c r="AE136" s="18"/>
      <c r="AF136" s="18"/>
      <c r="AG136" s="18"/>
    </row>
    <row r="137" customFormat="false" ht="15" hidden="false" customHeight="false" outlineLevel="0" collapsed="false">
      <c r="A137" s="18"/>
      <c r="B137" s="19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4" t="str">
        <f aca="false">IF(COUNTA(I137:L137)=0,"",SUMIFS('3 Hazed Questions'!$E$2:$E$23,'3 Hazed Questions'!$A$2:$A$23,"Q1",'3 Hazed Questions'!$C$2:$C$23,I137)+SUMIFS('3 Hazed Questions'!$E$2:$E$23,'3 Hazed Questions'!$A$2:$A$23,"Q2",'3 Hazed Questions'!$C$2:$C$23,J137)+SUMIFS('3 Hazed Questions'!$E$2:$E$23,'3 Hazed Questions'!$A$2:$A$23,"Q3",'3 Hazed Questions'!$C$2:$C$23,K137)+SUMIFS('3 Hazed Questions'!$E$2:$E$23,'3 Hazed Questions'!$A$2:$A$23,"Q4",'3 Hazed Questions'!$C$2:$C$23,L137))</f>
        <v/>
      </c>
      <c r="O137" s="14" t="str">
        <f aca="false">IF(COUNTA(I137:L137)=0,"",SUMIFS('3 Hazed Questions'!$F$2:$F$23,'3 Hazed Questions'!$A$2:$A$23,"Q1",'3 Hazed Questions'!$C$2:$C$23,I137)+SUMIFS('3 Hazed Questions'!$F$2:$F$23,'3 Hazed Questions'!$A$2:$A$23,"Q2",'3 Hazed Questions'!$C$2:$C$23,J137)+SUMIFS('3 Hazed Questions'!$F$2:$F$23,'3 Hazed Questions'!$A$2:$A$23,"Q3",'3 Hazed Questions'!$C$2:$C$23,K137)+SUMIFS('3 Hazed Questions'!$F$2:$F$23,'3 Hazed Questions'!$A$2:$A$23,"Q4",'3 Hazed Questions'!$C$2:$C$23,L137))</f>
        <v/>
      </c>
      <c r="P137" s="14" t="str">
        <f aca="false">IF(COUNTA(I137:L137)=0,"",SUMIFS('3 Hazed Questions'!$G$2:$G$23,'3 Hazed Questions'!$A$2:$A$23,"Q1",'3 Hazed Questions'!$C$2:$C$23,I137)+SUMIFS('3 Hazed Questions'!$G$2:$G$23,'3 Hazed Questions'!$A$2:$A$23,"Q2",'3 Hazed Questions'!$C$2:$C$23,J137)+SUMIFS('3 Hazed Questions'!$G$2:$G$23,'3 Hazed Questions'!$A$2:$A$23,"Q3",'3 Hazed Questions'!$C$2:$C$23,K137)+SUMIFS('3 Hazed Questions'!$G$2:$G$23,'3 Hazed Questions'!$A$2:$A$23,"Q4",'3 Hazed Questions'!$C$2:$C$23,L137))</f>
        <v/>
      </c>
      <c r="Q137" s="14" t="str">
        <f aca="false">IF(COUNTA(I137:L137)=0,"",SUMIFS('3 Hazed Questions'!$H$2:$H$23,'3 Hazed Questions'!$A$2:$A$23,"Q1",'3 Hazed Questions'!$C$2:$C$23,I137)+SUMIFS('3 Hazed Questions'!$H$2:$H$23,'3 Hazed Questions'!$A$2:$A$23,"Q2",'3 Hazed Questions'!$C$2:$C$23,J137)+SUMIFS('3 Hazed Questions'!$H$2:$H$23,'3 Hazed Questions'!$A$2:$A$23,"Q3",'3 Hazed Questions'!$C$2:$C$23,K137)+SUMIFS('3 Hazed Questions'!$H$2:$H$23,'3 Hazed Questions'!$A$2:$A$23,"Q4",'3 Hazed Questions'!$C$2:$C$23,L137))</f>
        <v/>
      </c>
      <c r="R137" s="14" t="str">
        <f aca="false">IF(COUNTA(I137:L137)=0,"",SUMIFS('3 Hazed Questions'!$I$2:$I$23,'3 Hazed Questions'!$A$2:$A$23,"Q1",'3 Hazed Questions'!$C$2:$C$23,I137)+SUMIFS('3 Hazed Questions'!$I$2:$I$23,'3 Hazed Questions'!$A$2:$A$23,"Q2",'3 Hazed Questions'!$C$2:$C$23,J137)+SUMIFS('3 Hazed Questions'!$I$2:$I$23,'3 Hazed Questions'!$A$2:$A$23,"Q3",'3 Hazed Questions'!$C$2:$C$23,K137)+SUMIFS('3 Hazed Questions'!$I$2:$I$23,'3 Hazed Questions'!$A$2:$A$23,"Q4",'3 Hazed Questions'!$C$2:$C$23,L137))</f>
        <v/>
      </c>
      <c r="S137" s="14" t="str">
        <f aca="false">IF(COUNTA(I137:L137)=0,"",SUMIFS('3 Hazed Questions'!$J$2:$J$23,'3 Hazed Questions'!$A$2:$A$23,"Q1",'3 Hazed Questions'!$C$2:$C$23,I137)+SUMIFS('3 Hazed Questions'!$J$2:$J$23,'3 Hazed Questions'!$A$2:$A$23,"Q2",'3 Hazed Questions'!$C$2:$C$23,J137)+SUMIFS('3 Hazed Questions'!$J$2:$J$23,'3 Hazed Questions'!$A$2:$A$23,"Q3",'3 Hazed Questions'!$C$2:$C$23,K137)+SUMIFS('3 Hazed Questions'!$J$2:$J$23,'3 Hazed Questions'!$A$2:$A$23,"Q4",'3 Hazed Questions'!$C$2:$C$23,L137))</f>
        <v/>
      </c>
      <c r="T137" s="14" t="str">
        <f aca="false">IF(COUNTA(I137:L137)=0,"",SUMIFS('3 Hazed Questions'!$K$2:$K$23,'3 Hazed Questions'!$A$2:$A$23,"Q1",'3 Hazed Questions'!$C$2:$C$23,I137)+SUMIFS('3 Hazed Questions'!$K$2:$K$23,'3 Hazed Questions'!$A$2:$A$23,"Q2",'3 Hazed Questions'!$C$2:$C$23,J137)+SUMIFS('3 Hazed Questions'!$K$2:$K$23,'3 Hazed Questions'!$A$2:$A$23,"Q3",'3 Hazed Questions'!$C$2:$C$23,K137)+SUMIFS('3 Hazed Questions'!$K$2:$K$23,'3 Hazed Questions'!$A$2:$A$23,"Q4",'3 Hazed Questions'!$C$2:$C$23,L137))</f>
        <v/>
      </c>
      <c r="U137" s="14" t="str">
        <f aca="false">IF(COUNTA(I137:L137)=0,"",SUMIFS('3 Hazed Questions'!$L$2:$L$23,'3 Hazed Questions'!$A$2:$A$23,"Q1",'3 Hazed Questions'!$C$2:$C$23,I137)+SUMIFS('3 Hazed Questions'!$L$2:$L$23,'3 Hazed Questions'!$A$2:$A$23,"Q2",'3 Hazed Questions'!$C$2:$C$23,J137)+SUMIFS('3 Hazed Questions'!$L$2:$L$23,'3 Hazed Questions'!$A$2:$A$23,"Q3",'3 Hazed Questions'!$C$2:$C$23,K137)+SUMIFS('3 Hazed Questions'!$L$2:$L$23,'3 Hazed Questions'!$A$2:$A$23,"Q4",'3 Hazed Questions'!$C$2:$C$23,L137))</f>
        <v/>
      </c>
      <c r="V137" s="14" t="str">
        <f aca="false">IF(COUNTA(I137:L137)=0,"",SUMIFS('3 Hazed Questions'!$M$2:$M$23,'3 Hazed Questions'!$A$2:$A$23,"Q1",'3 Hazed Questions'!$C$2:$C$23,I137)+SUMIFS('3 Hazed Questions'!$M$2:$M$23,'3 Hazed Questions'!$A$2:$A$23,"Q2",'3 Hazed Questions'!$C$2:$C$23,J137)+SUMIFS('3 Hazed Questions'!$M$2:$M$23,'3 Hazed Questions'!$A$2:$A$23,"Q3",'3 Hazed Questions'!$C$2:$C$23,K137)+SUMIFS('3 Hazed Questions'!$M$2:$M$23,'3 Hazed Questions'!$A$2:$A$23,"Q4",'3 Hazed Questions'!$C$2:$C$23,L137))</f>
        <v/>
      </c>
      <c r="W137" s="14" t="str">
        <f aca="false">IF(COUNTA(I137:L137)=0,"",SUMIFS('3 Hazed Questions'!$N$2:$N$23,'3 Hazed Questions'!$A$2:$A$23,"Q1",'3 Hazed Questions'!$C$2:$C$23,I137)+SUMIFS('3 Hazed Questions'!$N$2:$N$23,'3 Hazed Questions'!$A$2:$A$23,"Q2",'3 Hazed Questions'!$C$2:$C$23,J137)+SUMIFS('3 Hazed Questions'!$N$2:$N$23,'3 Hazed Questions'!$A$2:$A$23,"Q3",'3 Hazed Questions'!$C$2:$C$23,K137)+SUMIFS('3 Hazed Questions'!$N$2:$N$23,'3 Hazed Questions'!$A$2:$A$23,"Q4",'3 Hazed Questions'!$C$2:$C$23,L137))</f>
        <v/>
      </c>
      <c r="X137" s="14" t="str">
        <f aca="false">IF(COUNTA(I137:L137)=0,"",INDEX(Fields!$B$2:$B$50,MATCH(SUBSTITUTE(INDEX($N$1:$W$1,MATCH(MAX($N137:$W137),$N137:$W137,0)),"Score: ",""),Fields!$A$2:$A$50,0)))</f>
        <v/>
      </c>
      <c r="Y137" s="14" t="str">
        <f aca="true">IF(COUNTA(I137:L137)=0,"",IF(LARGE($N137:$W137,2)=0,"-",INDEX(Fields!$B$2:$B$50,MATCH(SUBSTITUTE(INDEX($N$1:$W$1,IF(LARGE($N137:$W137,2)=MAX($N137:$W137),MATCH(MAX($N137:$W137),OFFSET($N137:$W137,0,MATCH(MAX($N137:$W137),$N137:$W137,0),1,10-MATCH(MAX($N137:$W137),$N137:$W137,0)),0)+MATCH(MAX($N137:$W137),$N137:$W137,0),MATCH(LARGE($N137:$W137,2),$N137:$W137,0))),"Score: ",""),Fields!$A$2:$A$50,0))))</f>
        <v/>
      </c>
      <c r="Z137" s="14" t="str">
        <f aca="false">IF(M137="","",IFERROR(INDEX('3 Hazed Questions'!$O$2:$O$23,MATCH(1,INDEX(('3 Hazed Questions'!$A$2:$A$23="Q5")*('3 Hazed Questions'!$C$2:$C$23=M137),0),0))&amp;"",""))</f>
        <v/>
      </c>
      <c r="AA137" s="18"/>
      <c r="AB137" s="18"/>
      <c r="AC137" s="19"/>
      <c r="AD137" s="19"/>
      <c r="AE137" s="18"/>
      <c r="AF137" s="18"/>
      <c r="AG137" s="18"/>
    </row>
    <row r="138" customFormat="false" ht="15" hidden="false" customHeight="false" outlineLevel="0" collapsed="false">
      <c r="A138" s="18"/>
      <c r="B138" s="19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4" t="str">
        <f aca="false">IF(COUNTA(I138:L138)=0,"",SUMIFS('3 Hazed Questions'!$E$2:$E$23,'3 Hazed Questions'!$A$2:$A$23,"Q1",'3 Hazed Questions'!$C$2:$C$23,I138)+SUMIFS('3 Hazed Questions'!$E$2:$E$23,'3 Hazed Questions'!$A$2:$A$23,"Q2",'3 Hazed Questions'!$C$2:$C$23,J138)+SUMIFS('3 Hazed Questions'!$E$2:$E$23,'3 Hazed Questions'!$A$2:$A$23,"Q3",'3 Hazed Questions'!$C$2:$C$23,K138)+SUMIFS('3 Hazed Questions'!$E$2:$E$23,'3 Hazed Questions'!$A$2:$A$23,"Q4",'3 Hazed Questions'!$C$2:$C$23,L138))</f>
        <v/>
      </c>
      <c r="O138" s="14" t="str">
        <f aca="false">IF(COUNTA(I138:L138)=0,"",SUMIFS('3 Hazed Questions'!$F$2:$F$23,'3 Hazed Questions'!$A$2:$A$23,"Q1",'3 Hazed Questions'!$C$2:$C$23,I138)+SUMIFS('3 Hazed Questions'!$F$2:$F$23,'3 Hazed Questions'!$A$2:$A$23,"Q2",'3 Hazed Questions'!$C$2:$C$23,J138)+SUMIFS('3 Hazed Questions'!$F$2:$F$23,'3 Hazed Questions'!$A$2:$A$23,"Q3",'3 Hazed Questions'!$C$2:$C$23,K138)+SUMIFS('3 Hazed Questions'!$F$2:$F$23,'3 Hazed Questions'!$A$2:$A$23,"Q4",'3 Hazed Questions'!$C$2:$C$23,L138))</f>
        <v/>
      </c>
      <c r="P138" s="14" t="str">
        <f aca="false">IF(COUNTA(I138:L138)=0,"",SUMIFS('3 Hazed Questions'!$G$2:$G$23,'3 Hazed Questions'!$A$2:$A$23,"Q1",'3 Hazed Questions'!$C$2:$C$23,I138)+SUMIFS('3 Hazed Questions'!$G$2:$G$23,'3 Hazed Questions'!$A$2:$A$23,"Q2",'3 Hazed Questions'!$C$2:$C$23,J138)+SUMIFS('3 Hazed Questions'!$G$2:$G$23,'3 Hazed Questions'!$A$2:$A$23,"Q3",'3 Hazed Questions'!$C$2:$C$23,K138)+SUMIFS('3 Hazed Questions'!$G$2:$G$23,'3 Hazed Questions'!$A$2:$A$23,"Q4",'3 Hazed Questions'!$C$2:$C$23,L138))</f>
        <v/>
      </c>
      <c r="Q138" s="14" t="str">
        <f aca="false">IF(COUNTA(I138:L138)=0,"",SUMIFS('3 Hazed Questions'!$H$2:$H$23,'3 Hazed Questions'!$A$2:$A$23,"Q1",'3 Hazed Questions'!$C$2:$C$23,I138)+SUMIFS('3 Hazed Questions'!$H$2:$H$23,'3 Hazed Questions'!$A$2:$A$23,"Q2",'3 Hazed Questions'!$C$2:$C$23,J138)+SUMIFS('3 Hazed Questions'!$H$2:$H$23,'3 Hazed Questions'!$A$2:$A$23,"Q3",'3 Hazed Questions'!$C$2:$C$23,K138)+SUMIFS('3 Hazed Questions'!$H$2:$H$23,'3 Hazed Questions'!$A$2:$A$23,"Q4",'3 Hazed Questions'!$C$2:$C$23,L138))</f>
        <v/>
      </c>
      <c r="R138" s="14" t="str">
        <f aca="false">IF(COUNTA(I138:L138)=0,"",SUMIFS('3 Hazed Questions'!$I$2:$I$23,'3 Hazed Questions'!$A$2:$A$23,"Q1",'3 Hazed Questions'!$C$2:$C$23,I138)+SUMIFS('3 Hazed Questions'!$I$2:$I$23,'3 Hazed Questions'!$A$2:$A$23,"Q2",'3 Hazed Questions'!$C$2:$C$23,J138)+SUMIFS('3 Hazed Questions'!$I$2:$I$23,'3 Hazed Questions'!$A$2:$A$23,"Q3",'3 Hazed Questions'!$C$2:$C$23,K138)+SUMIFS('3 Hazed Questions'!$I$2:$I$23,'3 Hazed Questions'!$A$2:$A$23,"Q4",'3 Hazed Questions'!$C$2:$C$23,L138))</f>
        <v/>
      </c>
      <c r="S138" s="14" t="str">
        <f aca="false">IF(COUNTA(I138:L138)=0,"",SUMIFS('3 Hazed Questions'!$J$2:$J$23,'3 Hazed Questions'!$A$2:$A$23,"Q1",'3 Hazed Questions'!$C$2:$C$23,I138)+SUMIFS('3 Hazed Questions'!$J$2:$J$23,'3 Hazed Questions'!$A$2:$A$23,"Q2",'3 Hazed Questions'!$C$2:$C$23,J138)+SUMIFS('3 Hazed Questions'!$J$2:$J$23,'3 Hazed Questions'!$A$2:$A$23,"Q3",'3 Hazed Questions'!$C$2:$C$23,K138)+SUMIFS('3 Hazed Questions'!$J$2:$J$23,'3 Hazed Questions'!$A$2:$A$23,"Q4",'3 Hazed Questions'!$C$2:$C$23,L138))</f>
        <v/>
      </c>
      <c r="T138" s="14" t="str">
        <f aca="false">IF(COUNTA(I138:L138)=0,"",SUMIFS('3 Hazed Questions'!$K$2:$K$23,'3 Hazed Questions'!$A$2:$A$23,"Q1",'3 Hazed Questions'!$C$2:$C$23,I138)+SUMIFS('3 Hazed Questions'!$K$2:$K$23,'3 Hazed Questions'!$A$2:$A$23,"Q2",'3 Hazed Questions'!$C$2:$C$23,J138)+SUMIFS('3 Hazed Questions'!$K$2:$K$23,'3 Hazed Questions'!$A$2:$A$23,"Q3",'3 Hazed Questions'!$C$2:$C$23,K138)+SUMIFS('3 Hazed Questions'!$K$2:$K$23,'3 Hazed Questions'!$A$2:$A$23,"Q4",'3 Hazed Questions'!$C$2:$C$23,L138))</f>
        <v/>
      </c>
      <c r="U138" s="14" t="str">
        <f aca="false">IF(COUNTA(I138:L138)=0,"",SUMIFS('3 Hazed Questions'!$L$2:$L$23,'3 Hazed Questions'!$A$2:$A$23,"Q1",'3 Hazed Questions'!$C$2:$C$23,I138)+SUMIFS('3 Hazed Questions'!$L$2:$L$23,'3 Hazed Questions'!$A$2:$A$23,"Q2",'3 Hazed Questions'!$C$2:$C$23,J138)+SUMIFS('3 Hazed Questions'!$L$2:$L$23,'3 Hazed Questions'!$A$2:$A$23,"Q3",'3 Hazed Questions'!$C$2:$C$23,K138)+SUMIFS('3 Hazed Questions'!$L$2:$L$23,'3 Hazed Questions'!$A$2:$A$23,"Q4",'3 Hazed Questions'!$C$2:$C$23,L138))</f>
        <v/>
      </c>
      <c r="V138" s="14" t="str">
        <f aca="false">IF(COUNTA(I138:L138)=0,"",SUMIFS('3 Hazed Questions'!$M$2:$M$23,'3 Hazed Questions'!$A$2:$A$23,"Q1",'3 Hazed Questions'!$C$2:$C$23,I138)+SUMIFS('3 Hazed Questions'!$M$2:$M$23,'3 Hazed Questions'!$A$2:$A$23,"Q2",'3 Hazed Questions'!$C$2:$C$23,J138)+SUMIFS('3 Hazed Questions'!$M$2:$M$23,'3 Hazed Questions'!$A$2:$A$23,"Q3",'3 Hazed Questions'!$C$2:$C$23,K138)+SUMIFS('3 Hazed Questions'!$M$2:$M$23,'3 Hazed Questions'!$A$2:$A$23,"Q4",'3 Hazed Questions'!$C$2:$C$23,L138))</f>
        <v/>
      </c>
      <c r="W138" s="14" t="str">
        <f aca="false">IF(COUNTA(I138:L138)=0,"",SUMIFS('3 Hazed Questions'!$N$2:$N$23,'3 Hazed Questions'!$A$2:$A$23,"Q1",'3 Hazed Questions'!$C$2:$C$23,I138)+SUMIFS('3 Hazed Questions'!$N$2:$N$23,'3 Hazed Questions'!$A$2:$A$23,"Q2",'3 Hazed Questions'!$C$2:$C$23,J138)+SUMIFS('3 Hazed Questions'!$N$2:$N$23,'3 Hazed Questions'!$A$2:$A$23,"Q3",'3 Hazed Questions'!$C$2:$C$23,K138)+SUMIFS('3 Hazed Questions'!$N$2:$N$23,'3 Hazed Questions'!$A$2:$A$23,"Q4",'3 Hazed Questions'!$C$2:$C$23,L138))</f>
        <v/>
      </c>
      <c r="X138" s="14" t="str">
        <f aca="false">IF(COUNTA(I138:L138)=0,"",INDEX(Fields!$B$2:$B$50,MATCH(SUBSTITUTE(INDEX($N$1:$W$1,MATCH(MAX($N138:$W138),$N138:$W138,0)),"Score: ",""),Fields!$A$2:$A$50,0)))</f>
        <v/>
      </c>
      <c r="Y138" s="14" t="str">
        <f aca="true">IF(COUNTA(I138:L138)=0,"",IF(LARGE($N138:$W138,2)=0,"-",INDEX(Fields!$B$2:$B$50,MATCH(SUBSTITUTE(INDEX($N$1:$W$1,IF(LARGE($N138:$W138,2)=MAX($N138:$W138),MATCH(MAX($N138:$W138),OFFSET($N138:$W138,0,MATCH(MAX($N138:$W138),$N138:$W138,0),1,10-MATCH(MAX($N138:$W138),$N138:$W138,0)),0)+MATCH(MAX($N138:$W138),$N138:$W138,0),MATCH(LARGE($N138:$W138,2),$N138:$W138,0))),"Score: ",""),Fields!$A$2:$A$50,0))))</f>
        <v/>
      </c>
      <c r="Z138" s="14" t="str">
        <f aca="false">IF(M138="","",IFERROR(INDEX('3 Hazed Questions'!$O$2:$O$23,MATCH(1,INDEX(('3 Hazed Questions'!$A$2:$A$23="Q5")*('3 Hazed Questions'!$C$2:$C$23=M138),0),0))&amp;"",""))</f>
        <v/>
      </c>
      <c r="AA138" s="18"/>
      <c r="AB138" s="18"/>
      <c r="AC138" s="19"/>
      <c r="AD138" s="19"/>
      <c r="AE138" s="18"/>
      <c r="AF138" s="18"/>
      <c r="AG138" s="18"/>
    </row>
    <row r="139" customFormat="false" ht="15" hidden="false" customHeight="false" outlineLevel="0" collapsed="false">
      <c r="A139" s="18"/>
      <c r="B139" s="19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4" t="str">
        <f aca="false">IF(COUNTA(I139:L139)=0,"",SUMIFS('3 Hazed Questions'!$E$2:$E$23,'3 Hazed Questions'!$A$2:$A$23,"Q1",'3 Hazed Questions'!$C$2:$C$23,I139)+SUMIFS('3 Hazed Questions'!$E$2:$E$23,'3 Hazed Questions'!$A$2:$A$23,"Q2",'3 Hazed Questions'!$C$2:$C$23,J139)+SUMIFS('3 Hazed Questions'!$E$2:$E$23,'3 Hazed Questions'!$A$2:$A$23,"Q3",'3 Hazed Questions'!$C$2:$C$23,K139)+SUMIFS('3 Hazed Questions'!$E$2:$E$23,'3 Hazed Questions'!$A$2:$A$23,"Q4",'3 Hazed Questions'!$C$2:$C$23,L139))</f>
        <v/>
      </c>
      <c r="O139" s="14" t="str">
        <f aca="false">IF(COUNTA(I139:L139)=0,"",SUMIFS('3 Hazed Questions'!$F$2:$F$23,'3 Hazed Questions'!$A$2:$A$23,"Q1",'3 Hazed Questions'!$C$2:$C$23,I139)+SUMIFS('3 Hazed Questions'!$F$2:$F$23,'3 Hazed Questions'!$A$2:$A$23,"Q2",'3 Hazed Questions'!$C$2:$C$23,J139)+SUMIFS('3 Hazed Questions'!$F$2:$F$23,'3 Hazed Questions'!$A$2:$A$23,"Q3",'3 Hazed Questions'!$C$2:$C$23,K139)+SUMIFS('3 Hazed Questions'!$F$2:$F$23,'3 Hazed Questions'!$A$2:$A$23,"Q4",'3 Hazed Questions'!$C$2:$C$23,L139))</f>
        <v/>
      </c>
      <c r="P139" s="14" t="str">
        <f aca="false">IF(COUNTA(I139:L139)=0,"",SUMIFS('3 Hazed Questions'!$G$2:$G$23,'3 Hazed Questions'!$A$2:$A$23,"Q1",'3 Hazed Questions'!$C$2:$C$23,I139)+SUMIFS('3 Hazed Questions'!$G$2:$G$23,'3 Hazed Questions'!$A$2:$A$23,"Q2",'3 Hazed Questions'!$C$2:$C$23,J139)+SUMIFS('3 Hazed Questions'!$G$2:$G$23,'3 Hazed Questions'!$A$2:$A$23,"Q3",'3 Hazed Questions'!$C$2:$C$23,K139)+SUMIFS('3 Hazed Questions'!$G$2:$G$23,'3 Hazed Questions'!$A$2:$A$23,"Q4",'3 Hazed Questions'!$C$2:$C$23,L139))</f>
        <v/>
      </c>
      <c r="Q139" s="14" t="str">
        <f aca="false">IF(COUNTA(I139:L139)=0,"",SUMIFS('3 Hazed Questions'!$H$2:$H$23,'3 Hazed Questions'!$A$2:$A$23,"Q1",'3 Hazed Questions'!$C$2:$C$23,I139)+SUMIFS('3 Hazed Questions'!$H$2:$H$23,'3 Hazed Questions'!$A$2:$A$23,"Q2",'3 Hazed Questions'!$C$2:$C$23,J139)+SUMIFS('3 Hazed Questions'!$H$2:$H$23,'3 Hazed Questions'!$A$2:$A$23,"Q3",'3 Hazed Questions'!$C$2:$C$23,K139)+SUMIFS('3 Hazed Questions'!$H$2:$H$23,'3 Hazed Questions'!$A$2:$A$23,"Q4",'3 Hazed Questions'!$C$2:$C$23,L139))</f>
        <v/>
      </c>
      <c r="R139" s="14" t="str">
        <f aca="false">IF(COUNTA(I139:L139)=0,"",SUMIFS('3 Hazed Questions'!$I$2:$I$23,'3 Hazed Questions'!$A$2:$A$23,"Q1",'3 Hazed Questions'!$C$2:$C$23,I139)+SUMIFS('3 Hazed Questions'!$I$2:$I$23,'3 Hazed Questions'!$A$2:$A$23,"Q2",'3 Hazed Questions'!$C$2:$C$23,J139)+SUMIFS('3 Hazed Questions'!$I$2:$I$23,'3 Hazed Questions'!$A$2:$A$23,"Q3",'3 Hazed Questions'!$C$2:$C$23,K139)+SUMIFS('3 Hazed Questions'!$I$2:$I$23,'3 Hazed Questions'!$A$2:$A$23,"Q4",'3 Hazed Questions'!$C$2:$C$23,L139))</f>
        <v/>
      </c>
      <c r="S139" s="14" t="str">
        <f aca="false">IF(COUNTA(I139:L139)=0,"",SUMIFS('3 Hazed Questions'!$J$2:$J$23,'3 Hazed Questions'!$A$2:$A$23,"Q1",'3 Hazed Questions'!$C$2:$C$23,I139)+SUMIFS('3 Hazed Questions'!$J$2:$J$23,'3 Hazed Questions'!$A$2:$A$23,"Q2",'3 Hazed Questions'!$C$2:$C$23,J139)+SUMIFS('3 Hazed Questions'!$J$2:$J$23,'3 Hazed Questions'!$A$2:$A$23,"Q3",'3 Hazed Questions'!$C$2:$C$23,K139)+SUMIFS('3 Hazed Questions'!$J$2:$J$23,'3 Hazed Questions'!$A$2:$A$23,"Q4",'3 Hazed Questions'!$C$2:$C$23,L139))</f>
        <v/>
      </c>
      <c r="T139" s="14" t="str">
        <f aca="false">IF(COUNTA(I139:L139)=0,"",SUMIFS('3 Hazed Questions'!$K$2:$K$23,'3 Hazed Questions'!$A$2:$A$23,"Q1",'3 Hazed Questions'!$C$2:$C$23,I139)+SUMIFS('3 Hazed Questions'!$K$2:$K$23,'3 Hazed Questions'!$A$2:$A$23,"Q2",'3 Hazed Questions'!$C$2:$C$23,J139)+SUMIFS('3 Hazed Questions'!$K$2:$K$23,'3 Hazed Questions'!$A$2:$A$23,"Q3",'3 Hazed Questions'!$C$2:$C$23,K139)+SUMIFS('3 Hazed Questions'!$K$2:$K$23,'3 Hazed Questions'!$A$2:$A$23,"Q4",'3 Hazed Questions'!$C$2:$C$23,L139))</f>
        <v/>
      </c>
      <c r="U139" s="14" t="str">
        <f aca="false">IF(COUNTA(I139:L139)=0,"",SUMIFS('3 Hazed Questions'!$L$2:$L$23,'3 Hazed Questions'!$A$2:$A$23,"Q1",'3 Hazed Questions'!$C$2:$C$23,I139)+SUMIFS('3 Hazed Questions'!$L$2:$L$23,'3 Hazed Questions'!$A$2:$A$23,"Q2",'3 Hazed Questions'!$C$2:$C$23,J139)+SUMIFS('3 Hazed Questions'!$L$2:$L$23,'3 Hazed Questions'!$A$2:$A$23,"Q3",'3 Hazed Questions'!$C$2:$C$23,K139)+SUMIFS('3 Hazed Questions'!$L$2:$L$23,'3 Hazed Questions'!$A$2:$A$23,"Q4",'3 Hazed Questions'!$C$2:$C$23,L139))</f>
        <v/>
      </c>
      <c r="V139" s="14" t="str">
        <f aca="false">IF(COUNTA(I139:L139)=0,"",SUMIFS('3 Hazed Questions'!$M$2:$M$23,'3 Hazed Questions'!$A$2:$A$23,"Q1",'3 Hazed Questions'!$C$2:$C$23,I139)+SUMIFS('3 Hazed Questions'!$M$2:$M$23,'3 Hazed Questions'!$A$2:$A$23,"Q2",'3 Hazed Questions'!$C$2:$C$23,J139)+SUMIFS('3 Hazed Questions'!$M$2:$M$23,'3 Hazed Questions'!$A$2:$A$23,"Q3",'3 Hazed Questions'!$C$2:$C$23,K139)+SUMIFS('3 Hazed Questions'!$M$2:$M$23,'3 Hazed Questions'!$A$2:$A$23,"Q4",'3 Hazed Questions'!$C$2:$C$23,L139))</f>
        <v/>
      </c>
      <c r="W139" s="14" t="str">
        <f aca="false">IF(COUNTA(I139:L139)=0,"",SUMIFS('3 Hazed Questions'!$N$2:$N$23,'3 Hazed Questions'!$A$2:$A$23,"Q1",'3 Hazed Questions'!$C$2:$C$23,I139)+SUMIFS('3 Hazed Questions'!$N$2:$N$23,'3 Hazed Questions'!$A$2:$A$23,"Q2",'3 Hazed Questions'!$C$2:$C$23,J139)+SUMIFS('3 Hazed Questions'!$N$2:$N$23,'3 Hazed Questions'!$A$2:$A$23,"Q3",'3 Hazed Questions'!$C$2:$C$23,K139)+SUMIFS('3 Hazed Questions'!$N$2:$N$23,'3 Hazed Questions'!$A$2:$A$23,"Q4",'3 Hazed Questions'!$C$2:$C$23,L139))</f>
        <v/>
      </c>
      <c r="X139" s="14" t="str">
        <f aca="false">IF(COUNTA(I139:L139)=0,"",INDEX(Fields!$B$2:$B$50,MATCH(SUBSTITUTE(INDEX($N$1:$W$1,MATCH(MAX($N139:$W139),$N139:$W139,0)),"Score: ",""),Fields!$A$2:$A$50,0)))</f>
        <v/>
      </c>
      <c r="Y139" s="14" t="str">
        <f aca="true">IF(COUNTA(I139:L139)=0,"",IF(LARGE($N139:$W139,2)=0,"-",INDEX(Fields!$B$2:$B$50,MATCH(SUBSTITUTE(INDEX($N$1:$W$1,IF(LARGE($N139:$W139,2)=MAX($N139:$W139),MATCH(MAX($N139:$W139),OFFSET($N139:$W139,0,MATCH(MAX($N139:$W139),$N139:$W139,0),1,10-MATCH(MAX($N139:$W139),$N139:$W139,0)),0)+MATCH(MAX($N139:$W139),$N139:$W139,0),MATCH(LARGE($N139:$W139,2),$N139:$W139,0))),"Score: ",""),Fields!$A$2:$A$50,0))))</f>
        <v/>
      </c>
      <c r="Z139" s="14" t="str">
        <f aca="false">IF(M139="","",IFERROR(INDEX('3 Hazed Questions'!$O$2:$O$23,MATCH(1,INDEX(('3 Hazed Questions'!$A$2:$A$23="Q5")*('3 Hazed Questions'!$C$2:$C$23=M139),0),0))&amp;"",""))</f>
        <v/>
      </c>
      <c r="AA139" s="18"/>
      <c r="AB139" s="18"/>
      <c r="AC139" s="19"/>
      <c r="AD139" s="19"/>
      <c r="AE139" s="18"/>
      <c r="AF139" s="18"/>
      <c r="AG139" s="18"/>
    </row>
    <row r="140" customFormat="false" ht="15" hidden="false" customHeight="false" outlineLevel="0" collapsed="false">
      <c r="A140" s="18"/>
      <c r="B140" s="19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4" t="str">
        <f aca="false">IF(COUNTA(I140:L140)=0,"",SUMIFS('3 Hazed Questions'!$E$2:$E$23,'3 Hazed Questions'!$A$2:$A$23,"Q1",'3 Hazed Questions'!$C$2:$C$23,I140)+SUMIFS('3 Hazed Questions'!$E$2:$E$23,'3 Hazed Questions'!$A$2:$A$23,"Q2",'3 Hazed Questions'!$C$2:$C$23,J140)+SUMIFS('3 Hazed Questions'!$E$2:$E$23,'3 Hazed Questions'!$A$2:$A$23,"Q3",'3 Hazed Questions'!$C$2:$C$23,K140)+SUMIFS('3 Hazed Questions'!$E$2:$E$23,'3 Hazed Questions'!$A$2:$A$23,"Q4",'3 Hazed Questions'!$C$2:$C$23,L140))</f>
        <v/>
      </c>
      <c r="O140" s="14" t="str">
        <f aca="false">IF(COUNTA(I140:L140)=0,"",SUMIFS('3 Hazed Questions'!$F$2:$F$23,'3 Hazed Questions'!$A$2:$A$23,"Q1",'3 Hazed Questions'!$C$2:$C$23,I140)+SUMIFS('3 Hazed Questions'!$F$2:$F$23,'3 Hazed Questions'!$A$2:$A$23,"Q2",'3 Hazed Questions'!$C$2:$C$23,J140)+SUMIFS('3 Hazed Questions'!$F$2:$F$23,'3 Hazed Questions'!$A$2:$A$23,"Q3",'3 Hazed Questions'!$C$2:$C$23,K140)+SUMIFS('3 Hazed Questions'!$F$2:$F$23,'3 Hazed Questions'!$A$2:$A$23,"Q4",'3 Hazed Questions'!$C$2:$C$23,L140))</f>
        <v/>
      </c>
      <c r="P140" s="14" t="str">
        <f aca="false">IF(COUNTA(I140:L140)=0,"",SUMIFS('3 Hazed Questions'!$G$2:$G$23,'3 Hazed Questions'!$A$2:$A$23,"Q1",'3 Hazed Questions'!$C$2:$C$23,I140)+SUMIFS('3 Hazed Questions'!$G$2:$G$23,'3 Hazed Questions'!$A$2:$A$23,"Q2",'3 Hazed Questions'!$C$2:$C$23,J140)+SUMIFS('3 Hazed Questions'!$G$2:$G$23,'3 Hazed Questions'!$A$2:$A$23,"Q3",'3 Hazed Questions'!$C$2:$C$23,K140)+SUMIFS('3 Hazed Questions'!$G$2:$G$23,'3 Hazed Questions'!$A$2:$A$23,"Q4",'3 Hazed Questions'!$C$2:$C$23,L140))</f>
        <v/>
      </c>
      <c r="Q140" s="14" t="str">
        <f aca="false">IF(COUNTA(I140:L140)=0,"",SUMIFS('3 Hazed Questions'!$H$2:$H$23,'3 Hazed Questions'!$A$2:$A$23,"Q1",'3 Hazed Questions'!$C$2:$C$23,I140)+SUMIFS('3 Hazed Questions'!$H$2:$H$23,'3 Hazed Questions'!$A$2:$A$23,"Q2",'3 Hazed Questions'!$C$2:$C$23,J140)+SUMIFS('3 Hazed Questions'!$H$2:$H$23,'3 Hazed Questions'!$A$2:$A$23,"Q3",'3 Hazed Questions'!$C$2:$C$23,K140)+SUMIFS('3 Hazed Questions'!$H$2:$H$23,'3 Hazed Questions'!$A$2:$A$23,"Q4",'3 Hazed Questions'!$C$2:$C$23,L140))</f>
        <v/>
      </c>
      <c r="R140" s="14" t="str">
        <f aca="false">IF(COUNTA(I140:L140)=0,"",SUMIFS('3 Hazed Questions'!$I$2:$I$23,'3 Hazed Questions'!$A$2:$A$23,"Q1",'3 Hazed Questions'!$C$2:$C$23,I140)+SUMIFS('3 Hazed Questions'!$I$2:$I$23,'3 Hazed Questions'!$A$2:$A$23,"Q2",'3 Hazed Questions'!$C$2:$C$23,J140)+SUMIFS('3 Hazed Questions'!$I$2:$I$23,'3 Hazed Questions'!$A$2:$A$23,"Q3",'3 Hazed Questions'!$C$2:$C$23,K140)+SUMIFS('3 Hazed Questions'!$I$2:$I$23,'3 Hazed Questions'!$A$2:$A$23,"Q4",'3 Hazed Questions'!$C$2:$C$23,L140))</f>
        <v/>
      </c>
      <c r="S140" s="14" t="str">
        <f aca="false">IF(COUNTA(I140:L140)=0,"",SUMIFS('3 Hazed Questions'!$J$2:$J$23,'3 Hazed Questions'!$A$2:$A$23,"Q1",'3 Hazed Questions'!$C$2:$C$23,I140)+SUMIFS('3 Hazed Questions'!$J$2:$J$23,'3 Hazed Questions'!$A$2:$A$23,"Q2",'3 Hazed Questions'!$C$2:$C$23,J140)+SUMIFS('3 Hazed Questions'!$J$2:$J$23,'3 Hazed Questions'!$A$2:$A$23,"Q3",'3 Hazed Questions'!$C$2:$C$23,K140)+SUMIFS('3 Hazed Questions'!$J$2:$J$23,'3 Hazed Questions'!$A$2:$A$23,"Q4",'3 Hazed Questions'!$C$2:$C$23,L140))</f>
        <v/>
      </c>
      <c r="T140" s="14" t="str">
        <f aca="false">IF(COUNTA(I140:L140)=0,"",SUMIFS('3 Hazed Questions'!$K$2:$K$23,'3 Hazed Questions'!$A$2:$A$23,"Q1",'3 Hazed Questions'!$C$2:$C$23,I140)+SUMIFS('3 Hazed Questions'!$K$2:$K$23,'3 Hazed Questions'!$A$2:$A$23,"Q2",'3 Hazed Questions'!$C$2:$C$23,J140)+SUMIFS('3 Hazed Questions'!$K$2:$K$23,'3 Hazed Questions'!$A$2:$A$23,"Q3",'3 Hazed Questions'!$C$2:$C$23,K140)+SUMIFS('3 Hazed Questions'!$K$2:$K$23,'3 Hazed Questions'!$A$2:$A$23,"Q4",'3 Hazed Questions'!$C$2:$C$23,L140))</f>
        <v/>
      </c>
      <c r="U140" s="14" t="str">
        <f aca="false">IF(COUNTA(I140:L140)=0,"",SUMIFS('3 Hazed Questions'!$L$2:$L$23,'3 Hazed Questions'!$A$2:$A$23,"Q1",'3 Hazed Questions'!$C$2:$C$23,I140)+SUMIFS('3 Hazed Questions'!$L$2:$L$23,'3 Hazed Questions'!$A$2:$A$23,"Q2",'3 Hazed Questions'!$C$2:$C$23,J140)+SUMIFS('3 Hazed Questions'!$L$2:$L$23,'3 Hazed Questions'!$A$2:$A$23,"Q3",'3 Hazed Questions'!$C$2:$C$23,K140)+SUMIFS('3 Hazed Questions'!$L$2:$L$23,'3 Hazed Questions'!$A$2:$A$23,"Q4",'3 Hazed Questions'!$C$2:$C$23,L140))</f>
        <v/>
      </c>
      <c r="V140" s="14" t="str">
        <f aca="false">IF(COUNTA(I140:L140)=0,"",SUMIFS('3 Hazed Questions'!$M$2:$M$23,'3 Hazed Questions'!$A$2:$A$23,"Q1",'3 Hazed Questions'!$C$2:$C$23,I140)+SUMIFS('3 Hazed Questions'!$M$2:$M$23,'3 Hazed Questions'!$A$2:$A$23,"Q2",'3 Hazed Questions'!$C$2:$C$23,J140)+SUMIFS('3 Hazed Questions'!$M$2:$M$23,'3 Hazed Questions'!$A$2:$A$23,"Q3",'3 Hazed Questions'!$C$2:$C$23,K140)+SUMIFS('3 Hazed Questions'!$M$2:$M$23,'3 Hazed Questions'!$A$2:$A$23,"Q4",'3 Hazed Questions'!$C$2:$C$23,L140))</f>
        <v/>
      </c>
      <c r="W140" s="14" t="str">
        <f aca="false">IF(COUNTA(I140:L140)=0,"",SUMIFS('3 Hazed Questions'!$N$2:$N$23,'3 Hazed Questions'!$A$2:$A$23,"Q1",'3 Hazed Questions'!$C$2:$C$23,I140)+SUMIFS('3 Hazed Questions'!$N$2:$N$23,'3 Hazed Questions'!$A$2:$A$23,"Q2",'3 Hazed Questions'!$C$2:$C$23,J140)+SUMIFS('3 Hazed Questions'!$N$2:$N$23,'3 Hazed Questions'!$A$2:$A$23,"Q3",'3 Hazed Questions'!$C$2:$C$23,K140)+SUMIFS('3 Hazed Questions'!$N$2:$N$23,'3 Hazed Questions'!$A$2:$A$23,"Q4",'3 Hazed Questions'!$C$2:$C$23,L140))</f>
        <v/>
      </c>
      <c r="X140" s="14" t="str">
        <f aca="false">IF(COUNTA(I140:L140)=0,"",INDEX(Fields!$B$2:$B$50,MATCH(SUBSTITUTE(INDEX($N$1:$W$1,MATCH(MAX($N140:$W140),$N140:$W140,0)),"Score: ",""),Fields!$A$2:$A$50,0)))</f>
        <v/>
      </c>
      <c r="Y140" s="14" t="str">
        <f aca="true">IF(COUNTA(I140:L140)=0,"",IF(LARGE($N140:$W140,2)=0,"-",INDEX(Fields!$B$2:$B$50,MATCH(SUBSTITUTE(INDEX($N$1:$W$1,IF(LARGE($N140:$W140,2)=MAX($N140:$W140),MATCH(MAX($N140:$W140),OFFSET($N140:$W140,0,MATCH(MAX($N140:$W140),$N140:$W140,0),1,10-MATCH(MAX($N140:$W140),$N140:$W140,0)),0)+MATCH(MAX($N140:$W140),$N140:$W140,0),MATCH(LARGE($N140:$W140,2),$N140:$W140,0))),"Score: ",""),Fields!$A$2:$A$50,0))))</f>
        <v/>
      </c>
      <c r="Z140" s="14" t="str">
        <f aca="false">IF(M140="","",IFERROR(INDEX('3 Hazed Questions'!$O$2:$O$23,MATCH(1,INDEX(('3 Hazed Questions'!$A$2:$A$23="Q5")*('3 Hazed Questions'!$C$2:$C$23=M140),0),0))&amp;"",""))</f>
        <v/>
      </c>
      <c r="AA140" s="18"/>
      <c r="AB140" s="18"/>
      <c r="AC140" s="19"/>
      <c r="AD140" s="19"/>
      <c r="AE140" s="18"/>
      <c r="AF140" s="18"/>
      <c r="AG140" s="18"/>
    </row>
    <row r="141" customFormat="false" ht="15" hidden="false" customHeight="false" outlineLevel="0" collapsed="false">
      <c r="A141" s="18"/>
      <c r="B141" s="19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4" t="str">
        <f aca="false">IF(COUNTA(I141:L141)=0,"",SUMIFS('3 Hazed Questions'!$E$2:$E$23,'3 Hazed Questions'!$A$2:$A$23,"Q1",'3 Hazed Questions'!$C$2:$C$23,I141)+SUMIFS('3 Hazed Questions'!$E$2:$E$23,'3 Hazed Questions'!$A$2:$A$23,"Q2",'3 Hazed Questions'!$C$2:$C$23,J141)+SUMIFS('3 Hazed Questions'!$E$2:$E$23,'3 Hazed Questions'!$A$2:$A$23,"Q3",'3 Hazed Questions'!$C$2:$C$23,K141)+SUMIFS('3 Hazed Questions'!$E$2:$E$23,'3 Hazed Questions'!$A$2:$A$23,"Q4",'3 Hazed Questions'!$C$2:$C$23,L141))</f>
        <v/>
      </c>
      <c r="O141" s="14" t="str">
        <f aca="false">IF(COUNTA(I141:L141)=0,"",SUMIFS('3 Hazed Questions'!$F$2:$F$23,'3 Hazed Questions'!$A$2:$A$23,"Q1",'3 Hazed Questions'!$C$2:$C$23,I141)+SUMIFS('3 Hazed Questions'!$F$2:$F$23,'3 Hazed Questions'!$A$2:$A$23,"Q2",'3 Hazed Questions'!$C$2:$C$23,J141)+SUMIFS('3 Hazed Questions'!$F$2:$F$23,'3 Hazed Questions'!$A$2:$A$23,"Q3",'3 Hazed Questions'!$C$2:$C$23,K141)+SUMIFS('3 Hazed Questions'!$F$2:$F$23,'3 Hazed Questions'!$A$2:$A$23,"Q4",'3 Hazed Questions'!$C$2:$C$23,L141))</f>
        <v/>
      </c>
      <c r="P141" s="14" t="str">
        <f aca="false">IF(COUNTA(I141:L141)=0,"",SUMIFS('3 Hazed Questions'!$G$2:$G$23,'3 Hazed Questions'!$A$2:$A$23,"Q1",'3 Hazed Questions'!$C$2:$C$23,I141)+SUMIFS('3 Hazed Questions'!$G$2:$G$23,'3 Hazed Questions'!$A$2:$A$23,"Q2",'3 Hazed Questions'!$C$2:$C$23,J141)+SUMIFS('3 Hazed Questions'!$G$2:$G$23,'3 Hazed Questions'!$A$2:$A$23,"Q3",'3 Hazed Questions'!$C$2:$C$23,K141)+SUMIFS('3 Hazed Questions'!$G$2:$G$23,'3 Hazed Questions'!$A$2:$A$23,"Q4",'3 Hazed Questions'!$C$2:$C$23,L141))</f>
        <v/>
      </c>
      <c r="Q141" s="14" t="str">
        <f aca="false">IF(COUNTA(I141:L141)=0,"",SUMIFS('3 Hazed Questions'!$H$2:$H$23,'3 Hazed Questions'!$A$2:$A$23,"Q1",'3 Hazed Questions'!$C$2:$C$23,I141)+SUMIFS('3 Hazed Questions'!$H$2:$H$23,'3 Hazed Questions'!$A$2:$A$23,"Q2",'3 Hazed Questions'!$C$2:$C$23,J141)+SUMIFS('3 Hazed Questions'!$H$2:$H$23,'3 Hazed Questions'!$A$2:$A$23,"Q3",'3 Hazed Questions'!$C$2:$C$23,K141)+SUMIFS('3 Hazed Questions'!$H$2:$H$23,'3 Hazed Questions'!$A$2:$A$23,"Q4",'3 Hazed Questions'!$C$2:$C$23,L141))</f>
        <v/>
      </c>
      <c r="R141" s="14" t="str">
        <f aca="false">IF(COUNTA(I141:L141)=0,"",SUMIFS('3 Hazed Questions'!$I$2:$I$23,'3 Hazed Questions'!$A$2:$A$23,"Q1",'3 Hazed Questions'!$C$2:$C$23,I141)+SUMIFS('3 Hazed Questions'!$I$2:$I$23,'3 Hazed Questions'!$A$2:$A$23,"Q2",'3 Hazed Questions'!$C$2:$C$23,J141)+SUMIFS('3 Hazed Questions'!$I$2:$I$23,'3 Hazed Questions'!$A$2:$A$23,"Q3",'3 Hazed Questions'!$C$2:$C$23,K141)+SUMIFS('3 Hazed Questions'!$I$2:$I$23,'3 Hazed Questions'!$A$2:$A$23,"Q4",'3 Hazed Questions'!$C$2:$C$23,L141))</f>
        <v/>
      </c>
      <c r="S141" s="14" t="str">
        <f aca="false">IF(COUNTA(I141:L141)=0,"",SUMIFS('3 Hazed Questions'!$J$2:$J$23,'3 Hazed Questions'!$A$2:$A$23,"Q1",'3 Hazed Questions'!$C$2:$C$23,I141)+SUMIFS('3 Hazed Questions'!$J$2:$J$23,'3 Hazed Questions'!$A$2:$A$23,"Q2",'3 Hazed Questions'!$C$2:$C$23,J141)+SUMIFS('3 Hazed Questions'!$J$2:$J$23,'3 Hazed Questions'!$A$2:$A$23,"Q3",'3 Hazed Questions'!$C$2:$C$23,K141)+SUMIFS('3 Hazed Questions'!$J$2:$J$23,'3 Hazed Questions'!$A$2:$A$23,"Q4",'3 Hazed Questions'!$C$2:$C$23,L141))</f>
        <v/>
      </c>
      <c r="T141" s="14" t="str">
        <f aca="false">IF(COUNTA(I141:L141)=0,"",SUMIFS('3 Hazed Questions'!$K$2:$K$23,'3 Hazed Questions'!$A$2:$A$23,"Q1",'3 Hazed Questions'!$C$2:$C$23,I141)+SUMIFS('3 Hazed Questions'!$K$2:$K$23,'3 Hazed Questions'!$A$2:$A$23,"Q2",'3 Hazed Questions'!$C$2:$C$23,J141)+SUMIFS('3 Hazed Questions'!$K$2:$K$23,'3 Hazed Questions'!$A$2:$A$23,"Q3",'3 Hazed Questions'!$C$2:$C$23,K141)+SUMIFS('3 Hazed Questions'!$K$2:$K$23,'3 Hazed Questions'!$A$2:$A$23,"Q4",'3 Hazed Questions'!$C$2:$C$23,L141))</f>
        <v/>
      </c>
      <c r="U141" s="14" t="str">
        <f aca="false">IF(COUNTA(I141:L141)=0,"",SUMIFS('3 Hazed Questions'!$L$2:$L$23,'3 Hazed Questions'!$A$2:$A$23,"Q1",'3 Hazed Questions'!$C$2:$C$23,I141)+SUMIFS('3 Hazed Questions'!$L$2:$L$23,'3 Hazed Questions'!$A$2:$A$23,"Q2",'3 Hazed Questions'!$C$2:$C$23,J141)+SUMIFS('3 Hazed Questions'!$L$2:$L$23,'3 Hazed Questions'!$A$2:$A$23,"Q3",'3 Hazed Questions'!$C$2:$C$23,K141)+SUMIFS('3 Hazed Questions'!$L$2:$L$23,'3 Hazed Questions'!$A$2:$A$23,"Q4",'3 Hazed Questions'!$C$2:$C$23,L141))</f>
        <v/>
      </c>
      <c r="V141" s="14" t="str">
        <f aca="false">IF(COUNTA(I141:L141)=0,"",SUMIFS('3 Hazed Questions'!$M$2:$M$23,'3 Hazed Questions'!$A$2:$A$23,"Q1",'3 Hazed Questions'!$C$2:$C$23,I141)+SUMIFS('3 Hazed Questions'!$M$2:$M$23,'3 Hazed Questions'!$A$2:$A$23,"Q2",'3 Hazed Questions'!$C$2:$C$23,J141)+SUMIFS('3 Hazed Questions'!$M$2:$M$23,'3 Hazed Questions'!$A$2:$A$23,"Q3",'3 Hazed Questions'!$C$2:$C$23,K141)+SUMIFS('3 Hazed Questions'!$M$2:$M$23,'3 Hazed Questions'!$A$2:$A$23,"Q4",'3 Hazed Questions'!$C$2:$C$23,L141))</f>
        <v/>
      </c>
      <c r="W141" s="14" t="str">
        <f aca="false">IF(COUNTA(I141:L141)=0,"",SUMIFS('3 Hazed Questions'!$N$2:$N$23,'3 Hazed Questions'!$A$2:$A$23,"Q1",'3 Hazed Questions'!$C$2:$C$23,I141)+SUMIFS('3 Hazed Questions'!$N$2:$N$23,'3 Hazed Questions'!$A$2:$A$23,"Q2",'3 Hazed Questions'!$C$2:$C$23,J141)+SUMIFS('3 Hazed Questions'!$N$2:$N$23,'3 Hazed Questions'!$A$2:$A$23,"Q3",'3 Hazed Questions'!$C$2:$C$23,K141)+SUMIFS('3 Hazed Questions'!$N$2:$N$23,'3 Hazed Questions'!$A$2:$A$23,"Q4",'3 Hazed Questions'!$C$2:$C$23,L141))</f>
        <v/>
      </c>
      <c r="X141" s="14" t="str">
        <f aca="false">IF(COUNTA(I141:L141)=0,"",INDEX(Fields!$B$2:$B$50,MATCH(SUBSTITUTE(INDEX($N$1:$W$1,MATCH(MAX($N141:$W141),$N141:$W141,0)),"Score: ",""),Fields!$A$2:$A$50,0)))</f>
        <v/>
      </c>
      <c r="Y141" s="14" t="str">
        <f aca="true">IF(COUNTA(I141:L141)=0,"",IF(LARGE($N141:$W141,2)=0,"-",INDEX(Fields!$B$2:$B$50,MATCH(SUBSTITUTE(INDEX($N$1:$W$1,IF(LARGE($N141:$W141,2)=MAX($N141:$W141),MATCH(MAX($N141:$W141),OFFSET($N141:$W141,0,MATCH(MAX($N141:$W141),$N141:$W141,0),1,10-MATCH(MAX($N141:$W141),$N141:$W141,0)),0)+MATCH(MAX($N141:$W141),$N141:$W141,0),MATCH(LARGE($N141:$W141,2),$N141:$W141,0))),"Score: ",""),Fields!$A$2:$A$50,0))))</f>
        <v/>
      </c>
      <c r="Z141" s="14" t="str">
        <f aca="false">IF(M141="","",IFERROR(INDEX('3 Hazed Questions'!$O$2:$O$23,MATCH(1,INDEX(('3 Hazed Questions'!$A$2:$A$23="Q5")*('3 Hazed Questions'!$C$2:$C$23=M141),0),0))&amp;"",""))</f>
        <v/>
      </c>
      <c r="AA141" s="18"/>
      <c r="AB141" s="18"/>
      <c r="AC141" s="19"/>
      <c r="AD141" s="19"/>
      <c r="AE141" s="18"/>
      <c r="AF141" s="18"/>
      <c r="AG141" s="18"/>
    </row>
    <row r="142" customFormat="false" ht="15" hidden="false" customHeight="false" outlineLevel="0" collapsed="false">
      <c r="A142" s="18"/>
      <c r="B142" s="19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4" t="str">
        <f aca="false">IF(COUNTA(I142:L142)=0,"",SUMIFS('3 Hazed Questions'!$E$2:$E$23,'3 Hazed Questions'!$A$2:$A$23,"Q1",'3 Hazed Questions'!$C$2:$C$23,I142)+SUMIFS('3 Hazed Questions'!$E$2:$E$23,'3 Hazed Questions'!$A$2:$A$23,"Q2",'3 Hazed Questions'!$C$2:$C$23,J142)+SUMIFS('3 Hazed Questions'!$E$2:$E$23,'3 Hazed Questions'!$A$2:$A$23,"Q3",'3 Hazed Questions'!$C$2:$C$23,K142)+SUMIFS('3 Hazed Questions'!$E$2:$E$23,'3 Hazed Questions'!$A$2:$A$23,"Q4",'3 Hazed Questions'!$C$2:$C$23,L142))</f>
        <v/>
      </c>
      <c r="O142" s="14" t="str">
        <f aca="false">IF(COUNTA(I142:L142)=0,"",SUMIFS('3 Hazed Questions'!$F$2:$F$23,'3 Hazed Questions'!$A$2:$A$23,"Q1",'3 Hazed Questions'!$C$2:$C$23,I142)+SUMIFS('3 Hazed Questions'!$F$2:$F$23,'3 Hazed Questions'!$A$2:$A$23,"Q2",'3 Hazed Questions'!$C$2:$C$23,J142)+SUMIFS('3 Hazed Questions'!$F$2:$F$23,'3 Hazed Questions'!$A$2:$A$23,"Q3",'3 Hazed Questions'!$C$2:$C$23,K142)+SUMIFS('3 Hazed Questions'!$F$2:$F$23,'3 Hazed Questions'!$A$2:$A$23,"Q4",'3 Hazed Questions'!$C$2:$C$23,L142))</f>
        <v/>
      </c>
      <c r="P142" s="14" t="str">
        <f aca="false">IF(COUNTA(I142:L142)=0,"",SUMIFS('3 Hazed Questions'!$G$2:$G$23,'3 Hazed Questions'!$A$2:$A$23,"Q1",'3 Hazed Questions'!$C$2:$C$23,I142)+SUMIFS('3 Hazed Questions'!$G$2:$G$23,'3 Hazed Questions'!$A$2:$A$23,"Q2",'3 Hazed Questions'!$C$2:$C$23,J142)+SUMIFS('3 Hazed Questions'!$G$2:$G$23,'3 Hazed Questions'!$A$2:$A$23,"Q3",'3 Hazed Questions'!$C$2:$C$23,K142)+SUMIFS('3 Hazed Questions'!$G$2:$G$23,'3 Hazed Questions'!$A$2:$A$23,"Q4",'3 Hazed Questions'!$C$2:$C$23,L142))</f>
        <v/>
      </c>
      <c r="Q142" s="14" t="str">
        <f aca="false">IF(COUNTA(I142:L142)=0,"",SUMIFS('3 Hazed Questions'!$H$2:$H$23,'3 Hazed Questions'!$A$2:$A$23,"Q1",'3 Hazed Questions'!$C$2:$C$23,I142)+SUMIFS('3 Hazed Questions'!$H$2:$H$23,'3 Hazed Questions'!$A$2:$A$23,"Q2",'3 Hazed Questions'!$C$2:$C$23,J142)+SUMIFS('3 Hazed Questions'!$H$2:$H$23,'3 Hazed Questions'!$A$2:$A$23,"Q3",'3 Hazed Questions'!$C$2:$C$23,K142)+SUMIFS('3 Hazed Questions'!$H$2:$H$23,'3 Hazed Questions'!$A$2:$A$23,"Q4",'3 Hazed Questions'!$C$2:$C$23,L142))</f>
        <v/>
      </c>
      <c r="R142" s="14" t="str">
        <f aca="false">IF(COUNTA(I142:L142)=0,"",SUMIFS('3 Hazed Questions'!$I$2:$I$23,'3 Hazed Questions'!$A$2:$A$23,"Q1",'3 Hazed Questions'!$C$2:$C$23,I142)+SUMIFS('3 Hazed Questions'!$I$2:$I$23,'3 Hazed Questions'!$A$2:$A$23,"Q2",'3 Hazed Questions'!$C$2:$C$23,J142)+SUMIFS('3 Hazed Questions'!$I$2:$I$23,'3 Hazed Questions'!$A$2:$A$23,"Q3",'3 Hazed Questions'!$C$2:$C$23,K142)+SUMIFS('3 Hazed Questions'!$I$2:$I$23,'3 Hazed Questions'!$A$2:$A$23,"Q4",'3 Hazed Questions'!$C$2:$C$23,L142))</f>
        <v/>
      </c>
      <c r="S142" s="14" t="str">
        <f aca="false">IF(COUNTA(I142:L142)=0,"",SUMIFS('3 Hazed Questions'!$J$2:$J$23,'3 Hazed Questions'!$A$2:$A$23,"Q1",'3 Hazed Questions'!$C$2:$C$23,I142)+SUMIFS('3 Hazed Questions'!$J$2:$J$23,'3 Hazed Questions'!$A$2:$A$23,"Q2",'3 Hazed Questions'!$C$2:$C$23,J142)+SUMIFS('3 Hazed Questions'!$J$2:$J$23,'3 Hazed Questions'!$A$2:$A$23,"Q3",'3 Hazed Questions'!$C$2:$C$23,K142)+SUMIFS('3 Hazed Questions'!$J$2:$J$23,'3 Hazed Questions'!$A$2:$A$23,"Q4",'3 Hazed Questions'!$C$2:$C$23,L142))</f>
        <v/>
      </c>
      <c r="T142" s="14" t="str">
        <f aca="false">IF(COUNTA(I142:L142)=0,"",SUMIFS('3 Hazed Questions'!$K$2:$K$23,'3 Hazed Questions'!$A$2:$A$23,"Q1",'3 Hazed Questions'!$C$2:$C$23,I142)+SUMIFS('3 Hazed Questions'!$K$2:$K$23,'3 Hazed Questions'!$A$2:$A$23,"Q2",'3 Hazed Questions'!$C$2:$C$23,J142)+SUMIFS('3 Hazed Questions'!$K$2:$K$23,'3 Hazed Questions'!$A$2:$A$23,"Q3",'3 Hazed Questions'!$C$2:$C$23,K142)+SUMIFS('3 Hazed Questions'!$K$2:$K$23,'3 Hazed Questions'!$A$2:$A$23,"Q4",'3 Hazed Questions'!$C$2:$C$23,L142))</f>
        <v/>
      </c>
      <c r="U142" s="14" t="str">
        <f aca="false">IF(COUNTA(I142:L142)=0,"",SUMIFS('3 Hazed Questions'!$L$2:$L$23,'3 Hazed Questions'!$A$2:$A$23,"Q1",'3 Hazed Questions'!$C$2:$C$23,I142)+SUMIFS('3 Hazed Questions'!$L$2:$L$23,'3 Hazed Questions'!$A$2:$A$23,"Q2",'3 Hazed Questions'!$C$2:$C$23,J142)+SUMIFS('3 Hazed Questions'!$L$2:$L$23,'3 Hazed Questions'!$A$2:$A$23,"Q3",'3 Hazed Questions'!$C$2:$C$23,K142)+SUMIFS('3 Hazed Questions'!$L$2:$L$23,'3 Hazed Questions'!$A$2:$A$23,"Q4",'3 Hazed Questions'!$C$2:$C$23,L142))</f>
        <v/>
      </c>
      <c r="V142" s="14" t="str">
        <f aca="false">IF(COUNTA(I142:L142)=0,"",SUMIFS('3 Hazed Questions'!$M$2:$M$23,'3 Hazed Questions'!$A$2:$A$23,"Q1",'3 Hazed Questions'!$C$2:$C$23,I142)+SUMIFS('3 Hazed Questions'!$M$2:$M$23,'3 Hazed Questions'!$A$2:$A$23,"Q2",'3 Hazed Questions'!$C$2:$C$23,J142)+SUMIFS('3 Hazed Questions'!$M$2:$M$23,'3 Hazed Questions'!$A$2:$A$23,"Q3",'3 Hazed Questions'!$C$2:$C$23,K142)+SUMIFS('3 Hazed Questions'!$M$2:$M$23,'3 Hazed Questions'!$A$2:$A$23,"Q4",'3 Hazed Questions'!$C$2:$C$23,L142))</f>
        <v/>
      </c>
      <c r="W142" s="14" t="str">
        <f aca="false">IF(COUNTA(I142:L142)=0,"",SUMIFS('3 Hazed Questions'!$N$2:$N$23,'3 Hazed Questions'!$A$2:$A$23,"Q1",'3 Hazed Questions'!$C$2:$C$23,I142)+SUMIFS('3 Hazed Questions'!$N$2:$N$23,'3 Hazed Questions'!$A$2:$A$23,"Q2",'3 Hazed Questions'!$C$2:$C$23,J142)+SUMIFS('3 Hazed Questions'!$N$2:$N$23,'3 Hazed Questions'!$A$2:$A$23,"Q3",'3 Hazed Questions'!$C$2:$C$23,K142)+SUMIFS('3 Hazed Questions'!$N$2:$N$23,'3 Hazed Questions'!$A$2:$A$23,"Q4",'3 Hazed Questions'!$C$2:$C$23,L142))</f>
        <v/>
      </c>
      <c r="X142" s="14" t="str">
        <f aca="false">IF(COUNTA(I142:L142)=0,"",INDEX(Fields!$B$2:$B$50,MATCH(SUBSTITUTE(INDEX($N$1:$W$1,MATCH(MAX($N142:$W142),$N142:$W142,0)),"Score: ",""),Fields!$A$2:$A$50,0)))</f>
        <v/>
      </c>
      <c r="Y142" s="14" t="str">
        <f aca="true">IF(COUNTA(I142:L142)=0,"",IF(LARGE($N142:$W142,2)=0,"-",INDEX(Fields!$B$2:$B$50,MATCH(SUBSTITUTE(INDEX($N$1:$W$1,IF(LARGE($N142:$W142,2)=MAX($N142:$W142),MATCH(MAX($N142:$W142),OFFSET($N142:$W142,0,MATCH(MAX($N142:$W142),$N142:$W142,0),1,10-MATCH(MAX($N142:$W142),$N142:$W142,0)),0)+MATCH(MAX($N142:$W142),$N142:$W142,0),MATCH(LARGE($N142:$W142,2),$N142:$W142,0))),"Score: ",""),Fields!$A$2:$A$50,0))))</f>
        <v/>
      </c>
      <c r="Z142" s="14" t="str">
        <f aca="false">IF(M142="","",IFERROR(INDEX('3 Hazed Questions'!$O$2:$O$23,MATCH(1,INDEX(('3 Hazed Questions'!$A$2:$A$23="Q5")*('3 Hazed Questions'!$C$2:$C$23=M142),0),0))&amp;"",""))</f>
        <v/>
      </c>
      <c r="AA142" s="18"/>
      <c r="AB142" s="18"/>
      <c r="AC142" s="19"/>
      <c r="AD142" s="19"/>
      <c r="AE142" s="18"/>
      <c r="AF142" s="18"/>
      <c r="AG142" s="18"/>
    </row>
    <row r="143" customFormat="false" ht="15" hidden="false" customHeight="false" outlineLevel="0" collapsed="false">
      <c r="A143" s="18"/>
      <c r="B143" s="19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4" t="str">
        <f aca="false">IF(COUNTA(I143:L143)=0,"",SUMIFS('3 Hazed Questions'!$E$2:$E$23,'3 Hazed Questions'!$A$2:$A$23,"Q1",'3 Hazed Questions'!$C$2:$C$23,I143)+SUMIFS('3 Hazed Questions'!$E$2:$E$23,'3 Hazed Questions'!$A$2:$A$23,"Q2",'3 Hazed Questions'!$C$2:$C$23,J143)+SUMIFS('3 Hazed Questions'!$E$2:$E$23,'3 Hazed Questions'!$A$2:$A$23,"Q3",'3 Hazed Questions'!$C$2:$C$23,K143)+SUMIFS('3 Hazed Questions'!$E$2:$E$23,'3 Hazed Questions'!$A$2:$A$23,"Q4",'3 Hazed Questions'!$C$2:$C$23,L143))</f>
        <v/>
      </c>
      <c r="O143" s="14" t="str">
        <f aca="false">IF(COUNTA(I143:L143)=0,"",SUMIFS('3 Hazed Questions'!$F$2:$F$23,'3 Hazed Questions'!$A$2:$A$23,"Q1",'3 Hazed Questions'!$C$2:$C$23,I143)+SUMIFS('3 Hazed Questions'!$F$2:$F$23,'3 Hazed Questions'!$A$2:$A$23,"Q2",'3 Hazed Questions'!$C$2:$C$23,J143)+SUMIFS('3 Hazed Questions'!$F$2:$F$23,'3 Hazed Questions'!$A$2:$A$23,"Q3",'3 Hazed Questions'!$C$2:$C$23,K143)+SUMIFS('3 Hazed Questions'!$F$2:$F$23,'3 Hazed Questions'!$A$2:$A$23,"Q4",'3 Hazed Questions'!$C$2:$C$23,L143))</f>
        <v/>
      </c>
      <c r="P143" s="14" t="str">
        <f aca="false">IF(COUNTA(I143:L143)=0,"",SUMIFS('3 Hazed Questions'!$G$2:$G$23,'3 Hazed Questions'!$A$2:$A$23,"Q1",'3 Hazed Questions'!$C$2:$C$23,I143)+SUMIFS('3 Hazed Questions'!$G$2:$G$23,'3 Hazed Questions'!$A$2:$A$23,"Q2",'3 Hazed Questions'!$C$2:$C$23,J143)+SUMIFS('3 Hazed Questions'!$G$2:$G$23,'3 Hazed Questions'!$A$2:$A$23,"Q3",'3 Hazed Questions'!$C$2:$C$23,K143)+SUMIFS('3 Hazed Questions'!$G$2:$G$23,'3 Hazed Questions'!$A$2:$A$23,"Q4",'3 Hazed Questions'!$C$2:$C$23,L143))</f>
        <v/>
      </c>
      <c r="Q143" s="14" t="str">
        <f aca="false">IF(COUNTA(I143:L143)=0,"",SUMIFS('3 Hazed Questions'!$H$2:$H$23,'3 Hazed Questions'!$A$2:$A$23,"Q1",'3 Hazed Questions'!$C$2:$C$23,I143)+SUMIFS('3 Hazed Questions'!$H$2:$H$23,'3 Hazed Questions'!$A$2:$A$23,"Q2",'3 Hazed Questions'!$C$2:$C$23,J143)+SUMIFS('3 Hazed Questions'!$H$2:$H$23,'3 Hazed Questions'!$A$2:$A$23,"Q3",'3 Hazed Questions'!$C$2:$C$23,K143)+SUMIFS('3 Hazed Questions'!$H$2:$H$23,'3 Hazed Questions'!$A$2:$A$23,"Q4",'3 Hazed Questions'!$C$2:$C$23,L143))</f>
        <v/>
      </c>
      <c r="R143" s="14" t="str">
        <f aca="false">IF(COUNTA(I143:L143)=0,"",SUMIFS('3 Hazed Questions'!$I$2:$I$23,'3 Hazed Questions'!$A$2:$A$23,"Q1",'3 Hazed Questions'!$C$2:$C$23,I143)+SUMIFS('3 Hazed Questions'!$I$2:$I$23,'3 Hazed Questions'!$A$2:$A$23,"Q2",'3 Hazed Questions'!$C$2:$C$23,J143)+SUMIFS('3 Hazed Questions'!$I$2:$I$23,'3 Hazed Questions'!$A$2:$A$23,"Q3",'3 Hazed Questions'!$C$2:$C$23,K143)+SUMIFS('3 Hazed Questions'!$I$2:$I$23,'3 Hazed Questions'!$A$2:$A$23,"Q4",'3 Hazed Questions'!$C$2:$C$23,L143))</f>
        <v/>
      </c>
      <c r="S143" s="14" t="str">
        <f aca="false">IF(COUNTA(I143:L143)=0,"",SUMIFS('3 Hazed Questions'!$J$2:$J$23,'3 Hazed Questions'!$A$2:$A$23,"Q1",'3 Hazed Questions'!$C$2:$C$23,I143)+SUMIFS('3 Hazed Questions'!$J$2:$J$23,'3 Hazed Questions'!$A$2:$A$23,"Q2",'3 Hazed Questions'!$C$2:$C$23,J143)+SUMIFS('3 Hazed Questions'!$J$2:$J$23,'3 Hazed Questions'!$A$2:$A$23,"Q3",'3 Hazed Questions'!$C$2:$C$23,K143)+SUMIFS('3 Hazed Questions'!$J$2:$J$23,'3 Hazed Questions'!$A$2:$A$23,"Q4",'3 Hazed Questions'!$C$2:$C$23,L143))</f>
        <v/>
      </c>
      <c r="T143" s="14" t="str">
        <f aca="false">IF(COUNTA(I143:L143)=0,"",SUMIFS('3 Hazed Questions'!$K$2:$K$23,'3 Hazed Questions'!$A$2:$A$23,"Q1",'3 Hazed Questions'!$C$2:$C$23,I143)+SUMIFS('3 Hazed Questions'!$K$2:$K$23,'3 Hazed Questions'!$A$2:$A$23,"Q2",'3 Hazed Questions'!$C$2:$C$23,J143)+SUMIFS('3 Hazed Questions'!$K$2:$K$23,'3 Hazed Questions'!$A$2:$A$23,"Q3",'3 Hazed Questions'!$C$2:$C$23,K143)+SUMIFS('3 Hazed Questions'!$K$2:$K$23,'3 Hazed Questions'!$A$2:$A$23,"Q4",'3 Hazed Questions'!$C$2:$C$23,L143))</f>
        <v/>
      </c>
      <c r="U143" s="14" t="str">
        <f aca="false">IF(COUNTA(I143:L143)=0,"",SUMIFS('3 Hazed Questions'!$L$2:$L$23,'3 Hazed Questions'!$A$2:$A$23,"Q1",'3 Hazed Questions'!$C$2:$C$23,I143)+SUMIFS('3 Hazed Questions'!$L$2:$L$23,'3 Hazed Questions'!$A$2:$A$23,"Q2",'3 Hazed Questions'!$C$2:$C$23,J143)+SUMIFS('3 Hazed Questions'!$L$2:$L$23,'3 Hazed Questions'!$A$2:$A$23,"Q3",'3 Hazed Questions'!$C$2:$C$23,K143)+SUMIFS('3 Hazed Questions'!$L$2:$L$23,'3 Hazed Questions'!$A$2:$A$23,"Q4",'3 Hazed Questions'!$C$2:$C$23,L143))</f>
        <v/>
      </c>
      <c r="V143" s="14" t="str">
        <f aca="false">IF(COUNTA(I143:L143)=0,"",SUMIFS('3 Hazed Questions'!$M$2:$M$23,'3 Hazed Questions'!$A$2:$A$23,"Q1",'3 Hazed Questions'!$C$2:$C$23,I143)+SUMIFS('3 Hazed Questions'!$M$2:$M$23,'3 Hazed Questions'!$A$2:$A$23,"Q2",'3 Hazed Questions'!$C$2:$C$23,J143)+SUMIFS('3 Hazed Questions'!$M$2:$M$23,'3 Hazed Questions'!$A$2:$A$23,"Q3",'3 Hazed Questions'!$C$2:$C$23,K143)+SUMIFS('3 Hazed Questions'!$M$2:$M$23,'3 Hazed Questions'!$A$2:$A$23,"Q4",'3 Hazed Questions'!$C$2:$C$23,L143))</f>
        <v/>
      </c>
      <c r="W143" s="14" t="str">
        <f aca="false">IF(COUNTA(I143:L143)=0,"",SUMIFS('3 Hazed Questions'!$N$2:$N$23,'3 Hazed Questions'!$A$2:$A$23,"Q1",'3 Hazed Questions'!$C$2:$C$23,I143)+SUMIFS('3 Hazed Questions'!$N$2:$N$23,'3 Hazed Questions'!$A$2:$A$23,"Q2",'3 Hazed Questions'!$C$2:$C$23,J143)+SUMIFS('3 Hazed Questions'!$N$2:$N$23,'3 Hazed Questions'!$A$2:$A$23,"Q3",'3 Hazed Questions'!$C$2:$C$23,K143)+SUMIFS('3 Hazed Questions'!$N$2:$N$23,'3 Hazed Questions'!$A$2:$A$23,"Q4",'3 Hazed Questions'!$C$2:$C$23,L143))</f>
        <v/>
      </c>
      <c r="X143" s="14" t="str">
        <f aca="false">IF(COUNTA(I143:L143)=0,"",INDEX(Fields!$B$2:$B$50,MATCH(SUBSTITUTE(INDEX($N$1:$W$1,MATCH(MAX($N143:$W143),$N143:$W143,0)),"Score: ",""),Fields!$A$2:$A$50,0)))</f>
        <v/>
      </c>
      <c r="Y143" s="14" t="str">
        <f aca="true">IF(COUNTA(I143:L143)=0,"",IF(LARGE($N143:$W143,2)=0,"-",INDEX(Fields!$B$2:$B$50,MATCH(SUBSTITUTE(INDEX($N$1:$W$1,IF(LARGE($N143:$W143,2)=MAX($N143:$W143),MATCH(MAX($N143:$W143),OFFSET($N143:$W143,0,MATCH(MAX($N143:$W143),$N143:$W143,0),1,10-MATCH(MAX($N143:$W143),$N143:$W143,0)),0)+MATCH(MAX($N143:$W143),$N143:$W143,0),MATCH(LARGE($N143:$W143,2),$N143:$W143,0))),"Score: ",""),Fields!$A$2:$A$50,0))))</f>
        <v/>
      </c>
      <c r="Z143" s="14" t="str">
        <f aca="false">IF(M143="","",IFERROR(INDEX('3 Hazed Questions'!$O$2:$O$23,MATCH(1,INDEX(('3 Hazed Questions'!$A$2:$A$23="Q5")*('3 Hazed Questions'!$C$2:$C$23=M143),0),0))&amp;"",""))</f>
        <v/>
      </c>
      <c r="AA143" s="18"/>
      <c r="AB143" s="18"/>
      <c r="AC143" s="19"/>
      <c r="AD143" s="19"/>
      <c r="AE143" s="18"/>
      <c r="AF143" s="18"/>
      <c r="AG143" s="18"/>
    </row>
    <row r="144" customFormat="false" ht="15" hidden="false" customHeight="false" outlineLevel="0" collapsed="false">
      <c r="A144" s="18"/>
      <c r="B144" s="19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4" t="str">
        <f aca="false">IF(COUNTA(I144:L144)=0,"",SUMIFS('3 Hazed Questions'!$E$2:$E$23,'3 Hazed Questions'!$A$2:$A$23,"Q1",'3 Hazed Questions'!$C$2:$C$23,I144)+SUMIFS('3 Hazed Questions'!$E$2:$E$23,'3 Hazed Questions'!$A$2:$A$23,"Q2",'3 Hazed Questions'!$C$2:$C$23,J144)+SUMIFS('3 Hazed Questions'!$E$2:$E$23,'3 Hazed Questions'!$A$2:$A$23,"Q3",'3 Hazed Questions'!$C$2:$C$23,K144)+SUMIFS('3 Hazed Questions'!$E$2:$E$23,'3 Hazed Questions'!$A$2:$A$23,"Q4",'3 Hazed Questions'!$C$2:$C$23,L144))</f>
        <v/>
      </c>
      <c r="O144" s="14" t="str">
        <f aca="false">IF(COUNTA(I144:L144)=0,"",SUMIFS('3 Hazed Questions'!$F$2:$F$23,'3 Hazed Questions'!$A$2:$A$23,"Q1",'3 Hazed Questions'!$C$2:$C$23,I144)+SUMIFS('3 Hazed Questions'!$F$2:$F$23,'3 Hazed Questions'!$A$2:$A$23,"Q2",'3 Hazed Questions'!$C$2:$C$23,J144)+SUMIFS('3 Hazed Questions'!$F$2:$F$23,'3 Hazed Questions'!$A$2:$A$23,"Q3",'3 Hazed Questions'!$C$2:$C$23,K144)+SUMIFS('3 Hazed Questions'!$F$2:$F$23,'3 Hazed Questions'!$A$2:$A$23,"Q4",'3 Hazed Questions'!$C$2:$C$23,L144))</f>
        <v/>
      </c>
      <c r="P144" s="14" t="str">
        <f aca="false">IF(COUNTA(I144:L144)=0,"",SUMIFS('3 Hazed Questions'!$G$2:$G$23,'3 Hazed Questions'!$A$2:$A$23,"Q1",'3 Hazed Questions'!$C$2:$C$23,I144)+SUMIFS('3 Hazed Questions'!$G$2:$G$23,'3 Hazed Questions'!$A$2:$A$23,"Q2",'3 Hazed Questions'!$C$2:$C$23,J144)+SUMIFS('3 Hazed Questions'!$G$2:$G$23,'3 Hazed Questions'!$A$2:$A$23,"Q3",'3 Hazed Questions'!$C$2:$C$23,K144)+SUMIFS('3 Hazed Questions'!$G$2:$G$23,'3 Hazed Questions'!$A$2:$A$23,"Q4",'3 Hazed Questions'!$C$2:$C$23,L144))</f>
        <v/>
      </c>
      <c r="Q144" s="14" t="str">
        <f aca="false">IF(COUNTA(I144:L144)=0,"",SUMIFS('3 Hazed Questions'!$H$2:$H$23,'3 Hazed Questions'!$A$2:$A$23,"Q1",'3 Hazed Questions'!$C$2:$C$23,I144)+SUMIFS('3 Hazed Questions'!$H$2:$H$23,'3 Hazed Questions'!$A$2:$A$23,"Q2",'3 Hazed Questions'!$C$2:$C$23,J144)+SUMIFS('3 Hazed Questions'!$H$2:$H$23,'3 Hazed Questions'!$A$2:$A$23,"Q3",'3 Hazed Questions'!$C$2:$C$23,K144)+SUMIFS('3 Hazed Questions'!$H$2:$H$23,'3 Hazed Questions'!$A$2:$A$23,"Q4",'3 Hazed Questions'!$C$2:$C$23,L144))</f>
        <v/>
      </c>
      <c r="R144" s="14" t="str">
        <f aca="false">IF(COUNTA(I144:L144)=0,"",SUMIFS('3 Hazed Questions'!$I$2:$I$23,'3 Hazed Questions'!$A$2:$A$23,"Q1",'3 Hazed Questions'!$C$2:$C$23,I144)+SUMIFS('3 Hazed Questions'!$I$2:$I$23,'3 Hazed Questions'!$A$2:$A$23,"Q2",'3 Hazed Questions'!$C$2:$C$23,J144)+SUMIFS('3 Hazed Questions'!$I$2:$I$23,'3 Hazed Questions'!$A$2:$A$23,"Q3",'3 Hazed Questions'!$C$2:$C$23,K144)+SUMIFS('3 Hazed Questions'!$I$2:$I$23,'3 Hazed Questions'!$A$2:$A$23,"Q4",'3 Hazed Questions'!$C$2:$C$23,L144))</f>
        <v/>
      </c>
      <c r="S144" s="14" t="str">
        <f aca="false">IF(COUNTA(I144:L144)=0,"",SUMIFS('3 Hazed Questions'!$J$2:$J$23,'3 Hazed Questions'!$A$2:$A$23,"Q1",'3 Hazed Questions'!$C$2:$C$23,I144)+SUMIFS('3 Hazed Questions'!$J$2:$J$23,'3 Hazed Questions'!$A$2:$A$23,"Q2",'3 Hazed Questions'!$C$2:$C$23,J144)+SUMIFS('3 Hazed Questions'!$J$2:$J$23,'3 Hazed Questions'!$A$2:$A$23,"Q3",'3 Hazed Questions'!$C$2:$C$23,K144)+SUMIFS('3 Hazed Questions'!$J$2:$J$23,'3 Hazed Questions'!$A$2:$A$23,"Q4",'3 Hazed Questions'!$C$2:$C$23,L144))</f>
        <v/>
      </c>
      <c r="T144" s="14" t="str">
        <f aca="false">IF(COUNTA(I144:L144)=0,"",SUMIFS('3 Hazed Questions'!$K$2:$K$23,'3 Hazed Questions'!$A$2:$A$23,"Q1",'3 Hazed Questions'!$C$2:$C$23,I144)+SUMIFS('3 Hazed Questions'!$K$2:$K$23,'3 Hazed Questions'!$A$2:$A$23,"Q2",'3 Hazed Questions'!$C$2:$C$23,J144)+SUMIFS('3 Hazed Questions'!$K$2:$K$23,'3 Hazed Questions'!$A$2:$A$23,"Q3",'3 Hazed Questions'!$C$2:$C$23,K144)+SUMIFS('3 Hazed Questions'!$K$2:$K$23,'3 Hazed Questions'!$A$2:$A$23,"Q4",'3 Hazed Questions'!$C$2:$C$23,L144))</f>
        <v/>
      </c>
      <c r="U144" s="14" t="str">
        <f aca="false">IF(COUNTA(I144:L144)=0,"",SUMIFS('3 Hazed Questions'!$L$2:$L$23,'3 Hazed Questions'!$A$2:$A$23,"Q1",'3 Hazed Questions'!$C$2:$C$23,I144)+SUMIFS('3 Hazed Questions'!$L$2:$L$23,'3 Hazed Questions'!$A$2:$A$23,"Q2",'3 Hazed Questions'!$C$2:$C$23,J144)+SUMIFS('3 Hazed Questions'!$L$2:$L$23,'3 Hazed Questions'!$A$2:$A$23,"Q3",'3 Hazed Questions'!$C$2:$C$23,K144)+SUMIFS('3 Hazed Questions'!$L$2:$L$23,'3 Hazed Questions'!$A$2:$A$23,"Q4",'3 Hazed Questions'!$C$2:$C$23,L144))</f>
        <v/>
      </c>
      <c r="V144" s="14" t="str">
        <f aca="false">IF(COUNTA(I144:L144)=0,"",SUMIFS('3 Hazed Questions'!$M$2:$M$23,'3 Hazed Questions'!$A$2:$A$23,"Q1",'3 Hazed Questions'!$C$2:$C$23,I144)+SUMIFS('3 Hazed Questions'!$M$2:$M$23,'3 Hazed Questions'!$A$2:$A$23,"Q2",'3 Hazed Questions'!$C$2:$C$23,J144)+SUMIFS('3 Hazed Questions'!$M$2:$M$23,'3 Hazed Questions'!$A$2:$A$23,"Q3",'3 Hazed Questions'!$C$2:$C$23,K144)+SUMIFS('3 Hazed Questions'!$M$2:$M$23,'3 Hazed Questions'!$A$2:$A$23,"Q4",'3 Hazed Questions'!$C$2:$C$23,L144))</f>
        <v/>
      </c>
      <c r="W144" s="14" t="str">
        <f aca="false">IF(COUNTA(I144:L144)=0,"",SUMIFS('3 Hazed Questions'!$N$2:$N$23,'3 Hazed Questions'!$A$2:$A$23,"Q1",'3 Hazed Questions'!$C$2:$C$23,I144)+SUMIFS('3 Hazed Questions'!$N$2:$N$23,'3 Hazed Questions'!$A$2:$A$23,"Q2",'3 Hazed Questions'!$C$2:$C$23,J144)+SUMIFS('3 Hazed Questions'!$N$2:$N$23,'3 Hazed Questions'!$A$2:$A$23,"Q3",'3 Hazed Questions'!$C$2:$C$23,K144)+SUMIFS('3 Hazed Questions'!$N$2:$N$23,'3 Hazed Questions'!$A$2:$A$23,"Q4",'3 Hazed Questions'!$C$2:$C$23,L144))</f>
        <v/>
      </c>
      <c r="X144" s="14" t="str">
        <f aca="false">IF(COUNTA(I144:L144)=0,"",INDEX(Fields!$B$2:$B$50,MATCH(SUBSTITUTE(INDEX($N$1:$W$1,MATCH(MAX($N144:$W144),$N144:$W144,0)),"Score: ",""),Fields!$A$2:$A$50,0)))</f>
        <v/>
      </c>
      <c r="Y144" s="14" t="str">
        <f aca="true">IF(COUNTA(I144:L144)=0,"",IF(LARGE($N144:$W144,2)=0,"-",INDEX(Fields!$B$2:$B$50,MATCH(SUBSTITUTE(INDEX($N$1:$W$1,IF(LARGE($N144:$W144,2)=MAX($N144:$W144),MATCH(MAX($N144:$W144),OFFSET($N144:$W144,0,MATCH(MAX($N144:$W144),$N144:$W144,0),1,10-MATCH(MAX($N144:$W144),$N144:$W144,0)),0)+MATCH(MAX($N144:$W144),$N144:$W144,0),MATCH(LARGE($N144:$W144,2),$N144:$W144,0))),"Score: ",""),Fields!$A$2:$A$50,0))))</f>
        <v/>
      </c>
      <c r="Z144" s="14" t="str">
        <f aca="false">IF(M144="","",IFERROR(INDEX('3 Hazed Questions'!$O$2:$O$23,MATCH(1,INDEX(('3 Hazed Questions'!$A$2:$A$23="Q5")*('3 Hazed Questions'!$C$2:$C$23=M144),0),0))&amp;"",""))</f>
        <v/>
      </c>
      <c r="AA144" s="18"/>
      <c r="AB144" s="18"/>
      <c r="AC144" s="19"/>
      <c r="AD144" s="19"/>
      <c r="AE144" s="18"/>
      <c r="AF144" s="18"/>
      <c r="AG144" s="18"/>
    </row>
    <row r="145" customFormat="false" ht="15" hidden="false" customHeight="false" outlineLevel="0" collapsed="false">
      <c r="A145" s="18"/>
      <c r="B145" s="19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4" t="str">
        <f aca="false">IF(COUNTA(I145:L145)=0,"",SUMIFS('3 Hazed Questions'!$E$2:$E$23,'3 Hazed Questions'!$A$2:$A$23,"Q1",'3 Hazed Questions'!$C$2:$C$23,I145)+SUMIFS('3 Hazed Questions'!$E$2:$E$23,'3 Hazed Questions'!$A$2:$A$23,"Q2",'3 Hazed Questions'!$C$2:$C$23,J145)+SUMIFS('3 Hazed Questions'!$E$2:$E$23,'3 Hazed Questions'!$A$2:$A$23,"Q3",'3 Hazed Questions'!$C$2:$C$23,K145)+SUMIFS('3 Hazed Questions'!$E$2:$E$23,'3 Hazed Questions'!$A$2:$A$23,"Q4",'3 Hazed Questions'!$C$2:$C$23,L145))</f>
        <v/>
      </c>
      <c r="O145" s="14" t="str">
        <f aca="false">IF(COUNTA(I145:L145)=0,"",SUMIFS('3 Hazed Questions'!$F$2:$F$23,'3 Hazed Questions'!$A$2:$A$23,"Q1",'3 Hazed Questions'!$C$2:$C$23,I145)+SUMIFS('3 Hazed Questions'!$F$2:$F$23,'3 Hazed Questions'!$A$2:$A$23,"Q2",'3 Hazed Questions'!$C$2:$C$23,J145)+SUMIFS('3 Hazed Questions'!$F$2:$F$23,'3 Hazed Questions'!$A$2:$A$23,"Q3",'3 Hazed Questions'!$C$2:$C$23,K145)+SUMIFS('3 Hazed Questions'!$F$2:$F$23,'3 Hazed Questions'!$A$2:$A$23,"Q4",'3 Hazed Questions'!$C$2:$C$23,L145))</f>
        <v/>
      </c>
      <c r="P145" s="14" t="str">
        <f aca="false">IF(COUNTA(I145:L145)=0,"",SUMIFS('3 Hazed Questions'!$G$2:$G$23,'3 Hazed Questions'!$A$2:$A$23,"Q1",'3 Hazed Questions'!$C$2:$C$23,I145)+SUMIFS('3 Hazed Questions'!$G$2:$G$23,'3 Hazed Questions'!$A$2:$A$23,"Q2",'3 Hazed Questions'!$C$2:$C$23,J145)+SUMIFS('3 Hazed Questions'!$G$2:$G$23,'3 Hazed Questions'!$A$2:$A$23,"Q3",'3 Hazed Questions'!$C$2:$C$23,K145)+SUMIFS('3 Hazed Questions'!$G$2:$G$23,'3 Hazed Questions'!$A$2:$A$23,"Q4",'3 Hazed Questions'!$C$2:$C$23,L145))</f>
        <v/>
      </c>
      <c r="Q145" s="14" t="str">
        <f aca="false">IF(COUNTA(I145:L145)=0,"",SUMIFS('3 Hazed Questions'!$H$2:$H$23,'3 Hazed Questions'!$A$2:$A$23,"Q1",'3 Hazed Questions'!$C$2:$C$23,I145)+SUMIFS('3 Hazed Questions'!$H$2:$H$23,'3 Hazed Questions'!$A$2:$A$23,"Q2",'3 Hazed Questions'!$C$2:$C$23,J145)+SUMIFS('3 Hazed Questions'!$H$2:$H$23,'3 Hazed Questions'!$A$2:$A$23,"Q3",'3 Hazed Questions'!$C$2:$C$23,K145)+SUMIFS('3 Hazed Questions'!$H$2:$H$23,'3 Hazed Questions'!$A$2:$A$23,"Q4",'3 Hazed Questions'!$C$2:$C$23,L145))</f>
        <v/>
      </c>
      <c r="R145" s="14" t="str">
        <f aca="false">IF(COUNTA(I145:L145)=0,"",SUMIFS('3 Hazed Questions'!$I$2:$I$23,'3 Hazed Questions'!$A$2:$A$23,"Q1",'3 Hazed Questions'!$C$2:$C$23,I145)+SUMIFS('3 Hazed Questions'!$I$2:$I$23,'3 Hazed Questions'!$A$2:$A$23,"Q2",'3 Hazed Questions'!$C$2:$C$23,J145)+SUMIFS('3 Hazed Questions'!$I$2:$I$23,'3 Hazed Questions'!$A$2:$A$23,"Q3",'3 Hazed Questions'!$C$2:$C$23,K145)+SUMIFS('3 Hazed Questions'!$I$2:$I$23,'3 Hazed Questions'!$A$2:$A$23,"Q4",'3 Hazed Questions'!$C$2:$C$23,L145))</f>
        <v/>
      </c>
      <c r="S145" s="14" t="str">
        <f aca="false">IF(COUNTA(I145:L145)=0,"",SUMIFS('3 Hazed Questions'!$J$2:$J$23,'3 Hazed Questions'!$A$2:$A$23,"Q1",'3 Hazed Questions'!$C$2:$C$23,I145)+SUMIFS('3 Hazed Questions'!$J$2:$J$23,'3 Hazed Questions'!$A$2:$A$23,"Q2",'3 Hazed Questions'!$C$2:$C$23,J145)+SUMIFS('3 Hazed Questions'!$J$2:$J$23,'3 Hazed Questions'!$A$2:$A$23,"Q3",'3 Hazed Questions'!$C$2:$C$23,K145)+SUMIFS('3 Hazed Questions'!$J$2:$J$23,'3 Hazed Questions'!$A$2:$A$23,"Q4",'3 Hazed Questions'!$C$2:$C$23,L145))</f>
        <v/>
      </c>
      <c r="T145" s="14" t="str">
        <f aca="false">IF(COUNTA(I145:L145)=0,"",SUMIFS('3 Hazed Questions'!$K$2:$K$23,'3 Hazed Questions'!$A$2:$A$23,"Q1",'3 Hazed Questions'!$C$2:$C$23,I145)+SUMIFS('3 Hazed Questions'!$K$2:$K$23,'3 Hazed Questions'!$A$2:$A$23,"Q2",'3 Hazed Questions'!$C$2:$C$23,J145)+SUMIFS('3 Hazed Questions'!$K$2:$K$23,'3 Hazed Questions'!$A$2:$A$23,"Q3",'3 Hazed Questions'!$C$2:$C$23,K145)+SUMIFS('3 Hazed Questions'!$K$2:$K$23,'3 Hazed Questions'!$A$2:$A$23,"Q4",'3 Hazed Questions'!$C$2:$C$23,L145))</f>
        <v/>
      </c>
      <c r="U145" s="14" t="str">
        <f aca="false">IF(COUNTA(I145:L145)=0,"",SUMIFS('3 Hazed Questions'!$L$2:$L$23,'3 Hazed Questions'!$A$2:$A$23,"Q1",'3 Hazed Questions'!$C$2:$C$23,I145)+SUMIFS('3 Hazed Questions'!$L$2:$L$23,'3 Hazed Questions'!$A$2:$A$23,"Q2",'3 Hazed Questions'!$C$2:$C$23,J145)+SUMIFS('3 Hazed Questions'!$L$2:$L$23,'3 Hazed Questions'!$A$2:$A$23,"Q3",'3 Hazed Questions'!$C$2:$C$23,K145)+SUMIFS('3 Hazed Questions'!$L$2:$L$23,'3 Hazed Questions'!$A$2:$A$23,"Q4",'3 Hazed Questions'!$C$2:$C$23,L145))</f>
        <v/>
      </c>
      <c r="V145" s="14" t="str">
        <f aca="false">IF(COUNTA(I145:L145)=0,"",SUMIFS('3 Hazed Questions'!$M$2:$M$23,'3 Hazed Questions'!$A$2:$A$23,"Q1",'3 Hazed Questions'!$C$2:$C$23,I145)+SUMIFS('3 Hazed Questions'!$M$2:$M$23,'3 Hazed Questions'!$A$2:$A$23,"Q2",'3 Hazed Questions'!$C$2:$C$23,J145)+SUMIFS('3 Hazed Questions'!$M$2:$M$23,'3 Hazed Questions'!$A$2:$A$23,"Q3",'3 Hazed Questions'!$C$2:$C$23,K145)+SUMIFS('3 Hazed Questions'!$M$2:$M$23,'3 Hazed Questions'!$A$2:$A$23,"Q4",'3 Hazed Questions'!$C$2:$C$23,L145))</f>
        <v/>
      </c>
      <c r="W145" s="14" t="str">
        <f aca="false">IF(COUNTA(I145:L145)=0,"",SUMIFS('3 Hazed Questions'!$N$2:$N$23,'3 Hazed Questions'!$A$2:$A$23,"Q1",'3 Hazed Questions'!$C$2:$C$23,I145)+SUMIFS('3 Hazed Questions'!$N$2:$N$23,'3 Hazed Questions'!$A$2:$A$23,"Q2",'3 Hazed Questions'!$C$2:$C$23,J145)+SUMIFS('3 Hazed Questions'!$N$2:$N$23,'3 Hazed Questions'!$A$2:$A$23,"Q3",'3 Hazed Questions'!$C$2:$C$23,K145)+SUMIFS('3 Hazed Questions'!$N$2:$N$23,'3 Hazed Questions'!$A$2:$A$23,"Q4",'3 Hazed Questions'!$C$2:$C$23,L145))</f>
        <v/>
      </c>
      <c r="X145" s="14" t="str">
        <f aca="false">IF(COUNTA(I145:L145)=0,"",INDEX(Fields!$B$2:$B$50,MATCH(SUBSTITUTE(INDEX($N$1:$W$1,MATCH(MAX($N145:$W145),$N145:$W145,0)),"Score: ",""),Fields!$A$2:$A$50,0)))</f>
        <v/>
      </c>
      <c r="Y145" s="14" t="str">
        <f aca="true">IF(COUNTA(I145:L145)=0,"",IF(LARGE($N145:$W145,2)=0,"-",INDEX(Fields!$B$2:$B$50,MATCH(SUBSTITUTE(INDEX($N$1:$W$1,IF(LARGE($N145:$W145,2)=MAX($N145:$W145),MATCH(MAX($N145:$W145),OFFSET($N145:$W145,0,MATCH(MAX($N145:$W145),$N145:$W145,0),1,10-MATCH(MAX($N145:$W145),$N145:$W145,0)),0)+MATCH(MAX($N145:$W145),$N145:$W145,0),MATCH(LARGE($N145:$W145,2),$N145:$W145,0))),"Score: ",""),Fields!$A$2:$A$50,0))))</f>
        <v/>
      </c>
      <c r="Z145" s="14" t="str">
        <f aca="false">IF(M145="","",IFERROR(INDEX('3 Hazed Questions'!$O$2:$O$23,MATCH(1,INDEX(('3 Hazed Questions'!$A$2:$A$23="Q5")*('3 Hazed Questions'!$C$2:$C$23=M145),0),0))&amp;"",""))</f>
        <v/>
      </c>
      <c r="AA145" s="18"/>
      <c r="AB145" s="18"/>
      <c r="AC145" s="19"/>
      <c r="AD145" s="19"/>
      <c r="AE145" s="18"/>
      <c r="AF145" s="18"/>
      <c r="AG145" s="18"/>
    </row>
    <row r="146" customFormat="false" ht="15" hidden="false" customHeight="false" outlineLevel="0" collapsed="false">
      <c r="A146" s="18"/>
      <c r="B146" s="19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4" t="str">
        <f aca="false">IF(COUNTA(I146:L146)=0,"",SUMIFS('3 Hazed Questions'!$E$2:$E$23,'3 Hazed Questions'!$A$2:$A$23,"Q1",'3 Hazed Questions'!$C$2:$C$23,I146)+SUMIFS('3 Hazed Questions'!$E$2:$E$23,'3 Hazed Questions'!$A$2:$A$23,"Q2",'3 Hazed Questions'!$C$2:$C$23,J146)+SUMIFS('3 Hazed Questions'!$E$2:$E$23,'3 Hazed Questions'!$A$2:$A$23,"Q3",'3 Hazed Questions'!$C$2:$C$23,K146)+SUMIFS('3 Hazed Questions'!$E$2:$E$23,'3 Hazed Questions'!$A$2:$A$23,"Q4",'3 Hazed Questions'!$C$2:$C$23,L146))</f>
        <v/>
      </c>
      <c r="O146" s="14" t="str">
        <f aca="false">IF(COUNTA(I146:L146)=0,"",SUMIFS('3 Hazed Questions'!$F$2:$F$23,'3 Hazed Questions'!$A$2:$A$23,"Q1",'3 Hazed Questions'!$C$2:$C$23,I146)+SUMIFS('3 Hazed Questions'!$F$2:$F$23,'3 Hazed Questions'!$A$2:$A$23,"Q2",'3 Hazed Questions'!$C$2:$C$23,J146)+SUMIFS('3 Hazed Questions'!$F$2:$F$23,'3 Hazed Questions'!$A$2:$A$23,"Q3",'3 Hazed Questions'!$C$2:$C$23,K146)+SUMIFS('3 Hazed Questions'!$F$2:$F$23,'3 Hazed Questions'!$A$2:$A$23,"Q4",'3 Hazed Questions'!$C$2:$C$23,L146))</f>
        <v/>
      </c>
      <c r="P146" s="14" t="str">
        <f aca="false">IF(COUNTA(I146:L146)=0,"",SUMIFS('3 Hazed Questions'!$G$2:$G$23,'3 Hazed Questions'!$A$2:$A$23,"Q1",'3 Hazed Questions'!$C$2:$C$23,I146)+SUMIFS('3 Hazed Questions'!$G$2:$G$23,'3 Hazed Questions'!$A$2:$A$23,"Q2",'3 Hazed Questions'!$C$2:$C$23,J146)+SUMIFS('3 Hazed Questions'!$G$2:$G$23,'3 Hazed Questions'!$A$2:$A$23,"Q3",'3 Hazed Questions'!$C$2:$C$23,K146)+SUMIFS('3 Hazed Questions'!$G$2:$G$23,'3 Hazed Questions'!$A$2:$A$23,"Q4",'3 Hazed Questions'!$C$2:$C$23,L146))</f>
        <v/>
      </c>
      <c r="Q146" s="14" t="str">
        <f aca="false">IF(COUNTA(I146:L146)=0,"",SUMIFS('3 Hazed Questions'!$H$2:$H$23,'3 Hazed Questions'!$A$2:$A$23,"Q1",'3 Hazed Questions'!$C$2:$C$23,I146)+SUMIFS('3 Hazed Questions'!$H$2:$H$23,'3 Hazed Questions'!$A$2:$A$23,"Q2",'3 Hazed Questions'!$C$2:$C$23,J146)+SUMIFS('3 Hazed Questions'!$H$2:$H$23,'3 Hazed Questions'!$A$2:$A$23,"Q3",'3 Hazed Questions'!$C$2:$C$23,K146)+SUMIFS('3 Hazed Questions'!$H$2:$H$23,'3 Hazed Questions'!$A$2:$A$23,"Q4",'3 Hazed Questions'!$C$2:$C$23,L146))</f>
        <v/>
      </c>
      <c r="R146" s="14" t="str">
        <f aca="false">IF(COUNTA(I146:L146)=0,"",SUMIFS('3 Hazed Questions'!$I$2:$I$23,'3 Hazed Questions'!$A$2:$A$23,"Q1",'3 Hazed Questions'!$C$2:$C$23,I146)+SUMIFS('3 Hazed Questions'!$I$2:$I$23,'3 Hazed Questions'!$A$2:$A$23,"Q2",'3 Hazed Questions'!$C$2:$C$23,J146)+SUMIFS('3 Hazed Questions'!$I$2:$I$23,'3 Hazed Questions'!$A$2:$A$23,"Q3",'3 Hazed Questions'!$C$2:$C$23,K146)+SUMIFS('3 Hazed Questions'!$I$2:$I$23,'3 Hazed Questions'!$A$2:$A$23,"Q4",'3 Hazed Questions'!$C$2:$C$23,L146))</f>
        <v/>
      </c>
      <c r="S146" s="14" t="str">
        <f aca="false">IF(COUNTA(I146:L146)=0,"",SUMIFS('3 Hazed Questions'!$J$2:$J$23,'3 Hazed Questions'!$A$2:$A$23,"Q1",'3 Hazed Questions'!$C$2:$C$23,I146)+SUMIFS('3 Hazed Questions'!$J$2:$J$23,'3 Hazed Questions'!$A$2:$A$23,"Q2",'3 Hazed Questions'!$C$2:$C$23,J146)+SUMIFS('3 Hazed Questions'!$J$2:$J$23,'3 Hazed Questions'!$A$2:$A$23,"Q3",'3 Hazed Questions'!$C$2:$C$23,K146)+SUMIFS('3 Hazed Questions'!$J$2:$J$23,'3 Hazed Questions'!$A$2:$A$23,"Q4",'3 Hazed Questions'!$C$2:$C$23,L146))</f>
        <v/>
      </c>
      <c r="T146" s="14" t="str">
        <f aca="false">IF(COUNTA(I146:L146)=0,"",SUMIFS('3 Hazed Questions'!$K$2:$K$23,'3 Hazed Questions'!$A$2:$A$23,"Q1",'3 Hazed Questions'!$C$2:$C$23,I146)+SUMIFS('3 Hazed Questions'!$K$2:$K$23,'3 Hazed Questions'!$A$2:$A$23,"Q2",'3 Hazed Questions'!$C$2:$C$23,J146)+SUMIFS('3 Hazed Questions'!$K$2:$K$23,'3 Hazed Questions'!$A$2:$A$23,"Q3",'3 Hazed Questions'!$C$2:$C$23,K146)+SUMIFS('3 Hazed Questions'!$K$2:$K$23,'3 Hazed Questions'!$A$2:$A$23,"Q4",'3 Hazed Questions'!$C$2:$C$23,L146))</f>
        <v/>
      </c>
      <c r="U146" s="14" t="str">
        <f aca="false">IF(COUNTA(I146:L146)=0,"",SUMIFS('3 Hazed Questions'!$L$2:$L$23,'3 Hazed Questions'!$A$2:$A$23,"Q1",'3 Hazed Questions'!$C$2:$C$23,I146)+SUMIFS('3 Hazed Questions'!$L$2:$L$23,'3 Hazed Questions'!$A$2:$A$23,"Q2",'3 Hazed Questions'!$C$2:$C$23,J146)+SUMIFS('3 Hazed Questions'!$L$2:$L$23,'3 Hazed Questions'!$A$2:$A$23,"Q3",'3 Hazed Questions'!$C$2:$C$23,K146)+SUMIFS('3 Hazed Questions'!$L$2:$L$23,'3 Hazed Questions'!$A$2:$A$23,"Q4",'3 Hazed Questions'!$C$2:$C$23,L146))</f>
        <v/>
      </c>
      <c r="V146" s="14" t="str">
        <f aca="false">IF(COUNTA(I146:L146)=0,"",SUMIFS('3 Hazed Questions'!$M$2:$M$23,'3 Hazed Questions'!$A$2:$A$23,"Q1",'3 Hazed Questions'!$C$2:$C$23,I146)+SUMIFS('3 Hazed Questions'!$M$2:$M$23,'3 Hazed Questions'!$A$2:$A$23,"Q2",'3 Hazed Questions'!$C$2:$C$23,J146)+SUMIFS('3 Hazed Questions'!$M$2:$M$23,'3 Hazed Questions'!$A$2:$A$23,"Q3",'3 Hazed Questions'!$C$2:$C$23,K146)+SUMIFS('3 Hazed Questions'!$M$2:$M$23,'3 Hazed Questions'!$A$2:$A$23,"Q4",'3 Hazed Questions'!$C$2:$C$23,L146))</f>
        <v/>
      </c>
      <c r="W146" s="14" t="str">
        <f aca="false">IF(COUNTA(I146:L146)=0,"",SUMIFS('3 Hazed Questions'!$N$2:$N$23,'3 Hazed Questions'!$A$2:$A$23,"Q1",'3 Hazed Questions'!$C$2:$C$23,I146)+SUMIFS('3 Hazed Questions'!$N$2:$N$23,'3 Hazed Questions'!$A$2:$A$23,"Q2",'3 Hazed Questions'!$C$2:$C$23,J146)+SUMIFS('3 Hazed Questions'!$N$2:$N$23,'3 Hazed Questions'!$A$2:$A$23,"Q3",'3 Hazed Questions'!$C$2:$C$23,K146)+SUMIFS('3 Hazed Questions'!$N$2:$N$23,'3 Hazed Questions'!$A$2:$A$23,"Q4",'3 Hazed Questions'!$C$2:$C$23,L146))</f>
        <v/>
      </c>
      <c r="X146" s="14" t="str">
        <f aca="false">IF(COUNTA(I146:L146)=0,"",INDEX(Fields!$B$2:$B$50,MATCH(SUBSTITUTE(INDEX($N$1:$W$1,MATCH(MAX($N146:$W146),$N146:$W146,0)),"Score: ",""),Fields!$A$2:$A$50,0)))</f>
        <v/>
      </c>
      <c r="Y146" s="14" t="str">
        <f aca="true">IF(COUNTA(I146:L146)=0,"",IF(LARGE($N146:$W146,2)=0,"-",INDEX(Fields!$B$2:$B$50,MATCH(SUBSTITUTE(INDEX($N$1:$W$1,IF(LARGE($N146:$W146,2)=MAX($N146:$W146),MATCH(MAX($N146:$W146),OFFSET($N146:$W146,0,MATCH(MAX($N146:$W146),$N146:$W146,0),1,10-MATCH(MAX($N146:$W146),$N146:$W146,0)),0)+MATCH(MAX($N146:$W146),$N146:$W146,0),MATCH(LARGE($N146:$W146,2),$N146:$W146,0))),"Score: ",""),Fields!$A$2:$A$50,0))))</f>
        <v/>
      </c>
      <c r="Z146" s="14" t="str">
        <f aca="false">IF(M146="","",IFERROR(INDEX('3 Hazed Questions'!$O$2:$O$23,MATCH(1,INDEX(('3 Hazed Questions'!$A$2:$A$23="Q5")*('3 Hazed Questions'!$C$2:$C$23=M146),0),0))&amp;"",""))</f>
        <v/>
      </c>
      <c r="AA146" s="18"/>
      <c r="AB146" s="18"/>
      <c r="AC146" s="19"/>
      <c r="AD146" s="19"/>
      <c r="AE146" s="18"/>
      <c r="AF146" s="18"/>
      <c r="AG146" s="18"/>
    </row>
    <row r="147" customFormat="false" ht="15" hidden="false" customHeight="false" outlineLevel="0" collapsed="false">
      <c r="A147" s="18"/>
      <c r="B147" s="19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4" t="str">
        <f aca="false">IF(COUNTA(I147:L147)=0,"",SUMIFS('3 Hazed Questions'!$E$2:$E$23,'3 Hazed Questions'!$A$2:$A$23,"Q1",'3 Hazed Questions'!$C$2:$C$23,I147)+SUMIFS('3 Hazed Questions'!$E$2:$E$23,'3 Hazed Questions'!$A$2:$A$23,"Q2",'3 Hazed Questions'!$C$2:$C$23,J147)+SUMIFS('3 Hazed Questions'!$E$2:$E$23,'3 Hazed Questions'!$A$2:$A$23,"Q3",'3 Hazed Questions'!$C$2:$C$23,K147)+SUMIFS('3 Hazed Questions'!$E$2:$E$23,'3 Hazed Questions'!$A$2:$A$23,"Q4",'3 Hazed Questions'!$C$2:$C$23,L147))</f>
        <v/>
      </c>
      <c r="O147" s="14" t="str">
        <f aca="false">IF(COUNTA(I147:L147)=0,"",SUMIFS('3 Hazed Questions'!$F$2:$F$23,'3 Hazed Questions'!$A$2:$A$23,"Q1",'3 Hazed Questions'!$C$2:$C$23,I147)+SUMIFS('3 Hazed Questions'!$F$2:$F$23,'3 Hazed Questions'!$A$2:$A$23,"Q2",'3 Hazed Questions'!$C$2:$C$23,J147)+SUMIFS('3 Hazed Questions'!$F$2:$F$23,'3 Hazed Questions'!$A$2:$A$23,"Q3",'3 Hazed Questions'!$C$2:$C$23,K147)+SUMIFS('3 Hazed Questions'!$F$2:$F$23,'3 Hazed Questions'!$A$2:$A$23,"Q4",'3 Hazed Questions'!$C$2:$C$23,L147))</f>
        <v/>
      </c>
      <c r="P147" s="14" t="str">
        <f aca="false">IF(COUNTA(I147:L147)=0,"",SUMIFS('3 Hazed Questions'!$G$2:$G$23,'3 Hazed Questions'!$A$2:$A$23,"Q1",'3 Hazed Questions'!$C$2:$C$23,I147)+SUMIFS('3 Hazed Questions'!$G$2:$G$23,'3 Hazed Questions'!$A$2:$A$23,"Q2",'3 Hazed Questions'!$C$2:$C$23,J147)+SUMIFS('3 Hazed Questions'!$G$2:$G$23,'3 Hazed Questions'!$A$2:$A$23,"Q3",'3 Hazed Questions'!$C$2:$C$23,K147)+SUMIFS('3 Hazed Questions'!$G$2:$G$23,'3 Hazed Questions'!$A$2:$A$23,"Q4",'3 Hazed Questions'!$C$2:$C$23,L147))</f>
        <v/>
      </c>
      <c r="Q147" s="14" t="str">
        <f aca="false">IF(COUNTA(I147:L147)=0,"",SUMIFS('3 Hazed Questions'!$H$2:$H$23,'3 Hazed Questions'!$A$2:$A$23,"Q1",'3 Hazed Questions'!$C$2:$C$23,I147)+SUMIFS('3 Hazed Questions'!$H$2:$H$23,'3 Hazed Questions'!$A$2:$A$23,"Q2",'3 Hazed Questions'!$C$2:$C$23,J147)+SUMIFS('3 Hazed Questions'!$H$2:$H$23,'3 Hazed Questions'!$A$2:$A$23,"Q3",'3 Hazed Questions'!$C$2:$C$23,K147)+SUMIFS('3 Hazed Questions'!$H$2:$H$23,'3 Hazed Questions'!$A$2:$A$23,"Q4",'3 Hazed Questions'!$C$2:$C$23,L147))</f>
        <v/>
      </c>
      <c r="R147" s="14" t="str">
        <f aca="false">IF(COUNTA(I147:L147)=0,"",SUMIFS('3 Hazed Questions'!$I$2:$I$23,'3 Hazed Questions'!$A$2:$A$23,"Q1",'3 Hazed Questions'!$C$2:$C$23,I147)+SUMIFS('3 Hazed Questions'!$I$2:$I$23,'3 Hazed Questions'!$A$2:$A$23,"Q2",'3 Hazed Questions'!$C$2:$C$23,J147)+SUMIFS('3 Hazed Questions'!$I$2:$I$23,'3 Hazed Questions'!$A$2:$A$23,"Q3",'3 Hazed Questions'!$C$2:$C$23,K147)+SUMIFS('3 Hazed Questions'!$I$2:$I$23,'3 Hazed Questions'!$A$2:$A$23,"Q4",'3 Hazed Questions'!$C$2:$C$23,L147))</f>
        <v/>
      </c>
      <c r="S147" s="14" t="str">
        <f aca="false">IF(COUNTA(I147:L147)=0,"",SUMIFS('3 Hazed Questions'!$J$2:$J$23,'3 Hazed Questions'!$A$2:$A$23,"Q1",'3 Hazed Questions'!$C$2:$C$23,I147)+SUMIFS('3 Hazed Questions'!$J$2:$J$23,'3 Hazed Questions'!$A$2:$A$23,"Q2",'3 Hazed Questions'!$C$2:$C$23,J147)+SUMIFS('3 Hazed Questions'!$J$2:$J$23,'3 Hazed Questions'!$A$2:$A$23,"Q3",'3 Hazed Questions'!$C$2:$C$23,K147)+SUMIFS('3 Hazed Questions'!$J$2:$J$23,'3 Hazed Questions'!$A$2:$A$23,"Q4",'3 Hazed Questions'!$C$2:$C$23,L147))</f>
        <v/>
      </c>
      <c r="T147" s="14" t="str">
        <f aca="false">IF(COUNTA(I147:L147)=0,"",SUMIFS('3 Hazed Questions'!$K$2:$K$23,'3 Hazed Questions'!$A$2:$A$23,"Q1",'3 Hazed Questions'!$C$2:$C$23,I147)+SUMIFS('3 Hazed Questions'!$K$2:$K$23,'3 Hazed Questions'!$A$2:$A$23,"Q2",'3 Hazed Questions'!$C$2:$C$23,J147)+SUMIFS('3 Hazed Questions'!$K$2:$K$23,'3 Hazed Questions'!$A$2:$A$23,"Q3",'3 Hazed Questions'!$C$2:$C$23,K147)+SUMIFS('3 Hazed Questions'!$K$2:$K$23,'3 Hazed Questions'!$A$2:$A$23,"Q4",'3 Hazed Questions'!$C$2:$C$23,L147))</f>
        <v/>
      </c>
      <c r="U147" s="14" t="str">
        <f aca="false">IF(COUNTA(I147:L147)=0,"",SUMIFS('3 Hazed Questions'!$L$2:$L$23,'3 Hazed Questions'!$A$2:$A$23,"Q1",'3 Hazed Questions'!$C$2:$C$23,I147)+SUMIFS('3 Hazed Questions'!$L$2:$L$23,'3 Hazed Questions'!$A$2:$A$23,"Q2",'3 Hazed Questions'!$C$2:$C$23,J147)+SUMIFS('3 Hazed Questions'!$L$2:$L$23,'3 Hazed Questions'!$A$2:$A$23,"Q3",'3 Hazed Questions'!$C$2:$C$23,K147)+SUMIFS('3 Hazed Questions'!$L$2:$L$23,'3 Hazed Questions'!$A$2:$A$23,"Q4",'3 Hazed Questions'!$C$2:$C$23,L147))</f>
        <v/>
      </c>
      <c r="V147" s="14" t="str">
        <f aca="false">IF(COUNTA(I147:L147)=0,"",SUMIFS('3 Hazed Questions'!$M$2:$M$23,'3 Hazed Questions'!$A$2:$A$23,"Q1",'3 Hazed Questions'!$C$2:$C$23,I147)+SUMIFS('3 Hazed Questions'!$M$2:$M$23,'3 Hazed Questions'!$A$2:$A$23,"Q2",'3 Hazed Questions'!$C$2:$C$23,J147)+SUMIFS('3 Hazed Questions'!$M$2:$M$23,'3 Hazed Questions'!$A$2:$A$23,"Q3",'3 Hazed Questions'!$C$2:$C$23,K147)+SUMIFS('3 Hazed Questions'!$M$2:$M$23,'3 Hazed Questions'!$A$2:$A$23,"Q4",'3 Hazed Questions'!$C$2:$C$23,L147))</f>
        <v/>
      </c>
      <c r="W147" s="14" t="str">
        <f aca="false">IF(COUNTA(I147:L147)=0,"",SUMIFS('3 Hazed Questions'!$N$2:$N$23,'3 Hazed Questions'!$A$2:$A$23,"Q1",'3 Hazed Questions'!$C$2:$C$23,I147)+SUMIFS('3 Hazed Questions'!$N$2:$N$23,'3 Hazed Questions'!$A$2:$A$23,"Q2",'3 Hazed Questions'!$C$2:$C$23,J147)+SUMIFS('3 Hazed Questions'!$N$2:$N$23,'3 Hazed Questions'!$A$2:$A$23,"Q3",'3 Hazed Questions'!$C$2:$C$23,K147)+SUMIFS('3 Hazed Questions'!$N$2:$N$23,'3 Hazed Questions'!$A$2:$A$23,"Q4",'3 Hazed Questions'!$C$2:$C$23,L147))</f>
        <v/>
      </c>
      <c r="X147" s="14" t="str">
        <f aca="false">IF(COUNTA(I147:L147)=0,"",INDEX(Fields!$B$2:$B$50,MATCH(SUBSTITUTE(INDEX($N$1:$W$1,MATCH(MAX($N147:$W147),$N147:$W147,0)),"Score: ",""),Fields!$A$2:$A$50,0)))</f>
        <v/>
      </c>
      <c r="Y147" s="14" t="str">
        <f aca="true">IF(COUNTA(I147:L147)=0,"",IF(LARGE($N147:$W147,2)=0,"-",INDEX(Fields!$B$2:$B$50,MATCH(SUBSTITUTE(INDEX($N$1:$W$1,IF(LARGE($N147:$W147,2)=MAX($N147:$W147),MATCH(MAX($N147:$W147),OFFSET($N147:$W147,0,MATCH(MAX($N147:$W147),$N147:$W147,0),1,10-MATCH(MAX($N147:$W147),$N147:$W147,0)),0)+MATCH(MAX($N147:$W147),$N147:$W147,0),MATCH(LARGE($N147:$W147,2),$N147:$W147,0))),"Score: ",""),Fields!$A$2:$A$50,0))))</f>
        <v/>
      </c>
      <c r="Z147" s="14" t="str">
        <f aca="false">IF(M147="","",IFERROR(INDEX('3 Hazed Questions'!$O$2:$O$23,MATCH(1,INDEX(('3 Hazed Questions'!$A$2:$A$23="Q5")*('3 Hazed Questions'!$C$2:$C$23=M147),0),0))&amp;"",""))</f>
        <v/>
      </c>
      <c r="AA147" s="18"/>
      <c r="AB147" s="18"/>
      <c r="AC147" s="19"/>
      <c r="AD147" s="19"/>
      <c r="AE147" s="18"/>
      <c r="AF147" s="18"/>
      <c r="AG147" s="18"/>
    </row>
    <row r="148" customFormat="false" ht="15" hidden="false" customHeight="false" outlineLevel="0" collapsed="false">
      <c r="A148" s="18"/>
      <c r="B148" s="19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4" t="str">
        <f aca="false">IF(COUNTA(I148:L148)=0,"",SUMIFS('3 Hazed Questions'!$E$2:$E$23,'3 Hazed Questions'!$A$2:$A$23,"Q1",'3 Hazed Questions'!$C$2:$C$23,I148)+SUMIFS('3 Hazed Questions'!$E$2:$E$23,'3 Hazed Questions'!$A$2:$A$23,"Q2",'3 Hazed Questions'!$C$2:$C$23,J148)+SUMIFS('3 Hazed Questions'!$E$2:$E$23,'3 Hazed Questions'!$A$2:$A$23,"Q3",'3 Hazed Questions'!$C$2:$C$23,K148)+SUMIFS('3 Hazed Questions'!$E$2:$E$23,'3 Hazed Questions'!$A$2:$A$23,"Q4",'3 Hazed Questions'!$C$2:$C$23,L148))</f>
        <v/>
      </c>
      <c r="O148" s="14" t="str">
        <f aca="false">IF(COUNTA(I148:L148)=0,"",SUMIFS('3 Hazed Questions'!$F$2:$F$23,'3 Hazed Questions'!$A$2:$A$23,"Q1",'3 Hazed Questions'!$C$2:$C$23,I148)+SUMIFS('3 Hazed Questions'!$F$2:$F$23,'3 Hazed Questions'!$A$2:$A$23,"Q2",'3 Hazed Questions'!$C$2:$C$23,J148)+SUMIFS('3 Hazed Questions'!$F$2:$F$23,'3 Hazed Questions'!$A$2:$A$23,"Q3",'3 Hazed Questions'!$C$2:$C$23,K148)+SUMIFS('3 Hazed Questions'!$F$2:$F$23,'3 Hazed Questions'!$A$2:$A$23,"Q4",'3 Hazed Questions'!$C$2:$C$23,L148))</f>
        <v/>
      </c>
      <c r="P148" s="14" t="str">
        <f aca="false">IF(COUNTA(I148:L148)=0,"",SUMIFS('3 Hazed Questions'!$G$2:$G$23,'3 Hazed Questions'!$A$2:$A$23,"Q1",'3 Hazed Questions'!$C$2:$C$23,I148)+SUMIFS('3 Hazed Questions'!$G$2:$G$23,'3 Hazed Questions'!$A$2:$A$23,"Q2",'3 Hazed Questions'!$C$2:$C$23,J148)+SUMIFS('3 Hazed Questions'!$G$2:$G$23,'3 Hazed Questions'!$A$2:$A$23,"Q3",'3 Hazed Questions'!$C$2:$C$23,K148)+SUMIFS('3 Hazed Questions'!$G$2:$G$23,'3 Hazed Questions'!$A$2:$A$23,"Q4",'3 Hazed Questions'!$C$2:$C$23,L148))</f>
        <v/>
      </c>
      <c r="Q148" s="14" t="str">
        <f aca="false">IF(COUNTA(I148:L148)=0,"",SUMIFS('3 Hazed Questions'!$H$2:$H$23,'3 Hazed Questions'!$A$2:$A$23,"Q1",'3 Hazed Questions'!$C$2:$C$23,I148)+SUMIFS('3 Hazed Questions'!$H$2:$H$23,'3 Hazed Questions'!$A$2:$A$23,"Q2",'3 Hazed Questions'!$C$2:$C$23,J148)+SUMIFS('3 Hazed Questions'!$H$2:$H$23,'3 Hazed Questions'!$A$2:$A$23,"Q3",'3 Hazed Questions'!$C$2:$C$23,K148)+SUMIFS('3 Hazed Questions'!$H$2:$H$23,'3 Hazed Questions'!$A$2:$A$23,"Q4",'3 Hazed Questions'!$C$2:$C$23,L148))</f>
        <v/>
      </c>
      <c r="R148" s="14" t="str">
        <f aca="false">IF(COUNTA(I148:L148)=0,"",SUMIFS('3 Hazed Questions'!$I$2:$I$23,'3 Hazed Questions'!$A$2:$A$23,"Q1",'3 Hazed Questions'!$C$2:$C$23,I148)+SUMIFS('3 Hazed Questions'!$I$2:$I$23,'3 Hazed Questions'!$A$2:$A$23,"Q2",'3 Hazed Questions'!$C$2:$C$23,J148)+SUMIFS('3 Hazed Questions'!$I$2:$I$23,'3 Hazed Questions'!$A$2:$A$23,"Q3",'3 Hazed Questions'!$C$2:$C$23,K148)+SUMIFS('3 Hazed Questions'!$I$2:$I$23,'3 Hazed Questions'!$A$2:$A$23,"Q4",'3 Hazed Questions'!$C$2:$C$23,L148))</f>
        <v/>
      </c>
      <c r="S148" s="14" t="str">
        <f aca="false">IF(COUNTA(I148:L148)=0,"",SUMIFS('3 Hazed Questions'!$J$2:$J$23,'3 Hazed Questions'!$A$2:$A$23,"Q1",'3 Hazed Questions'!$C$2:$C$23,I148)+SUMIFS('3 Hazed Questions'!$J$2:$J$23,'3 Hazed Questions'!$A$2:$A$23,"Q2",'3 Hazed Questions'!$C$2:$C$23,J148)+SUMIFS('3 Hazed Questions'!$J$2:$J$23,'3 Hazed Questions'!$A$2:$A$23,"Q3",'3 Hazed Questions'!$C$2:$C$23,K148)+SUMIFS('3 Hazed Questions'!$J$2:$J$23,'3 Hazed Questions'!$A$2:$A$23,"Q4",'3 Hazed Questions'!$C$2:$C$23,L148))</f>
        <v/>
      </c>
      <c r="T148" s="14" t="str">
        <f aca="false">IF(COUNTA(I148:L148)=0,"",SUMIFS('3 Hazed Questions'!$K$2:$K$23,'3 Hazed Questions'!$A$2:$A$23,"Q1",'3 Hazed Questions'!$C$2:$C$23,I148)+SUMIFS('3 Hazed Questions'!$K$2:$K$23,'3 Hazed Questions'!$A$2:$A$23,"Q2",'3 Hazed Questions'!$C$2:$C$23,J148)+SUMIFS('3 Hazed Questions'!$K$2:$K$23,'3 Hazed Questions'!$A$2:$A$23,"Q3",'3 Hazed Questions'!$C$2:$C$23,K148)+SUMIFS('3 Hazed Questions'!$K$2:$K$23,'3 Hazed Questions'!$A$2:$A$23,"Q4",'3 Hazed Questions'!$C$2:$C$23,L148))</f>
        <v/>
      </c>
      <c r="U148" s="14" t="str">
        <f aca="false">IF(COUNTA(I148:L148)=0,"",SUMIFS('3 Hazed Questions'!$L$2:$L$23,'3 Hazed Questions'!$A$2:$A$23,"Q1",'3 Hazed Questions'!$C$2:$C$23,I148)+SUMIFS('3 Hazed Questions'!$L$2:$L$23,'3 Hazed Questions'!$A$2:$A$23,"Q2",'3 Hazed Questions'!$C$2:$C$23,J148)+SUMIFS('3 Hazed Questions'!$L$2:$L$23,'3 Hazed Questions'!$A$2:$A$23,"Q3",'3 Hazed Questions'!$C$2:$C$23,K148)+SUMIFS('3 Hazed Questions'!$L$2:$L$23,'3 Hazed Questions'!$A$2:$A$23,"Q4",'3 Hazed Questions'!$C$2:$C$23,L148))</f>
        <v/>
      </c>
      <c r="V148" s="14" t="str">
        <f aca="false">IF(COUNTA(I148:L148)=0,"",SUMIFS('3 Hazed Questions'!$M$2:$M$23,'3 Hazed Questions'!$A$2:$A$23,"Q1",'3 Hazed Questions'!$C$2:$C$23,I148)+SUMIFS('3 Hazed Questions'!$M$2:$M$23,'3 Hazed Questions'!$A$2:$A$23,"Q2",'3 Hazed Questions'!$C$2:$C$23,J148)+SUMIFS('3 Hazed Questions'!$M$2:$M$23,'3 Hazed Questions'!$A$2:$A$23,"Q3",'3 Hazed Questions'!$C$2:$C$23,K148)+SUMIFS('3 Hazed Questions'!$M$2:$M$23,'3 Hazed Questions'!$A$2:$A$23,"Q4",'3 Hazed Questions'!$C$2:$C$23,L148))</f>
        <v/>
      </c>
      <c r="W148" s="14" t="str">
        <f aca="false">IF(COUNTA(I148:L148)=0,"",SUMIFS('3 Hazed Questions'!$N$2:$N$23,'3 Hazed Questions'!$A$2:$A$23,"Q1",'3 Hazed Questions'!$C$2:$C$23,I148)+SUMIFS('3 Hazed Questions'!$N$2:$N$23,'3 Hazed Questions'!$A$2:$A$23,"Q2",'3 Hazed Questions'!$C$2:$C$23,J148)+SUMIFS('3 Hazed Questions'!$N$2:$N$23,'3 Hazed Questions'!$A$2:$A$23,"Q3",'3 Hazed Questions'!$C$2:$C$23,K148)+SUMIFS('3 Hazed Questions'!$N$2:$N$23,'3 Hazed Questions'!$A$2:$A$23,"Q4",'3 Hazed Questions'!$C$2:$C$23,L148))</f>
        <v/>
      </c>
      <c r="X148" s="14" t="str">
        <f aca="false">IF(COUNTA(I148:L148)=0,"",INDEX(Fields!$B$2:$B$50,MATCH(SUBSTITUTE(INDEX($N$1:$W$1,MATCH(MAX($N148:$W148),$N148:$W148,0)),"Score: ",""),Fields!$A$2:$A$50,0)))</f>
        <v/>
      </c>
      <c r="Y148" s="14" t="str">
        <f aca="true">IF(COUNTA(I148:L148)=0,"",IF(LARGE($N148:$W148,2)=0,"-",INDEX(Fields!$B$2:$B$50,MATCH(SUBSTITUTE(INDEX($N$1:$W$1,IF(LARGE($N148:$W148,2)=MAX($N148:$W148),MATCH(MAX($N148:$W148),OFFSET($N148:$W148,0,MATCH(MAX($N148:$W148),$N148:$W148,0),1,10-MATCH(MAX($N148:$W148),$N148:$W148,0)),0)+MATCH(MAX($N148:$W148),$N148:$W148,0),MATCH(LARGE($N148:$W148,2),$N148:$W148,0))),"Score: ",""),Fields!$A$2:$A$50,0))))</f>
        <v/>
      </c>
      <c r="Z148" s="14" t="str">
        <f aca="false">IF(M148="","",IFERROR(INDEX('3 Hazed Questions'!$O$2:$O$23,MATCH(1,INDEX(('3 Hazed Questions'!$A$2:$A$23="Q5")*('3 Hazed Questions'!$C$2:$C$23=M148),0),0))&amp;"",""))</f>
        <v/>
      </c>
      <c r="AA148" s="18"/>
      <c r="AB148" s="18"/>
      <c r="AC148" s="19"/>
      <c r="AD148" s="19"/>
      <c r="AE148" s="18"/>
      <c r="AF148" s="18"/>
      <c r="AG148" s="18"/>
    </row>
    <row r="149" customFormat="false" ht="15" hidden="false" customHeight="false" outlineLevel="0" collapsed="false">
      <c r="A149" s="18"/>
      <c r="B149" s="19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4" t="str">
        <f aca="false">IF(COUNTA(I149:L149)=0,"",SUMIFS('3 Hazed Questions'!$E$2:$E$23,'3 Hazed Questions'!$A$2:$A$23,"Q1",'3 Hazed Questions'!$C$2:$C$23,I149)+SUMIFS('3 Hazed Questions'!$E$2:$E$23,'3 Hazed Questions'!$A$2:$A$23,"Q2",'3 Hazed Questions'!$C$2:$C$23,J149)+SUMIFS('3 Hazed Questions'!$E$2:$E$23,'3 Hazed Questions'!$A$2:$A$23,"Q3",'3 Hazed Questions'!$C$2:$C$23,K149)+SUMIFS('3 Hazed Questions'!$E$2:$E$23,'3 Hazed Questions'!$A$2:$A$23,"Q4",'3 Hazed Questions'!$C$2:$C$23,L149))</f>
        <v/>
      </c>
      <c r="O149" s="14" t="str">
        <f aca="false">IF(COUNTA(I149:L149)=0,"",SUMIFS('3 Hazed Questions'!$F$2:$F$23,'3 Hazed Questions'!$A$2:$A$23,"Q1",'3 Hazed Questions'!$C$2:$C$23,I149)+SUMIFS('3 Hazed Questions'!$F$2:$F$23,'3 Hazed Questions'!$A$2:$A$23,"Q2",'3 Hazed Questions'!$C$2:$C$23,J149)+SUMIFS('3 Hazed Questions'!$F$2:$F$23,'3 Hazed Questions'!$A$2:$A$23,"Q3",'3 Hazed Questions'!$C$2:$C$23,K149)+SUMIFS('3 Hazed Questions'!$F$2:$F$23,'3 Hazed Questions'!$A$2:$A$23,"Q4",'3 Hazed Questions'!$C$2:$C$23,L149))</f>
        <v/>
      </c>
      <c r="P149" s="14" t="str">
        <f aca="false">IF(COUNTA(I149:L149)=0,"",SUMIFS('3 Hazed Questions'!$G$2:$G$23,'3 Hazed Questions'!$A$2:$A$23,"Q1",'3 Hazed Questions'!$C$2:$C$23,I149)+SUMIFS('3 Hazed Questions'!$G$2:$G$23,'3 Hazed Questions'!$A$2:$A$23,"Q2",'3 Hazed Questions'!$C$2:$C$23,J149)+SUMIFS('3 Hazed Questions'!$G$2:$G$23,'3 Hazed Questions'!$A$2:$A$23,"Q3",'3 Hazed Questions'!$C$2:$C$23,K149)+SUMIFS('3 Hazed Questions'!$G$2:$G$23,'3 Hazed Questions'!$A$2:$A$23,"Q4",'3 Hazed Questions'!$C$2:$C$23,L149))</f>
        <v/>
      </c>
      <c r="Q149" s="14" t="str">
        <f aca="false">IF(COUNTA(I149:L149)=0,"",SUMIFS('3 Hazed Questions'!$H$2:$H$23,'3 Hazed Questions'!$A$2:$A$23,"Q1",'3 Hazed Questions'!$C$2:$C$23,I149)+SUMIFS('3 Hazed Questions'!$H$2:$H$23,'3 Hazed Questions'!$A$2:$A$23,"Q2",'3 Hazed Questions'!$C$2:$C$23,J149)+SUMIFS('3 Hazed Questions'!$H$2:$H$23,'3 Hazed Questions'!$A$2:$A$23,"Q3",'3 Hazed Questions'!$C$2:$C$23,K149)+SUMIFS('3 Hazed Questions'!$H$2:$H$23,'3 Hazed Questions'!$A$2:$A$23,"Q4",'3 Hazed Questions'!$C$2:$C$23,L149))</f>
        <v/>
      </c>
      <c r="R149" s="14" t="str">
        <f aca="false">IF(COUNTA(I149:L149)=0,"",SUMIFS('3 Hazed Questions'!$I$2:$I$23,'3 Hazed Questions'!$A$2:$A$23,"Q1",'3 Hazed Questions'!$C$2:$C$23,I149)+SUMIFS('3 Hazed Questions'!$I$2:$I$23,'3 Hazed Questions'!$A$2:$A$23,"Q2",'3 Hazed Questions'!$C$2:$C$23,J149)+SUMIFS('3 Hazed Questions'!$I$2:$I$23,'3 Hazed Questions'!$A$2:$A$23,"Q3",'3 Hazed Questions'!$C$2:$C$23,K149)+SUMIFS('3 Hazed Questions'!$I$2:$I$23,'3 Hazed Questions'!$A$2:$A$23,"Q4",'3 Hazed Questions'!$C$2:$C$23,L149))</f>
        <v/>
      </c>
      <c r="S149" s="14" t="str">
        <f aca="false">IF(COUNTA(I149:L149)=0,"",SUMIFS('3 Hazed Questions'!$J$2:$J$23,'3 Hazed Questions'!$A$2:$A$23,"Q1",'3 Hazed Questions'!$C$2:$C$23,I149)+SUMIFS('3 Hazed Questions'!$J$2:$J$23,'3 Hazed Questions'!$A$2:$A$23,"Q2",'3 Hazed Questions'!$C$2:$C$23,J149)+SUMIFS('3 Hazed Questions'!$J$2:$J$23,'3 Hazed Questions'!$A$2:$A$23,"Q3",'3 Hazed Questions'!$C$2:$C$23,K149)+SUMIFS('3 Hazed Questions'!$J$2:$J$23,'3 Hazed Questions'!$A$2:$A$23,"Q4",'3 Hazed Questions'!$C$2:$C$23,L149))</f>
        <v/>
      </c>
      <c r="T149" s="14" t="str">
        <f aca="false">IF(COUNTA(I149:L149)=0,"",SUMIFS('3 Hazed Questions'!$K$2:$K$23,'3 Hazed Questions'!$A$2:$A$23,"Q1",'3 Hazed Questions'!$C$2:$C$23,I149)+SUMIFS('3 Hazed Questions'!$K$2:$K$23,'3 Hazed Questions'!$A$2:$A$23,"Q2",'3 Hazed Questions'!$C$2:$C$23,J149)+SUMIFS('3 Hazed Questions'!$K$2:$K$23,'3 Hazed Questions'!$A$2:$A$23,"Q3",'3 Hazed Questions'!$C$2:$C$23,K149)+SUMIFS('3 Hazed Questions'!$K$2:$K$23,'3 Hazed Questions'!$A$2:$A$23,"Q4",'3 Hazed Questions'!$C$2:$C$23,L149))</f>
        <v/>
      </c>
      <c r="U149" s="14" t="str">
        <f aca="false">IF(COUNTA(I149:L149)=0,"",SUMIFS('3 Hazed Questions'!$L$2:$L$23,'3 Hazed Questions'!$A$2:$A$23,"Q1",'3 Hazed Questions'!$C$2:$C$23,I149)+SUMIFS('3 Hazed Questions'!$L$2:$L$23,'3 Hazed Questions'!$A$2:$A$23,"Q2",'3 Hazed Questions'!$C$2:$C$23,J149)+SUMIFS('3 Hazed Questions'!$L$2:$L$23,'3 Hazed Questions'!$A$2:$A$23,"Q3",'3 Hazed Questions'!$C$2:$C$23,K149)+SUMIFS('3 Hazed Questions'!$L$2:$L$23,'3 Hazed Questions'!$A$2:$A$23,"Q4",'3 Hazed Questions'!$C$2:$C$23,L149))</f>
        <v/>
      </c>
      <c r="V149" s="14" t="str">
        <f aca="false">IF(COUNTA(I149:L149)=0,"",SUMIFS('3 Hazed Questions'!$M$2:$M$23,'3 Hazed Questions'!$A$2:$A$23,"Q1",'3 Hazed Questions'!$C$2:$C$23,I149)+SUMIFS('3 Hazed Questions'!$M$2:$M$23,'3 Hazed Questions'!$A$2:$A$23,"Q2",'3 Hazed Questions'!$C$2:$C$23,J149)+SUMIFS('3 Hazed Questions'!$M$2:$M$23,'3 Hazed Questions'!$A$2:$A$23,"Q3",'3 Hazed Questions'!$C$2:$C$23,K149)+SUMIFS('3 Hazed Questions'!$M$2:$M$23,'3 Hazed Questions'!$A$2:$A$23,"Q4",'3 Hazed Questions'!$C$2:$C$23,L149))</f>
        <v/>
      </c>
      <c r="W149" s="14" t="str">
        <f aca="false">IF(COUNTA(I149:L149)=0,"",SUMIFS('3 Hazed Questions'!$N$2:$N$23,'3 Hazed Questions'!$A$2:$A$23,"Q1",'3 Hazed Questions'!$C$2:$C$23,I149)+SUMIFS('3 Hazed Questions'!$N$2:$N$23,'3 Hazed Questions'!$A$2:$A$23,"Q2",'3 Hazed Questions'!$C$2:$C$23,J149)+SUMIFS('3 Hazed Questions'!$N$2:$N$23,'3 Hazed Questions'!$A$2:$A$23,"Q3",'3 Hazed Questions'!$C$2:$C$23,K149)+SUMIFS('3 Hazed Questions'!$N$2:$N$23,'3 Hazed Questions'!$A$2:$A$23,"Q4",'3 Hazed Questions'!$C$2:$C$23,L149))</f>
        <v/>
      </c>
      <c r="X149" s="14" t="str">
        <f aca="false">IF(COUNTA(I149:L149)=0,"",INDEX(Fields!$B$2:$B$50,MATCH(SUBSTITUTE(INDEX($N$1:$W$1,MATCH(MAX($N149:$W149),$N149:$W149,0)),"Score: ",""),Fields!$A$2:$A$50,0)))</f>
        <v/>
      </c>
      <c r="Y149" s="14" t="str">
        <f aca="true">IF(COUNTA(I149:L149)=0,"",IF(LARGE($N149:$W149,2)=0,"-",INDEX(Fields!$B$2:$B$50,MATCH(SUBSTITUTE(INDEX($N$1:$W$1,IF(LARGE($N149:$W149,2)=MAX($N149:$W149),MATCH(MAX($N149:$W149),OFFSET($N149:$W149,0,MATCH(MAX($N149:$W149),$N149:$W149,0),1,10-MATCH(MAX($N149:$W149),$N149:$W149,0)),0)+MATCH(MAX($N149:$W149),$N149:$W149,0),MATCH(LARGE($N149:$W149,2),$N149:$W149,0))),"Score: ",""),Fields!$A$2:$A$50,0))))</f>
        <v/>
      </c>
      <c r="Z149" s="14" t="str">
        <f aca="false">IF(M149="","",IFERROR(INDEX('3 Hazed Questions'!$O$2:$O$23,MATCH(1,INDEX(('3 Hazed Questions'!$A$2:$A$23="Q5")*('3 Hazed Questions'!$C$2:$C$23=M149),0),0))&amp;"",""))</f>
        <v/>
      </c>
      <c r="AA149" s="18"/>
      <c r="AB149" s="18"/>
      <c r="AC149" s="19"/>
      <c r="AD149" s="19"/>
      <c r="AE149" s="18"/>
      <c r="AF149" s="18"/>
      <c r="AG149" s="18"/>
    </row>
    <row r="150" customFormat="false" ht="15" hidden="false" customHeight="false" outlineLevel="0" collapsed="false">
      <c r="A150" s="18"/>
      <c r="B150" s="19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4" t="str">
        <f aca="false">IF(COUNTA(I150:L150)=0,"",SUMIFS('3 Hazed Questions'!$E$2:$E$23,'3 Hazed Questions'!$A$2:$A$23,"Q1",'3 Hazed Questions'!$C$2:$C$23,I150)+SUMIFS('3 Hazed Questions'!$E$2:$E$23,'3 Hazed Questions'!$A$2:$A$23,"Q2",'3 Hazed Questions'!$C$2:$C$23,J150)+SUMIFS('3 Hazed Questions'!$E$2:$E$23,'3 Hazed Questions'!$A$2:$A$23,"Q3",'3 Hazed Questions'!$C$2:$C$23,K150)+SUMIFS('3 Hazed Questions'!$E$2:$E$23,'3 Hazed Questions'!$A$2:$A$23,"Q4",'3 Hazed Questions'!$C$2:$C$23,L150))</f>
        <v/>
      </c>
      <c r="O150" s="14" t="str">
        <f aca="false">IF(COUNTA(I150:L150)=0,"",SUMIFS('3 Hazed Questions'!$F$2:$F$23,'3 Hazed Questions'!$A$2:$A$23,"Q1",'3 Hazed Questions'!$C$2:$C$23,I150)+SUMIFS('3 Hazed Questions'!$F$2:$F$23,'3 Hazed Questions'!$A$2:$A$23,"Q2",'3 Hazed Questions'!$C$2:$C$23,J150)+SUMIFS('3 Hazed Questions'!$F$2:$F$23,'3 Hazed Questions'!$A$2:$A$23,"Q3",'3 Hazed Questions'!$C$2:$C$23,K150)+SUMIFS('3 Hazed Questions'!$F$2:$F$23,'3 Hazed Questions'!$A$2:$A$23,"Q4",'3 Hazed Questions'!$C$2:$C$23,L150))</f>
        <v/>
      </c>
      <c r="P150" s="14" t="str">
        <f aca="false">IF(COUNTA(I150:L150)=0,"",SUMIFS('3 Hazed Questions'!$G$2:$G$23,'3 Hazed Questions'!$A$2:$A$23,"Q1",'3 Hazed Questions'!$C$2:$C$23,I150)+SUMIFS('3 Hazed Questions'!$G$2:$G$23,'3 Hazed Questions'!$A$2:$A$23,"Q2",'3 Hazed Questions'!$C$2:$C$23,J150)+SUMIFS('3 Hazed Questions'!$G$2:$G$23,'3 Hazed Questions'!$A$2:$A$23,"Q3",'3 Hazed Questions'!$C$2:$C$23,K150)+SUMIFS('3 Hazed Questions'!$G$2:$G$23,'3 Hazed Questions'!$A$2:$A$23,"Q4",'3 Hazed Questions'!$C$2:$C$23,L150))</f>
        <v/>
      </c>
      <c r="Q150" s="14" t="str">
        <f aca="false">IF(COUNTA(I150:L150)=0,"",SUMIFS('3 Hazed Questions'!$H$2:$H$23,'3 Hazed Questions'!$A$2:$A$23,"Q1",'3 Hazed Questions'!$C$2:$C$23,I150)+SUMIFS('3 Hazed Questions'!$H$2:$H$23,'3 Hazed Questions'!$A$2:$A$23,"Q2",'3 Hazed Questions'!$C$2:$C$23,J150)+SUMIFS('3 Hazed Questions'!$H$2:$H$23,'3 Hazed Questions'!$A$2:$A$23,"Q3",'3 Hazed Questions'!$C$2:$C$23,K150)+SUMIFS('3 Hazed Questions'!$H$2:$H$23,'3 Hazed Questions'!$A$2:$A$23,"Q4",'3 Hazed Questions'!$C$2:$C$23,L150))</f>
        <v/>
      </c>
      <c r="R150" s="14" t="str">
        <f aca="false">IF(COUNTA(I150:L150)=0,"",SUMIFS('3 Hazed Questions'!$I$2:$I$23,'3 Hazed Questions'!$A$2:$A$23,"Q1",'3 Hazed Questions'!$C$2:$C$23,I150)+SUMIFS('3 Hazed Questions'!$I$2:$I$23,'3 Hazed Questions'!$A$2:$A$23,"Q2",'3 Hazed Questions'!$C$2:$C$23,J150)+SUMIFS('3 Hazed Questions'!$I$2:$I$23,'3 Hazed Questions'!$A$2:$A$23,"Q3",'3 Hazed Questions'!$C$2:$C$23,K150)+SUMIFS('3 Hazed Questions'!$I$2:$I$23,'3 Hazed Questions'!$A$2:$A$23,"Q4",'3 Hazed Questions'!$C$2:$C$23,L150))</f>
        <v/>
      </c>
      <c r="S150" s="14" t="str">
        <f aca="false">IF(COUNTA(I150:L150)=0,"",SUMIFS('3 Hazed Questions'!$J$2:$J$23,'3 Hazed Questions'!$A$2:$A$23,"Q1",'3 Hazed Questions'!$C$2:$C$23,I150)+SUMIFS('3 Hazed Questions'!$J$2:$J$23,'3 Hazed Questions'!$A$2:$A$23,"Q2",'3 Hazed Questions'!$C$2:$C$23,J150)+SUMIFS('3 Hazed Questions'!$J$2:$J$23,'3 Hazed Questions'!$A$2:$A$23,"Q3",'3 Hazed Questions'!$C$2:$C$23,K150)+SUMIFS('3 Hazed Questions'!$J$2:$J$23,'3 Hazed Questions'!$A$2:$A$23,"Q4",'3 Hazed Questions'!$C$2:$C$23,L150))</f>
        <v/>
      </c>
      <c r="T150" s="14" t="str">
        <f aca="false">IF(COUNTA(I150:L150)=0,"",SUMIFS('3 Hazed Questions'!$K$2:$K$23,'3 Hazed Questions'!$A$2:$A$23,"Q1",'3 Hazed Questions'!$C$2:$C$23,I150)+SUMIFS('3 Hazed Questions'!$K$2:$K$23,'3 Hazed Questions'!$A$2:$A$23,"Q2",'3 Hazed Questions'!$C$2:$C$23,J150)+SUMIFS('3 Hazed Questions'!$K$2:$K$23,'3 Hazed Questions'!$A$2:$A$23,"Q3",'3 Hazed Questions'!$C$2:$C$23,K150)+SUMIFS('3 Hazed Questions'!$K$2:$K$23,'3 Hazed Questions'!$A$2:$A$23,"Q4",'3 Hazed Questions'!$C$2:$C$23,L150))</f>
        <v/>
      </c>
      <c r="U150" s="14" t="str">
        <f aca="false">IF(COUNTA(I150:L150)=0,"",SUMIFS('3 Hazed Questions'!$L$2:$L$23,'3 Hazed Questions'!$A$2:$A$23,"Q1",'3 Hazed Questions'!$C$2:$C$23,I150)+SUMIFS('3 Hazed Questions'!$L$2:$L$23,'3 Hazed Questions'!$A$2:$A$23,"Q2",'3 Hazed Questions'!$C$2:$C$23,J150)+SUMIFS('3 Hazed Questions'!$L$2:$L$23,'3 Hazed Questions'!$A$2:$A$23,"Q3",'3 Hazed Questions'!$C$2:$C$23,K150)+SUMIFS('3 Hazed Questions'!$L$2:$L$23,'3 Hazed Questions'!$A$2:$A$23,"Q4",'3 Hazed Questions'!$C$2:$C$23,L150))</f>
        <v/>
      </c>
      <c r="V150" s="14" t="str">
        <f aca="false">IF(COUNTA(I150:L150)=0,"",SUMIFS('3 Hazed Questions'!$M$2:$M$23,'3 Hazed Questions'!$A$2:$A$23,"Q1",'3 Hazed Questions'!$C$2:$C$23,I150)+SUMIFS('3 Hazed Questions'!$M$2:$M$23,'3 Hazed Questions'!$A$2:$A$23,"Q2",'3 Hazed Questions'!$C$2:$C$23,J150)+SUMIFS('3 Hazed Questions'!$M$2:$M$23,'3 Hazed Questions'!$A$2:$A$23,"Q3",'3 Hazed Questions'!$C$2:$C$23,K150)+SUMIFS('3 Hazed Questions'!$M$2:$M$23,'3 Hazed Questions'!$A$2:$A$23,"Q4",'3 Hazed Questions'!$C$2:$C$23,L150))</f>
        <v/>
      </c>
      <c r="W150" s="14" t="str">
        <f aca="false">IF(COUNTA(I150:L150)=0,"",SUMIFS('3 Hazed Questions'!$N$2:$N$23,'3 Hazed Questions'!$A$2:$A$23,"Q1",'3 Hazed Questions'!$C$2:$C$23,I150)+SUMIFS('3 Hazed Questions'!$N$2:$N$23,'3 Hazed Questions'!$A$2:$A$23,"Q2",'3 Hazed Questions'!$C$2:$C$23,J150)+SUMIFS('3 Hazed Questions'!$N$2:$N$23,'3 Hazed Questions'!$A$2:$A$23,"Q3",'3 Hazed Questions'!$C$2:$C$23,K150)+SUMIFS('3 Hazed Questions'!$N$2:$N$23,'3 Hazed Questions'!$A$2:$A$23,"Q4",'3 Hazed Questions'!$C$2:$C$23,L150))</f>
        <v/>
      </c>
      <c r="X150" s="14" t="str">
        <f aca="false">IF(COUNTA(I150:L150)=0,"",INDEX(Fields!$B$2:$B$50,MATCH(SUBSTITUTE(INDEX($N$1:$W$1,MATCH(MAX($N150:$W150),$N150:$W150,0)),"Score: ",""),Fields!$A$2:$A$50,0)))</f>
        <v/>
      </c>
      <c r="Y150" s="14" t="str">
        <f aca="true">IF(COUNTA(I150:L150)=0,"",IF(LARGE($N150:$W150,2)=0,"-",INDEX(Fields!$B$2:$B$50,MATCH(SUBSTITUTE(INDEX($N$1:$W$1,IF(LARGE($N150:$W150,2)=MAX($N150:$W150),MATCH(MAX($N150:$W150),OFFSET($N150:$W150,0,MATCH(MAX($N150:$W150),$N150:$W150,0),1,10-MATCH(MAX($N150:$W150),$N150:$W150,0)),0)+MATCH(MAX($N150:$W150),$N150:$W150,0),MATCH(LARGE($N150:$W150,2),$N150:$W150,0))),"Score: ",""),Fields!$A$2:$A$50,0))))</f>
        <v/>
      </c>
      <c r="Z150" s="14" t="str">
        <f aca="false">IF(M150="","",IFERROR(INDEX('3 Hazed Questions'!$O$2:$O$23,MATCH(1,INDEX(('3 Hazed Questions'!$A$2:$A$23="Q5")*('3 Hazed Questions'!$C$2:$C$23=M150),0),0))&amp;"",""))</f>
        <v/>
      </c>
      <c r="AA150" s="18"/>
      <c r="AB150" s="18"/>
      <c r="AC150" s="19"/>
      <c r="AD150" s="19"/>
      <c r="AE150" s="18"/>
      <c r="AF150" s="18"/>
      <c r="AG150" s="18"/>
    </row>
    <row r="151" customFormat="false" ht="15" hidden="false" customHeight="false" outlineLevel="0" collapsed="false">
      <c r="A151" s="18"/>
      <c r="B151" s="19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4" t="str">
        <f aca="false">IF(COUNTA(I151:L151)=0,"",SUMIFS('3 Hazed Questions'!$E$2:$E$23,'3 Hazed Questions'!$A$2:$A$23,"Q1",'3 Hazed Questions'!$C$2:$C$23,I151)+SUMIFS('3 Hazed Questions'!$E$2:$E$23,'3 Hazed Questions'!$A$2:$A$23,"Q2",'3 Hazed Questions'!$C$2:$C$23,J151)+SUMIFS('3 Hazed Questions'!$E$2:$E$23,'3 Hazed Questions'!$A$2:$A$23,"Q3",'3 Hazed Questions'!$C$2:$C$23,K151)+SUMIFS('3 Hazed Questions'!$E$2:$E$23,'3 Hazed Questions'!$A$2:$A$23,"Q4",'3 Hazed Questions'!$C$2:$C$23,L151))</f>
        <v/>
      </c>
      <c r="O151" s="14" t="str">
        <f aca="false">IF(COUNTA(I151:L151)=0,"",SUMIFS('3 Hazed Questions'!$F$2:$F$23,'3 Hazed Questions'!$A$2:$A$23,"Q1",'3 Hazed Questions'!$C$2:$C$23,I151)+SUMIFS('3 Hazed Questions'!$F$2:$F$23,'3 Hazed Questions'!$A$2:$A$23,"Q2",'3 Hazed Questions'!$C$2:$C$23,J151)+SUMIFS('3 Hazed Questions'!$F$2:$F$23,'3 Hazed Questions'!$A$2:$A$23,"Q3",'3 Hazed Questions'!$C$2:$C$23,K151)+SUMIFS('3 Hazed Questions'!$F$2:$F$23,'3 Hazed Questions'!$A$2:$A$23,"Q4",'3 Hazed Questions'!$C$2:$C$23,L151))</f>
        <v/>
      </c>
      <c r="P151" s="14" t="str">
        <f aca="false">IF(COUNTA(I151:L151)=0,"",SUMIFS('3 Hazed Questions'!$G$2:$G$23,'3 Hazed Questions'!$A$2:$A$23,"Q1",'3 Hazed Questions'!$C$2:$C$23,I151)+SUMIFS('3 Hazed Questions'!$G$2:$G$23,'3 Hazed Questions'!$A$2:$A$23,"Q2",'3 Hazed Questions'!$C$2:$C$23,J151)+SUMIFS('3 Hazed Questions'!$G$2:$G$23,'3 Hazed Questions'!$A$2:$A$23,"Q3",'3 Hazed Questions'!$C$2:$C$23,K151)+SUMIFS('3 Hazed Questions'!$G$2:$G$23,'3 Hazed Questions'!$A$2:$A$23,"Q4",'3 Hazed Questions'!$C$2:$C$23,L151))</f>
        <v/>
      </c>
      <c r="Q151" s="14" t="str">
        <f aca="false">IF(COUNTA(I151:L151)=0,"",SUMIFS('3 Hazed Questions'!$H$2:$H$23,'3 Hazed Questions'!$A$2:$A$23,"Q1",'3 Hazed Questions'!$C$2:$C$23,I151)+SUMIFS('3 Hazed Questions'!$H$2:$H$23,'3 Hazed Questions'!$A$2:$A$23,"Q2",'3 Hazed Questions'!$C$2:$C$23,J151)+SUMIFS('3 Hazed Questions'!$H$2:$H$23,'3 Hazed Questions'!$A$2:$A$23,"Q3",'3 Hazed Questions'!$C$2:$C$23,K151)+SUMIFS('3 Hazed Questions'!$H$2:$H$23,'3 Hazed Questions'!$A$2:$A$23,"Q4",'3 Hazed Questions'!$C$2:$C$23,L151))</f>
        <v/>
      </c>
      <c r="R151" s="14" t="str">
        <f aca="false">IF(COUNTA(I151:L151)=0,"",SUMIFS('3 Hazed Questions'!$I$2:$I$23,'3 Hazed Questions'!$A$2:$A$23,"Q1",'3 Hazed Questions'!$C$2:$C$23,I151)+SUMIFS('3 Hazed Questions'!$I$2:$I$23,'3 Hazed Questions'!$A$2:$A$23,"Q2",'3 Hazed Questions'!$C$2:$C$23,J151)+SUMIFS('3 Hazed Questions'!$I$2:$I$23,'3 Hazed Questions'!$A$2:$A$23,"Q3",'3 Hazed Questions'!$C$2:$C$23,K151)+SUMIFS('3 Hazed Questions'!$I$2:$I$23,'3 Hazed Questions'!$A$2:$A$23,"Q4",'3 Hazed Questions'!$C$2:$C$23,L151))</f>
        <v/>
      </c>
      <c r="S151" s="14" t="str">
        <f aca="false">IF(COUNTA(I151:L151)=0,"",SUMIFS('3 Hazed Questions'!$J$2:$J$23,'3 Hazed Questions'!$A$2:$A$23,"Q1",'3 Hazed Questions'!$C$2:$C$23,I151)+SUMIFS('3 Hazed Questions'!$J$2:$J$23,'3 Hazed Questions'!$A$2:$A$23,"Q2",'3 Hazed Questions'!$C$2:$C$23,J151)+SUMIFS('3 Hazed Questions'!$J$2:$J$23,'3 Hazed Questions'!$A$2:$A$23,"Q3",'3 Hazed Questions'!$C$2:$C$23,K151)+SUMIFS('3 Hazed Questions'!$J$2:$J$23,'3 Hazed Questions'!$A$2:$A$23,"Q4",'3 Hazed Questions'!$C$2:$C$23,L151))</f>
        <v/>
      </c>
      <c r="T151" s="14" t="str">
        <f aca="false">IF(COUNTA(I151:L151)=0,"",SUMIFS('3 Hazed Questions'!$K$2:$K$23,'3 Hazed Questions'!$A$2:$A$23,"Q1",'3 Hazed Questions'!$C$2:$C$23,I151)+SUMIFS('3 Hazed Questions'!$K$2:$K$23,'3 Hazed Questions'!$A$2:$A$23,"Q2",'3 Hazed Questions'!$C$2:$C$23,J151)+SUMIFS('3 Hazed Questions'!$K$2:$K$23,'3 Hazed Questions'!$A$2:$A$23,"Q3",'3 Hazed Questions'!$C$2:$C$23,K151)+SUMIFS('3 Hazed Questions'!$K$2:$K$23,'3 Hazed Questions'!$A$2:$A$23,"Q4",'3 Hazed Questions'!$C$2:$C$23,L151))</f>
        <v/>
      </c>
      <c r="U151" s="14" t="str">
        <f aca="false">IF(COUNTA(I151:L151)=0,"",SUMIFS('3 Hazed Questions'!$L$2:$L$23,'3 Hazed Questions'!$A$2:$A$23,"Q1",'3 Hazed Questions'!$C$2:$C$23,I151)+SUMIFS('3 Hazed Questions'!$L$2:$L$23,'3 Hazed Questions'!$A$2:$A$23,"Q2",'3 Hazed Questions'!$C$2:$C$23,J151)+SUMIFS('3 Hazed Questions'!$L$2:$L$23,'3 Hazed Questions'!$A$2:$A$23,"Q3",'3 Hazed Questions'!$C$2:$C$23,K151)+SUMIFS('3 Hazed Questions'!$L$2:$L$23,'3 Hazed Questions'!$A$2:$A$23,"Q4",'3 Hazed Questions'!$C$2:$C$23,L151))</f>
        <v/>
      </c>
      <c r="V151" s="14" t="str">
        <f aca="false">IF(COUNTA(I151:L151)=0,"",SUMIFS('3 Hazed Questions'!$M$2:$M$23,'3 Hazed Questions'!$A$2:$A$23,"Q1",'3 Hazed Questions'!$C$2:$C$23,I151)+SUMIFS('3 Hazed Questions'!$M$2:$M$23,'3 Hazed Questions'!$A$2:$A$23,"Q2",'3 Hazed Questions'!$C$2:$C$23,J151)+SUMIFS('3 Hazed Questions'!$M$2:$M$23,'3 Hazed Questions'!$A$2:$A$23,"Q3",'3 Hazed Questions'!$C$2:$C$23,K151)+SUMIFS('3 Hazed Questions'!$M$2:$M$23,'3 Hazed Questions'!$A$2:$A$23,"Q4",'3 Hazed Questions'!$C$2:$C$23,L151))</f>
        <v/>
      </c>
      <c r="W151" s="14" t="str">
        <f aca="false">IF(COUNTA(I151:L151)=0,"",SUMIFS('3 Hazed Questions'!$N$2:$N$23,'3 Hazed Questions'!$A$2:$A$23,"Q1",'3 Hazed Questions'!$C$2:$C$23,I151)+SUMIFS('3 Hazed Questions'!$N$2:$N$23,'3 Hazed Questions'!$A$2:$A$23,"Q2",'3 Hazed Questions'!$C$2:$C$23,J151)+SUMIFS('3 Hazed Questions'!$N$2:$N$23,'3 Hazed Questions'!$A$2:$A$23,"Q3",'3 Hazed Questions'!$C$2:$C$23,K151)+SUMIFS('3 Hazed Questions'!$N$2:$N$23,'3 Hazed Questions'!$A$2:$A$23,"Q4",'3 Hazed Questions'!$C$2:$C$23,L151))</f>
        <v/>
      </c>
      <c r="X151" s="14" t="str">
        <f aca="false">IF(COUNTA(I151:L151)=0,"",INDEX(Fields!$B$2:$B$50,MATCH(SUBSTITUTE(INDEX($N$1:$W$1,MATCH(MAX($N151:$W151),$N151:$W151,0)),"Score: ",""),Fields!$A$2:$A$50,0)))</f>
        <v/>
      </c>
      <c r="Y151" s="14" t="str">
        <f aca="true">IF(COUNTA(I151:L151)=0,"",IF(LARGE($N151:$W151,2)=0,"-",INDEX(Fields!$B$2:$B$50,MATCH(SUBSTITUTE(INDEX($N$1:$W$1,IF(LARGE($N151:$W151,2)=MAX($N151:$W151),MATCH(MAX($N151:$W151),OFFSET($N151:$W151,0,MATCH(MAX($N151:$W151),$N151:$W151,0),1,10-MATCH(MAX($N151:$W151),$N151:$W151,0)),0)+MATCH(MAX($N151:$W151),$N151:$W151,0),MATCH(LARGE($N151:$W151,2),$N151:$W151,0))),"Score: ",""),Fields!$A$2:$A$50,0))))</f>
        <v/>
      </c>
      <c r="Z151" s="14" t="str">
        <f aca="false">IF(M151="","",IFERROR(INDEX('3 Hazed Questions'!$O$2:$O$23,MATCH(1,INDEX(('3 Hazed Questions'!$A$2:$A$23="Q5")*('3 Hazed Questions'!$C$2:$C$23=M151),0),0))&amp;"",""))</f>
        <v/>
      </c>
      <c r="AA151" s="18"/>
      <c r="AB151" s="18"/>
      <c r="AC151" s="19"/>
      <c r="AD151" s="19"/>
      <c r="AE151" s="18"/>
      <c r="AF151" s="18"/>
      <c r="AG151" s="18"/>
    </row>
    <row r="152" customFormat="false" ht="15" hidden="false" customHeight="false" outlineLevel="0" collapsed="false">
      <c r="A152" s="18"/>
      <c r="B152" s="19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4" t="str">
        <f aca="false">IF(COUNTA(I152:L152)=0,"",SUMIFS('3 Hazed Questions'!$E$2:$E$23,'3 Hazed Questions'!$A$2:$A$23,"Q1",'3 Hazed Questions'!$C$2:$C$23,I152)+SUMIFS('3 Hazed Questions'!$E$2:$E$23,'3 Hazed Questions'!$A$2:$A$23,"Q2",'3 Hazed Questions'!$C$2:$C$23,J152)+SUMIFS('3 Hazed Questions'!$E$2:$E$23,'3 Hazed Questions'!$A$2:$A$23,"Q3",'3 Hazed Questions'!$C$2:$C$23,K152)+SUMIFS('3 Hazed Questions'!$E$2:$E$23,'3 Hazed Questions'!$A$2:$A$23,"Q4",'3 Hazed Questions'!$C$2:$C$23,L152))</f>
        <v/>
      </c>
      <c r="O152" s="14" t="str">
        <f aca="false">IF(COUNTA(I152:L152)=0,"",SUMIFS('3 Hazed Questions'!$F$2:$F$23,'3 Hazed Questions'!$A$2:$A$23,"Q1",'3 Hazed Questions'!$C$2:$C$23,I152)+SUMIFS('3 Hazed Questions'!$F$2:$F$23,'3 Hazed Questions'!$A$2:$A$23,"Q2",'3 Hazed Questions'!$C$2:$C$23,J152)+SUMIFS('3 Hazed Questions'!$F$2:$F$23,'3 Hazed Questions'!$A$2:$A$23,"Q3",'3 Hazed Questions'!$C$2:$C$23,K152)+SUMIFS('3 Hazed Questions'!$F$2:$F$23,'3 Hazed Questions'!$A$2:$A$23,"Q4",'3 Hazed Questions'!$C$2:$C$23,L152))</f>
        <v/>
      </c>
      <c r="P152" s="14" t="str">
        <f aca="false">IF(COUNTA(I152:L152)=0,"",SUMIFS('3 Hazed Questions'!$G$2:$G$23,'3 Hazed Questions'!$A$2:$A$23,"Q1",'3 Hazed Questions'!$C$2:$C$23,I152)+SUMIFS('3 Hazed Questions'!$G$2:$G$23,'3 Hazed Questions'!$A$2:$A$23,"Q2",'3 Hazed Questions'!$C$2:$C$23,J152)+SUMIFS('3 Hazed Questions'!$G$2:$G$23,'3 Hazed Questions'!$A$2:$A$23,"Q3",'3 Hazed Questions'!$C$2:$C$23,K152)+SUMIFS('3 Hazed Questions'!$G$2:$G$23,'3 Hazed Questions'!$A$2:$A$23,"Q4",'3 Hazed Questions'!$C$2:$C$23,L152))</f>
        <v/>
      </c>
      <c r="Q152" s="14" t="str">
        <f aca="false">IF(COUNTA(I152:L152)=0,"",SUMIFS('3 Hazed Questions'!$H$2:$H$23,'3 Hazed Questions'!$A$2:$A$23,"Q1",'3 Hazed Questions'!$C$2:$C$23,I152)+SUMIFS('3 Hazed Questions'!$H$2:$H$23,'3 Hazed Questions'!$A$2:$A$23,"Q2",'3 Hazed Questions'!$C$2:$C$23,J152)+SUMIFS('3 Hazed Questions'!$H$2:$H$23,'3 Hazed Questions'!$A$2:$A$23,"Q3",'3 Hazed Questions'!$C$2:$C$23,K152)+SUMIFS('3 Hazed Questions'!$H$2:$H$23,'3 Hazed Questions'!$A$2:$A$23,"Q4",'3 Hazed Questions'!$C$2:$C$23,L152))</f>
        <v/>
      </c>
      <c r="R152" s="14" t="str">
        <f aca="false">IF(COUNTA(I152:L152)=0,"",SUMIFS('3 Hazed Questions'!$I$2:$I$23,'3 Hazed Questions'!$A$2:$A$23,"Q1",'3 Hazed Questions'!$C$2:$C$23,I152)+SUMIFS('3 Hazed Questions'!$I$2:$I$23,'3 Hazed Questions'!$A$2:$A$23,"Q2",'3 Hazed Questions'!$C$2:$C$23,J152)+SUMIFS('3 Hazed Questions'!$I$2:$I$23,'3 Hazed Questions'!$A$2:$A$23,"Q3",'3 Hazed Questions'!$C$2:$C$23,K152)+SUMIFS('3 Hazed Questions'!$I$2:$I$23,'3 Hazed Questions'!$A$2:$A$23,"Q4",'3 Hazed Questions'!$C$2:$C$23,L152))</f>
        <v/>
      </c>
      <c r="S152" s="14" t="str">
        <f aca="false">IF(COUNTA(I152:L152)=0,"",SUMIFS('3 Hazed Questions'!$J$2:$J$23,'3 Hazed Questions'!$A$2:$A$23,"Q1",'3 Hazed Questions'!$C$2:$C$23,I152)+SUMIFS('3 Hazed Questions'!$J$2:$J$23,'3 Hazed Questions'!$A$2:$A$23,"Q2",'3 Hazed Questions'!$C$2:$C$23,J152)+SUMIFS('3 Hazed Questions'!$J$2:$J$23,'3 Hazed Questions'!$A$2:$A$23,"Q3",'3 Hazed Questions'!$C$2:$C$23,K152)+SUMIFS('3 Hazed Questions'!$J$2:$J$23,'3 Hazed Questions'!$A$2:$A$23,"Q4",'3 Hazed Questions'!$C$2:$C$23,L152))</f>
        <v/>
      </c>
      <c r="T152" s="14" t="str">
        <f aca="false">IF(COUNTA(I152:L152)=0,"",SUMIFS('3 Hazed Questions'!$K$2:$K$23,'3 Hazed Questions'!$A$2:$A$23,"Q1",'3 Hazed Questions'!$C$2:$C$23,I152)+SUMIFS('3 Hazed Questions'!$K$2:$K$23,'3 Hazed Questions'!$A$2:$A$23,"Q2",'3 Hazed Questions'!$C$2:$C$23,J152)+SUMIFS('3 Hazed Questions'!$K$2:$K$23,'3 Hazed Questions'!$A$2:$A$23,"Q3",'3 Hazed Questions'!$C$2:$C$23,K152)+SUMIFS('3 Hazed Questions'!$K$2:$K$23,'3 Hazed Questions'!$A$2:$A$23,"Q4",'3 Hazed Questions'!$C$2:$C$23,L152))</f>
        <v/>
      </c>
      <c r="U152" s="14" t="str">
        <f aca="false">IF(COUNTA(I152:L152)=0,"",SUMIFS('3 Hazed Questions'!$L$2:$L$23,'3 Hazed Questions'!$A$2:$A$23,"Q1",'3 Hazed Questions'!$C$2:$C$23,I152)+SUMIFS('3 Hazed Questions'!$L$2:$L$23,'3 Hazed Questions'!$A$2:$A$23,"Q2",'3 Hazed Questions'!$C$2:$C$23,J152)+SUMIFS('3 Hazed Questions'!$L$2:$L$23,'3 Hazed Questions'!$A$2:$A$23,"Q3",'3 Hazed Questions'!$C$2:$C$23,K152)+SUMIFS('3 Hazed Questions'!$L$2:$L$23,'3 Hazed Questions'!$A$2:$A$23,"Q4",'3 Hazed Questions'!$C$2:$C$23,L152))</f>
        <v/>
      </c>
      <c r="V152" s="14" t="str">
        <f aca="false">IF(COUNTA(I152:L152)=0,"",SUMIFS('3 Hazed Questions'!$M$2:$M$23,'3 Hazed Questions'!$A$2:$A$23,"Q1",'3 Hazed Questions'!$C$2:$C$23,I152)+SUMIFS('3 Hazed Questions'!$M$2:$M$23,'3 Hazed Questions'!$A$2:$A$23,"Q2",'3 Hazed Questions'!$C$2:$C$23,J152)+SUMIFS('3 Hazed Questions'!$M$2:$M$23,'3 Hazed Questions'!$A$2:$A$23,"Q3",'3 Hazed Questions'!$C$2:$C$23,K152)+SUMIFS('3 Hazed Questions'!$M$2:$M$23,'3 Hazed Questions'!$A$2:$A$23,"Q4",'3 Hazed Questions'!$C$2:$C$23,L152))</f>
        <v/>
      </c>
      <c r="W152" s="14" t="str">
        <f aca="false">IF(COUNTA(I152:L152)=0,"",SUMIFS('3 Hazed Questions'!$N$2:$N$23,'3 Hazed Questions'!$A$2:$A$23,"Q1",'3 Hazed Questions'!$C$2:$C$23,I152)+SUMIFS('3 Hazed Questions'!$N$2:$N$23,'3 Hazed Questions'!$A$2:$A$23,"Q2",'3 Hazed Questions'!$C$2:$C$23,J152)+SUMIFS('3 Hazed Questions'!$N$2:$N$23,'3 Hazed Questions'!$A$2:$A$23,"Q3",'3 Hazed Questions'!$C$2:$C$23,K152)+SUMIFS('3 Hazed Questions'!$N$2:$N$23,'3 Hazed Questions'!$A$2:$A$23,"Q4",'3 Hazed Questions'!$C$2:$C$23,L152))</f>
        <v/>
      </c>
      <c r="X152" s="14" t="str">
        <f aca="false">IF(COUNTA(I152:L152)=0,"",INDEX(Fields!$B$2:$B$50,MATCH(SUBSTITUTE(INDEX($N$1:$W$1,MATCH(MAX($N152:$W152),$N152:$W152,0)),"Score: ",""),Fields!$A$2:$A$50,0)))</f>
        <v/>
      </c>
      <c r="Y152" s="14" t="str">
        <f aca="true">IF(COUNTA(I152:L152)=0,"",IF(LARGE($N152:$W152,2)=0,"-",INDEX(Fields!$B$2:$B$50,MATCH(SUBSTITUTE(INDEX($N$1:$W$1,IF(LARGE($N152:$W152,2)=MAX($N152:$W152),MATCH(MAX($N152:$W152),OFFSET($N152:$W152,0,MATCH(MAX($N152:$W152),$N152:$W152,0),1,10-MATCH(MAX($N152:$W152),$N152:$W152,0)),0)+MATCH(MAX($N152:$W152),$N152:$W152,0),MATCH(LARGE($N152:$W152,2),$N152:$W152,0))),"Score: ",""),Fields!$A$2:$A$50,0))))</f>
        <v/>
      </c>
      <c r="Z152" s="14" t="str">
        <f aca="false">IF(M152="","",IFERROR(INDEX('3 Hazed Questions'!$O$2:$O$23,MATCH(1,INDEX(('3 Hazed Questions'!$A$2:$A$23="Q5")*('3 Hazed Questions'!$C$2:$C$23=M152),0),0))&amp;"",""))</f>
        <v/>
      </c>
      <c r="AA152" s="18"/>
      <c r="AB152" s="18"/>
      <c r="AC152" s="19"/>
      <c r="AD152" s="19"/>
      <c r="AE152" s="18"/>
      <c r="AF152" s="18"/>
      <c r="AG152" s="18"/>
    </row>
    <row r="153" customFormat="false" ht="15" hidden="false" customHeight="false" outlineLevel="0" collapsed="false">
      <c r="A153" s="18"/>
      <c r="B153" s="19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4" t="str">
        <f aca="false">IF(COUNTA(I153:L153)=0,"",SUMIFS('3 Hazed Questions'!$E$2:$E$23,'3 Hazed Questions'!$A$2:$A$23,"Q1",'3 Hazed Questions'!$C$2:$C$23,I153)+SUMIFS('3 Hazed Questions'!$E$2:$E$23,'3 Hazed Questions'!$A$2:$A$23,"Q2",'3 Hazed Questions'!$C$2:$C$23,J153)+SUMIFS('3 Hazed Questions'!$E$2:$E$23,'3 Hazed Questions'!$A$2:$A$23,"Q3",'3 Hazed Questions'!$C$2:$C$23,K153)+SUMIFS('3 Hazed Questions'!$E$2:$E$23,'3 Hazed Questions'!$A$2:$A$23,"Q4",'3 Hazed Questions'!$C$2:$C$23,L153))</f>
        <v/>
      </c>
      <c r="O153" s="14" t="str">
        <f aca="false">IF(COUNTA(I153:L153)=0,"",SUMIFS('3 Hazed Questions'!$F$2:$F$23,'3 Hazed Questions'!$A$2:$A$23,"Q1",'3 Hazed Questions'!$C$2:$C$23,I153)+SUMIFS('3 Hazed Questions'!$F$2:$F$23,'3 Hazed Questions'!$A$2:$A$23,"Q2",'3 Hazed Questions'!$C$2:$C$23,J153)+SUMIFS('3 Hazed Questions'!$F$2:$F$23,'3 Hazed Questions'!$A$2:$A$23,"Q3",'3 Hazed Questions'!$C$2:$C$23,K153)+SUMIFS('3 Hazed Questions'!$F$2:$F$23,'3 Hazed Questions'!$A$2:$A$23,"Q4",'3 Hazed Questions'!$C$2:$C$23,L153))</f>
        <v/>
      </c>
      <c r="P153" s="14" t="str">
        <f aca="false">IF(COUNTA(I153:L153)=0,"",SUMIFS('3 Hazed Questions'!$G$2:$G$23,'3 Hazed Questions'!$A$2:$A$23,"Q1",'3 Hazed Questions'!$C$2:$C$23,I153)+SUMIFS('3 Hazed Questions'!$G$2:$G$23,'3 Hazed Questions'!$A$2:$A$23,"Q2",'3 Hazed Questions'!$C$2:$C$23,J153)+SUMIFS('3 Hazed Questions'!$G$2:$G$23,'3 Hazed Questions'!$A$2:$A$23,"Q3",'3 Hazed Questions'!$C$2:$C$23,K153)+SUMIFS('3 Hazed Questions'!$G$2:$G$23,'3 Hazed Questions'!$A$2:$A$23,"Q4",'3 Hazed Questions'!$C$2:$C$23,L153))</f>
        <v/>
      </c>
      <c r="Q153" s="14" t="str">
        <f aca="false">IF(COUNTA(I153:L153)=0,"",SUMIFS('3 Hazed Questions'!$H$2:$H$23,'3 Hazed Questions'!$A$2:$A$23,"Q1",'3 Hazed Questions'!$C$2:$C$23,I153)+SUMIFS('3 Hazed Questions'!$H$2:$H$23,'3 Hazed Questions'!$A$2:$A$23,"Q2",'3 Hazed Questions'!$C$2:$C$23,J153)+SUMIFS('3 Hazed Questions'!$H$2:$H$23,'3 Hazed Questions'!$A$2:$A$23,"Q3",'3 Hazed Questions'!$C$2:$C$23,K153)+SUMIFS('3 Hazed Questions'!$H$2:$H$23,'3 Hazed Questions'!$A$2:$A$23,"Q4",'3 Hazed Questions'!$C$2:$C$23,L153))</f>
        <v/>
      </c>
      <c r="R153" s="14" t="str">
        <f aca="false">IF(COUNTA(I153:L153)=0,"",SUMIFS('3 Hazed Questions'!$I$2:$I$23,'3 Hazed Questions'!$A$2:$A$23,"Q1",'3 Hazed Questions'!$C$2:$C$23,I153)+SUMIFS('3 Hazed Questions'!$I$2:$I$23,'3 Hazed Questions'!$A$2:$A$23,"Q2",'3 Hazed Questions'!$C$2:$C$23,J153)+SUMIFS('3 Hazed Questions'!$I$2:$I$23,'3 Hazed Questions'!$A$2:$A$23,"Q3",'3 Hazed Questions'!$C$2:$C$23,K153)+SUMIFS('3 Hazed Questions'!$I$2:$I$23,'3 Hazed Questions'!$A$2:$A$23,"Q4",'3 Hazed Questions'!$C$2:$C$23,L153))</f>
        <v/>
      </c>
      <c r="S153" s="14" t="str">
        <f aca="false">IF(COUNTA(I153:L153)=0,"",SUMIFS('3 Hazed Questions'!$J$2:$J$23,'3 Hazed Questions'!$A$2:$A$23,"Q1",'3 Hazed Questions'!$C$2:$C$23,I153)+SUMIFS('3 Hazed Questions'!$J$2:$J$23,'3 Hazed Questions'!$A$2:$A$23,"Q2",'3 Hazed Questions'!$C$2:$C$23,J153)+SUMIFS('3 Hazed Questions'!$J$2:$J$23,'3 Hazed Questions'!$A$2:$A$23,"Q3",'3 Hazed Questions'!$C$2:$C$23,K153)+SUMIFS('3 Hazed Questions'!$J$2:$J$23,'3 Hazed Questions'!$A$2:$A$23,"Q4",'3 Hazed Questions'!$C$2:$C$23,L153))</f>
        <v/>
      </c>
      <c r="T153" s="14" t="str">
        <f aca="false">IF(COUNTA(I153:L153)=0,"",SUMIFS('3 Hazed Questions'!$K$2:$K$23,'3 Hazed Questions'!$A$2:$A$23,"Q1",'3 Hazed Questions'!$C$2:$C$23,I153)+SUMIFS('3 Hazed Questions'!$K$2:$K$23,'3 Hazed Questions'!$A$2:$A$23,"Q2",'3 Hazed Questions'!$C$2:$C$23,J153)+SUMIFS('3 Hazed Questions'!$K$2:$K$23,'3 Hazed Questions'!$A$2:$A$23,"Q3",'3 Hazed Questions'!$C$2:$C$23,K153)+SUMIFS('3 Hazed Questions'!$K$2:$K$23,'3 Hazed Questions'!$A$2:$A$23,"Q4",'3 Hazed Questions'!$C$2:$C$23,L153))</f>
        <v/>
      </c>
      <c r="U153" s="14" t="str">
        <f aca="false">IF(COUNTA(I153:L153)=0,"",SUMIFS('3 Hazed Questions'!$L$2:$L$23,'3 Hazed Questions'!$A$2:$A$23,"Q1",'3 Hazed Questions'!$C$2:$C$23,I153)+SUMIFS('3 Hazed Questions'!$L$2:$L$23,'3 Hazed Questions'!$A$2:$A$23,"Q2",'3 Hazed Questions'!$C$2:$C$23,J153)+SUMIFS('3 Hazed Questions'!$L$2:$L$23,'3 Hazed Questions'!$A$2:$A$23,"Q3",'3 Hazed Questions'!$C$2:$C$23,K153)+SUMIFS('3 Hazed Questions'!$L$2:$L$23,'3 Hazed Questions'!$A$2:$A$23,"Q4",'3 Hazed Questions'!$C$2:$C$23,L153))</f>
        <v/>
      </c>
      <c r="V153" s="14" t="str">
        <f aca="false">IF(COUNTA(I153:L153)=0,"",SUMIFS('3 Hazed Questions'!$M$2:$M$23,'3 Hazed Questions'!$A$2:$A$23,"Q1",'3 Hazed Questions'!$C$2:$C$23,I153)+SUMIFS('3 Hazed Questions'!$M$2:$M$23,'3 Hazed Questions'!$A$2:$A$23,"Q2",'3 Hazed Questions'!$C$2:$C$23,J153)+SUMIFS('3 Hazed Questions'!$M$2:$M$23,'3 Hazed Questions'!$A$2:$A$23,"Q3",'3 Hazed Questions'!$C$2:$C$23,K153)+SUMIFS('3 Hazed Questions'!$M$2:$M$23,'3 Hazed Questions'!$A$2:$A$23,"Q4",'3 Hazed Questions'!$C$2:$C$23,L153))</f>
        <v/>
      </c>
      <c r="W153" s="14" t="str">
        <f aca="false">IF(COUNTA(I153:L153)=0,"",SUMIFS('3 Hazed Questions'!$N$2:$N$23,'3 Hazed Questions'!$A$2:$A$23,"Q1",'3 Hazed Questions'!$C$2:$C$23,I153)+SUMIFS('3 Hazed Questions'!$N$2:$N$23,'3 Hazed Questions'!$A$2:$A$23,"Q2",'3 Hazed Questions'!$C$2:$C$23,J153)+SUMIFS('3 Hazed Questions'!$N$2:$N$23,'3 Hazed Questions'!$A$2:$A$23,"Q3",'3 Hazed Questions'!$C$2:$C$23,K153)+SUMIFS('3 Hazed Questions'!$N$2:$N$23,'3 Hazed Questions'!$A$2:$A$23,"Q4",'3 Hazed Questions'!$C$2:$C$23,L153))</f>
        <v/>
      </c>
      <c r="X153" s="14" t="str">
        <f aca="false">IF(COUNTA(I153:L153)=0,"",INDEX(Fields!$B$2:$B$50,MATCH(SUBSTITUTE(INDEX($N$1:$W$1,MATCH(MAX($N153:$W153),$N153:$W153,0)),"Score: ",""),Fields!$A$2:$A$50,0)))</f>
        <v/>
      </c>
      <c r="Y153" s="14" t="str">
        <f aca="true">IF(COUNTA(I153:L153)=0,"",IF(LARGE($N153:$W153,2)=0,"-",INDEX(Fields!$B$2:$B$50,MATCH(SUBSTITUTE(INDEX($N$1:$W$1,IF(LARGE($N153:$W153,2)=MAX($N153:$W153),MATCH(MAX($N153:$W153),OFFSET($N153:$W153,0,MATCH(MAX($N153:$W153),$N153:$W153,0),1,10-MATCH(MAX($N153:$W153),$N153:$W153,0)),0)+MATCH(MAX($N153:$W153),$N153:$W153,0),MATCH(LARGE($N153:$W153,2),$N153:$W153,0))),"Score: ",""),Fields!$A$2:$A$50,0))))</f>
        <v/>
      </c>
      <c r="Z153" s="14" t="str">
        <f aca="false">IF(M153="","",IFERROR(INDEX('3 Hazed Questions'!$O$2:$O$23,MATCH(1,INDEX(('3 Hazed Questions'!$A$2:$A$23="Q5")*('3 Hazed Questions'!$C$2:$C$23=M153),0),0))&amp;"",""))</f>
        <v/>
      </c>
      <c r="AA153" s="18"/>
      <c r="AB153" s="18"/>
      <c r="AC153" s="19"/>
      <c r="AD153" s="19"/>
      <c r="AE153" s="18"/>
      <c r="AF153" s="18"/>
      <c r="AG153" s="18"/>
    </row>
    <row r="154" customFormat="false" ht="15" hidden="false" customHeight="false" outlineLevel="0" collapsed="false">
      <c r="A154" s="18"/>
      <c r="B154" s="19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4" t="str">
        <f aca="false">IF(COUNTA(I154:L154)=0,"",SUMIFS('3 Hazed Questions'!$E$2:$E$23,'3 Hazed Questions'!$A$2:$A$23,"Q1",'3 Hazed Questions'!$C$2:$C$23,I154)+SUMIFS('3 Hazed Questions'!$E$2:$E$23,'3 Hazed Questions'!$A$2:$A$23,"Q2",'3 Hazed Questions'!$C$2:$C$23,J154)+SUMIFS('3 Hazed Questions'!$E$2:$E$23,'3 Hazed Questions'!$A$2:$A$23,"Q3",'3 Hazed Questions'!$C$2:$C$23,K154)+SUMIFS('3 Hazed Questions'!$E$2:$E$23,'3 Hazed Questions'!$A$2:$A$23,"Q4",'3 Hazed Questions'!$C$2:$C$23,L154))</f>
        <v/>
      </c>
      <c r="O154" s="14" t="str">
        <f aca="false">IF(COUNTA(I154:L154)=0,"",SUMIFS('3 Hazed Questions'!$F$2:$F$23,'3 Hazed Questions'!$A$2:$A$23,"Q1",'3 Hazed Questions'!$C$2:$C$23,I154)+SUMIFS('3 Hazed Questions'!$F$2:$F$23,'3 Hazed Questions'!$A$2:$A$23,"Q2",'3 Hazed Questions'!$C$2:$C$23,J154)+SUMIFS('3 Hazed Questions'!$F$2:$F$23,'3 Hazed Questions'!$A$2:$A$23,"Q3",'3 Hazed Questions'!$C$2:$C$23,K154)+SUMIFS('3 Hazed Questions'!$F$2:$F$23,'3 Hazed Questions'!$A$2:$A$23,"Q4",'3 Hazed Questions'!$C$2:$C$23,L154))</f>
        <v/>
      </c>
      <c r="P154" s="14" t="str">
        <f aca="false">IF(COUNTA(I154:L154)=0,"",SUMIFS('3 Hazed Questions'!$G$2:$G$23,'3 Hazed Questions'!$A$2:$A$23,"Q1",'3 Hazed Questions'!$C$2:$C$23,I154)+SUMIFS('3 Hazed Questions'!$G$2:$G$23,'3 Hazed Questions'!$A$2:$A$23,"Q2",'3 Hazed Questions'!$C$2:$C$23,J154)+SUMIFS('3 Hazed Questions'!$G$2:$G$23,'3 Hazed Questions'!$A$2:$A$23,"Q3",'3 Hazed Questions'!$C$2:$C$23,K154)+SUMIFS('3 Hazed Questions'!$G$2:$G$23,'3 Hazed Questions'!$A$2:$A$23,"Q4",'3 Hazed Questions'!$C$2:$C$23,L154))</f>
        <v/>
      </c>
      <c r="Q154" s="14" t="str">
        <f aca="false">IF(COUNTA(I154:L154)=0,"",SUMIFS('3 Hazed Questions'!$H$2:$H$23,'3 Hazed Questions'!$A$2:$A$23,"Q1",'3 Hazed Questions'!$C$2:$C$23,I154)+SUMIFS('3 Hazed Questions'!$H$2:$H$23,'3 Hazed Questions'!$A$2:$A$23,"Q2",'3 Hazed Questions'!$C$2:$C$23,J154)+SUMIFS('3 Hazed Questions'!$H$2:$H$23,'3 Hazed Questions'!$A$2:$A$23,"Q3",'3 Hazed Questions'!$C$2:$C$23,K154)+SUMIFS('3 Hazed Questions'!$H$2:$H$23,'3 Hazed Questions'!$A$2:$A$23,"Q4",'3 Hazed Questions'!$C$2:$C$23,L154))</f>
        <v/>
      </c>
      <c r="R154" s="14" t="str">
        <f aca="false">IF(COUNTA(I154:L154)=0,"",SUMIFS('3 Hazed Questions'!$I$2:$I$23,'3 Hazed Questions'!$A$2:$A$23,"Q1",'3 Hazed Questions'!$C$2:$C$23,I154)+SUMIFS('3 Hazed Questions'!$I$2:$I$23,'3 Hazed Questions'!$A$2:$A$23,"Q2",'3 Hazed Questions'!$C$2:$C$23,J154)+SUMIFS('3 Hazed Questions'!$I$2:$I$23,'3 Hazed Questions'!$A$2:$A$23,"Q3",'3 Hazed Questions'!$C$2:$C$23,K154)+SUMIFS('3 Hazed Questions'!$I$2:$I$23,'3 Hazed Questions'!$A$2:$A$23,"Q4",'3 Hazed Questions'!$C$2:$C$23,L154))</f>
        <v/>
      </c>
      <c r="S154" s="14" t="str">
        <f aca="false">IF(COUNTA(I154:L154)=0,"",SUMIFS('3 Hazed Questions'!$J$2:$J$23,'3 Hazed Questions'!$A$2:$A$23,"Q1",'3 Hazed Questions'!$C$2:$C$23,I154)+SUMIFS('3 Hazed Questions'!$J$2:$J$23,'3 Hazed Questions'!$A$2:$A$23,"Q2",'3 Hazed Questions'!$C$2:$C$23,J154)+SUMIFS('3 Hazed Questions'!$J$2:$J$23,'3 Hazed Questions'!$A$2:$A$23,"Q3",'3 Hazed Questions'!$C$2:$C$23,K154)+SUMIFS('3 Hazed Questions'!$J$2:$J$23,'3 Hazed Questions'!$A$2:$A$23,"Q4",'3 Hazed Questions'!$C$2:$C$23,L154))</f>
        <v/>
      </c>
      <c r="T154" s="14" t="str">
        <f aca="false">IF(COUNTA(I154:L154)=0,"",SUMIFS('3 Hazed Questions'!$K$2:$K$23,'3 Hazed Questions'!$A$2:$A$23,"Q1",'3 Hazed Questions'!$C$2:$C$23,I154)+SUMIFS('3 Hazed Questions'!$K$2:$K$23,'3 Hazed Questions'!$A$2:$A$23,"Q2",'3 Hazed Questions'!$C$2:$C$23,J154)+SUMIFS('3 Hazed Questions'!$K$2:$K$23,'3 Hazed Questions'!$A$2:$A$23,"Q3",'3 Hazed Questions'!$C$2:$C$23,K154)+SUMIFS('3 Hazed Questions'!$K$2:$K$23,'3 Hazed Questions'!$A$2:$A$23,"Q4",'3 Hazed Questions'!$C$2:$C$23,L154))</f>
        <v/>
      </c>
      <c r="U154" s="14" t="str">
        <f aca="false">IF(COUNTA(I154:L154)=0,"",SUMIFS('3 Hazed Questions'!$L$2:$L$23,'3 Hazed Questions'!$A$2:$A$23,"Q1",'3 Hazed Questions'!$C$2:$C$23,I154)+SUMIFS('3 Hazed Questions'!$L$2:$L$23,'3 Hazed Questions'!$A$2:$A$23,"Q2",'3 Hazed Questions'!$C$2:$C$23,J154)+SUMIFS('3 Hazed Questions'!$L$2:$L$23,'3 Hazed Questions'!$A$2:$A$23,"Q3",'3 Hazed Questions'!$C$2:$C$23,K154)+SUMIFS('3 Hazed Questions'!$L$2:$L$23,'3 Hazed Questions'!$A$2:$A$23,"Q4",'3 Hazed Questions'!$C$2:$C$23,L154))</f>
        <v/>
      </c>
      <c r="V154" s="14" t="str">
        <f aca="false">IF(COUNTA(I154:L154)=0,"",SUMIFS('3 Hazed Questions'!$M$2:$M$23,'3 Hazed Questions'!$A$2:$A$23,"Q1",'3 Hazed Questions'!$C$2:$C$23,I154)+SUMIFS('3 Hazed Questions'!$M$2:$M$23,'3 Hazed Questions'!$A$2:$A$23,"Q2",'3 Hazed Questions'!$C$2:$C$23,J154)+SUMIFS('3 Hazed Questions'!$M$2:$M$23,'3 Hazed Questions'!$A$2:$A$23,"Q3",'3 Hazed Questions'!$C$2:$C$23,K154)+SUMIFS('3 Hazed Questions'!$M$2:$M$23,'3 Hazed Questions'!$A$2:$A$23,"Q4",'3 Hazed Questions'!$C$2:$C$23,L154))</f>
        <v/>
      </c>
      <c r="W154" s="14" t="str">
        <f aca="false">IF(COUNTA(I154:L154)=0,"",SUMIFS('3 Hazed Questions'!$N$2:$N$23,'3 Hazed Questions'!$A$2:$A$23,"Q1",'3 Hazed Questions'!$C$2:$C$23,I154)+SUMIFS('3 Hazed Questions'!$N$2:$N$23,'3 Hazed Questions'!$A$2:$A$23,"Q2",'3 Hazed Questions'!$C$2:$C$23,J154)+SUMIFS('3 Hazed Questions'!$N$2:$N$23,'3 Hazed Questions'!$A$2:$A$23,"Q3",'3 Hazed Questions'!$C$2:$C$23,K154)+SUMIFS('3 Hazed Questions'!$N$2:$N$23,'3 Hazed Questions'!$A$2:$A$23,"Q4",'3 Hazed Questions'!$C$2:$C$23,L154))</f>
        <v/>
      </c>
      <c r="X154" s="14" t="str">
        <f aca="false">IF(COUNTA(I154:L154)=0,"",INDEX(Fields!$B$2:$B$50,MATCH(SUBSTITUTE(INDEX($N$1:$W$1,MATCH(MAX($N154:$W154),$N154:$W154,0)),"Score: ",""),Fields!$A$2:$A$50,0)))</f>
        <v/>
      </c>
      <c r="Y154" s="14" t="str">
        <f aca="true">IF(COUNTA(I154:L154)=0,"",IF(LARGE($N154:$W154,2)=0,"-",INDEX(Fields!$B$2:$B$50,MATCH(SUBSTITUTE(INDEX($N$1:$W$1,IF(LARGE($N154:$W154,2)=MAX($N154:$W154),MATCH(MAX($N154:$W154),OFFSET($N154:$W154,0,MATCH(MAX($N154:$W154),$N154:$W154,0),1,10-MATCH(MAX($N154:$W154),$N154:$W154,0)),0)+MATCH(MAX($N154:$W154),$N154:$W154,0),MATCH(LARGE($N154:$W154,2),$N154:$W154,0))),"Score: ",""),Fields!$A$2:$A$50,0))))</f>
        <v/>
      </c>
      <c r="Z154" s="14" t="str">
        <f aca="false">IF(M154="","",IFERROR(INDEX('3 Hazed Questions'!$O$2:$O$23,MATCH(1,INDEX(('3 Hazed Questions'!$A$2:$A$23="Q5")*('3 Hazed Questions'!$C$2:$C$23=M154),0),0))&amp;"",""))</f>
        <v/>
      </c>
      <c r="AA154" s="18"/>
      <c r="AB154" s="18"/>
      <c r="AC154" s="19"/>
      <c r="AD154" s="19"/>
      <c r="AE154" s="18"/>
      <c r="AF154" s="18"/>
      <c r="AG154" s="18"/>
    </row>
    <row r="155" customFormat="false" ht="15" hidden="false" customHeight="false" outlineLevel="0" collapsed="false">
      <c r="A155" s="18"/>
      <c r="B155" s="19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4" t="str">
        <f aca="false">IF(COUNTA(I155:L155)=0,"",SUMIFS('3 Hazed Questions'!$E$2:$E$23,'3 Hazed Questions'!$A$2:$A$23,"Q1",'3 Hazed Questions'!$C$2:$C$23,I155)+SUMIFS('3 Hazed Questions'!$E$2:$E$23,'3 Hazed Questions'!$A$2:$A$23,"Q2",'3 Hazed Questions'!$C$2:$C$23,J155)+SUMIFS('3 Hazed Questions'!$E$2:$E$23,'3 Hazed Questions'!$A$2:$A$23,"Q3",'3 Hazed Questions'!$C$2:$C$23,K155)+SUMIFS('3 Hazed Questions'!$E$2:$E$23,'3 Hazed Questions'!$A$2:$A$23,"Q4",'3 Hazed Questions'!$C$2:$C$23,L155))</f>
        <v/>
      </c>
      <c r="O155" s="14" t="str">
        <f aca="false">IF(COUNTA(I155:L155)=0,"",SUMIFS('3 Hazed Questions'!$F$2:$F$23,'3 Hazed Questions'!$A$2:$A$23,"Q1",'3 Hazed Questions'!$C$2:$C$23,I155)+SUMIFS('3 Hazed Questions'!$F$2:$F$23,'3 Hazed Questions'!$A$2:$A$23,"Q2",'3 Hazed Questions'!$C$2:$C$23,J155)+SUMIFS('3 Hazed Questions'!$F$2:$F$23,'3 Hazed Questions'!$A$2:$A$23,"Q3",'3 Hazed Questions'!$C$2:$C$23,K155)+SUMIFS('3 Hazed Questions'!$F$2:$F$23,'3 Hazed Questions'!$A$2:$A$23,"Q4",'3 Hazed Questions'!$C$2:$C$23,L155))</f>
        <v/>
      </c>
      <c r="P155" s="14" t="str">
        <f aca="false">IF(COUNTA(I155:L155)=0,"",SUMIFS('3 Hazed Questions'!$G$2:$G$23,'3 Hazed Questions'!$A$2:$A$23,"Q1",'3 Hazed Questions'!$C$2:$C$23,I155)+SUMIFS('3 Hazed Questions'!$G$2:$G$23,'3 Hazed Questions'!$A$2:$A$23,"Q2",'3 Hazed Questions'!$C$2:$C$23,J155)+SUMIFS('3 Hazed Questions'!$G$2:$G$23,'3 Hazed Questions'!$A$2:$A$23,"Q3",'3 Hazed Questions'!$C$2:$C$23,K155)+SUMIFS('3 Hazed Questions'!$G$2:$G$23,'3 Hazed Questions'!$A$2:$A$23,"Q4",'3 Hazed Questions'!$C$2:$C$23,L155))</f>
        <v/>
      </c>
      <c r="Q155" s="14" t="str">
        <f aca="false">IF(COUNTA(I155:L155)=0,"",SUMIFS('3 Hazed Questions'!$H$2:$H$23,'3 Hazed Questions'!$A$2:$A$23,"Q1",'3 Hazed Questions'!$C$2:$C$23,I155)+SUMIFS('3 Hazed Questions'!$H$2:$H$23,'3 Hazed Questions'!$A$2:$A$23,"Q2",'3 Hazed Questions'!$C$2:$C$23,J155)+SUMIFS('3 Hazed Questions'!$H$2:$H$23,'3 Hazed Questions'!$A$2:$A$23,"Q3",'3 Hazed Questions'!$C$2:$C$23,K155)+SUMIFS('3 Hazed Questions'!$H$2:$H$23,'3 Hazed Questions'!$A$2:$A$23,"Q4",'3 Hazed Questions'!$C$2:$C$23,L155))</f>
        <v/>
      </c>
      <c r="R155" s="14" t="str">
        <f aca="false">IF(COUNTA(I155:L155)=0,"",SUMIFS('3 Hazed Questions'!$I$2:$I$23,'3 Hazed Questions'!$A$2:$A$23,"Q1",'3 Hazed Questions'!$C$2:$C$23,I155)+SUMIFS('3 Hazed Questions'!$I$2:$I$23,'3 Hazed Questions'!$A$2:$A$23,"Q2",'3 Hazed Questions'!$C$2:$C$23,J155)+SUMIFS('3 Hazed Questions'!$I$2:$I$23,'3 Hazed Questions'!$A$2:$A$23,"Q3",'3 Hazed Questions'!$C$2:$C$23,K155)+SUMIFS('3 Hazed Questions'!$I$2:$I$23,'3 Hazed Questions'!$A$2:$A$23,"Q4",'3 Hazed Questions'!$C$2:$C$23,L155))</f>
        <v/>
      </c>
      <c r="S155" s="14" t="str">
        <f aca="false">IF(COUNTA(I155:L155)=0,"",SUMIFS('3 Hazed Questions'!$J$2:$J$23,'3 Hazed Questions'!$A$2:$A$23,"Q1",'3 Hazed Questions'!$C$2:$C$23,I155)+SUMIFS('3 Hazed Questions'!$J$2:$J$23,'3 Hazed Questions'!$A$2:$A$23,"Q2",'3 Hazed Questions'!$C$2:$C$23,J155)+SUMIFS('3 Hazed Questions'!$J$2:$J$23,'3 Hazed Questions'!$A$2:$A$23,"Q3",'3 Hazed Questions'!$C$2:$C$23,K155)+SUMIFS('3 Hazed Questions'!$J$2:$J$23,'3 Hazed Questions'!$A$2:$A$23,"Q4",'3 Hazed Questions'!$C$2:$C$23,L155))</f>
        <v/>
      </c>
      <c r="T155" s="14" t="str">
        <f aca="false">IF(COUNTA(I155:L155)=0,"",SUMIFS('3 Hazed Questions'!$K$2:$K$23,'3 Hazed Questions'!$A$2:$A$23,"Q1",'3 Hazed Questions'!$C$2:$C$23,I155)+SUMIFS('3 Hazed Questions'!$K$2:$K$23,'3 Hazed Questions'!$A$2:$A$23,"Q2",'3 Hazed Questions'!$C$2:$C$23,J155)+SUMIFS('3 Hazed Questions'!$K$2:$K$23,'3 Hazed Questions'!$A$2:$A$23,"Q3",'3 Hazed Questions'!$C$2:$C$23,K155)+SUMIFS('3 Hazed Questions'!$K$2:$K$23,'3 Hazed Questions'!$A$2:$A$23,"Q4",'3 Hazed Questions'!$C$2:$C$23,L155))</f>
        <v/>
      </c>
      <c r="U155" s="14" t="str">
        <f aca="false">IF(COUNTA(I155:L155)=0,"",SUMIFS('3 Hazed Questions'!$L$2:$L$23,'3 Hazed Questions'!$A$2:$A$23,"Q1",'3 Hazed Questions'!$C$2:$C$23,I155)+SUMIFS('3 Hazed Questions'!$L$2:$L$23,'3 Hazed Questions'!$A$2:$A$23,"Q2",'3 Hazed Questions'!$C$2:$C$23,J155)+SUMIFS('3 Hazed Questions'!$L$2:$L$23,'3 Hazed Questions'!$A$2:$A$23,"Q3",'3 Hazed Questions'!$C$2:$C$23,K155)+SUMIFS('3 Hazed Questions'!$L$2:$L$23,'3 Hazed Questions'!$A$2:$A$23,"Q4",'3 Hazed Questions'!$C$2:$C$23,L155))</f>
        <v/>
      </c>
      <c r="V155" s="14" t="str">
        <f aca="false">IF(COUNTA(I155:L155)=0,"",SUMIFS('3 Hazed Questions'!$M$2:$M$23,'3 Hazed Questions'!$A$2:$A$23,"Q1",'3 Hazed Questions'!$C$2:$C$23,I155)+SUMIFS('3 Hazed Questions'!$M$2:$M$23,'3 Hazed Questions'!$A$2:$A$23,"Q2",'3 Hazed Questions'!$C$2:$C$23,J155)+SUMIFS('3 Hazed Questions'!$M$2:$M$23,'3 Hazed Questions'!$A$2:$A$23,"Q3",'3 Hazed Questions'!$C$2:$C$23,K155)+SUMIFS('3 Hazed Questions'!$M$2:$M$23,'3 Hazed Questions'!$A$2:$A$23,"Q4",'3 Hazed Questions'!$C$2:$C$23,L155))</f>
        <v/>
      </c>
      <c r="W155" s="14" t="str">
        <f aca="false">IF(COUNTA(I155:L155)=0,"",SUMIFS('3 Hazed Questions'!$N$2:$N$23,'3 Hazed Questions'!$A$2:$A$23,"Q1",'3 Hazed Questions'!$C$2:$C$23,I155)+SUMIFS('3 Hazed Questions'!$N$2:$N$23,'3 Hazed Questions'!$A$2:$A$23,"Q2",'3 Hazed Questions'!$C$2:$C$23,J155)+SUMIFS('3 Hazed Questions'!$N$2:$N$23,'3 Hazed Questions'!$A$2:$A$23,"Q3",'3 Hazed Questions'!$C$2:$C$23,K155)+SUMIFS('3 Hazed Questions'!$N$2:$N$23,'3 Hazed Questions'!$A$2:$A$23,"Q4",'3 Hazed Questions'!$C$2:$C$23,L155))</f>
        <v/>
      </c>
      <c r="X155" s="14" t="str">
        <f aca="false">IF(COUNTA(I155:L155)=0,"",INDEX(Fields!$B$2:$B$50,MATCH(SUBSTITUTE(INDEX($N$1:$W$1,MATCH(MAX($N155:$W155),$N155:$W155,0)),"Score: ",""),Fields!$A$2:$A$50,0)))</f>
        <v/>
      </c>
      <c r="Y155" s="14" t="str">
        <f aca="true">IF(COUNTA(I155:L155)=0,"",IF(LARGE($N155:$W155,2)=0,"-",INDEX(Fields!$B$2:$B$50,MATCH(SUBSTITUTE(INDEX($N$1:$W$1,IF(LARGE($N155:$W155,2)=MAX($N155:$W155),MATCH(MAX($N155:$W155),OFFSET($N155:$W155,0,MATCH(MAX($N155:$W155),$N155:$W155,0),1,10-MATCH(MAX($N155:$W155),$N155:$W155,0)),0)+MATCH(MAX($N155:$W155),$N155:$W155,0),MATCH(LARGE($N155:$W155,2),$N155:$W155,0))),"Score: ",""),Fields!$A$2:$A$50,0))))</f>
        <v/>
      </c>
      <c r="Z155" s="14" t="str">
        <f aca="false">IF(M155="","",IFERROR(INDEX('3 Hazed Questions'!$O$2:$O$23,MATCH(1,INDEX(('3 Hazed Questions'!$A$2:$A$23="Q5")*('3 Hazed Questions'!$C$2:$C$23=M155),0),0))&amp;"",""))</f>
        <v/>
      </c>
      <c r="AA155" s="18"/>
      <c r="AB155" s="18"/>
      <c r="AC155" s="19"/>
      <c r="AD155" s="19"/>
      <c r="AE155" s="18"/>
      <c r="AF155" s="18"/>
      <c r="AG155" s="18"/>
    </row>
    <row r="156" customFormat="false" ht="15" hidden="false" customHeight="false" outlineLevel="0" collapsed="false">
      <c r="A156" s="18"/>
      <c r="B156" s="19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4" t="str">
        <f aca="false">IF(COUNTA(I156:L156)=0,"",SUMIFS('3 Hazed Questions'!$E$2:$E$23,'3 Hazed Questions'!$A$2:$A$23,"Q1",'3 Hazed Questions'!$C$2:$C$23,I156)+SUMIFS('3 Hazed Questions'!$E$2:$E$23,'3 Hazed Questions'!$A$2:$A$23,"Q2",'3 Hazed Questions'!$C$2:$C$23,J156)+SUMIFS('3 Hazed Questions'!$E$2:$E$23,'3 Hazed Questions'!$A$2:$A$23,"Q3",'3 Hazed Questions'!$C$2:$C$23,K156)+SUMIFS('3 Hazed Questions'!$E$2:$E$23,'3 Hazed Questions'!$A$2:$A$23,"Q4",'3 Hazed Questions'!$C$2:$C$23,L156))</f>
        <v/>
      </c>
      <c r="O156" s="14" t="str">
        <f aca="false">IF(COUNTA(I156:L156)=0,"",SUMIFS('3 Hazed Questions'!$F$2:$F$23,'3 Hazed Questions'!$A$2:$A$23,"Q1",'3 Hazed Questions'!$C$2:$C$23,I156)+SUMIFS('3 Hazed Questions'!$F$2:$F$23,'3 Hazed Questions'!$A$2:$A$23,"Q2",'3 Hazed Questions'!$C$2:$C$23,J156)+SUMIFS('3 Hazed Questions'!$F$2:$F$23,'3 Hazed Questions'!$A$2:$A$23,"Q3",'3 Hazed Questions'!$C$2:$C$23,K156)+SUMIFS('3 Hazed Questions'!$F$2:$F$23,'3 Hazed Questions'!$A$2:$A$23,"Q4",'3 Hazed Questions'!$C$2:$C$23,L156))</f>
        <v/>
      </c>
      <c r="P156" s="14" t="str">
        <f aca="false">IF(COUNTA(I156:L156)=0,"",SUMIFS('3 Hazed Questions'!$G$2:$G$23,'3 Hazed Questions'!$A$2:$A$23,"Q1",'3 Hazed Questions'!$C$2:$C$23,I156)+SUMIFS('3 Hazed Questions'!$G$2:$G$23,'3 Hazed Questions'!$A$2:$A$23,"Q2",'3 Hazed Questions'!$C$2:$C$23,J156)+SUMIFS('3 Hazed Questions'!$G$2:$G$23,'3 Hazed Questions'!$A$2:$A$23,"Q3",'3 Hazed Questions'!$C$2:$C$23,K156)+SUMIFS('3 Hazed Questions'!$G$2:$G$23,'3 Hazed Questions'!$A$2:$A$23,"Q4",'3 Hazed Questions'!$C$2:$C$23,L156))</f>
        <v/>
      </c>
      <c r="Q156" s="14" t="str">
        <f aca="false">IF(COUNTA(I156:L156)=0,"",SUMIFS('3 Hazed Questions'!$H$2:$H$23,'3 Hazed Questions'!$A$2:$A$23,"Q1",'3 Hazed Questions'!$C$2:$C$23,I156)+SUMIFS('3 Hazed Questions'!$H$2:$H$23,'3 Hazed Questions'!$A$2:$A$23,"Q2",'3 Hazed Questions'!$C$2:$C$23,J156)+SUMIFS('3 Hazed Questions'!$H$2:$H$23,'3 Hazed Questions'!$A$2:$A$23,"Q3",'3 Hazed Questions'!$C$2:$C$23,K156)+SUMIFS('3 Hazed Questions'!$H$2:$H$23,'3 Hazed Questions'!$A$2:$A$23,"Q4",'3 Hazed Questions'!$C$2:$C$23,L156))</f>
        <v/>
      </c>
      <c r="R156" s="14" t="str">
        <f aca="false">IF(COUNTA(I156:L156)=0,"",SUMIFS('3 Hazed Questions'!$I$2:$I$23,'3 Hazed Questions'!$A$2:$A$23,"Q1",'3 Hazed Questions'!$C$2:$C$23,I156)+SUMIFS('3 Hazed Questions'!$I$2:$I$23,'3 Hazed Questions'!$A$2:$A$23,"Q2",'3 Hazed Questions'!$C$2:$C$23,J156)+SUMIFS('3 Hazed Questions'!$I$2:$I$23,'3 Hazed Questions'!$A$2:$A$23,"Q3",'3 Hazed Questions'!$C$2:$C$23,K156)+SUMIFS('3 Hazed Questions'!$I$2:$I$23,'3 Hazed Questions'!$A$2:$A$23,"Q4",'3 Hazed Questions'!$C$2:$C$23,L156))</f>
        <v/>
      </c>
      <c r="S156" s="14" t="str">
        <f aca="false">IF(COUNTA(I156:L156)=0,"",SUMIFS('3 Hazed Questions'!$J$2:$J$23,'3 Hazed Questions'!$A$2:$A$23,"Q1",'3 Hazed Questions'!$C$2:$C$23,I156)+SUMIFS('3 Hazed Questions'!$J$2:$J$23,'3 Hazed Questions'!$A$2:$A$23,"Q2",'3 Hazed Questions'!$C$2:$C$23,J156)+SUMIFS('3 Hazed Questions'!$J$2:$J$23,'3 Hazed Questions'!$A$2:$A$23,"Q3",'3 Hazed Questions'!$C$2:$C$23,K156)+SUMIFS('3 Hazed Questions'!$J$2:$J$23,'3 Hazed Questions'!$A$2:$A$23,"Q4",'3 Hazed Questions'!$C$2:$C$23,L156))</f>
        <v/>
      </c>
      <c r="T156" s="14" t="str">
        <f aca="false">IF(COUNTA(I156:L156)=0,"",SUMIFS('3 Hazed Questions'!$K$2:$K$23,'3 Hazed Questions'!$A$2:$A$23,"Q1",'3 Hazed Questions'!$C$2:$C$23,I156)+SUMIFS('3 Hazed Questions'!$K$2:$K$23,'3 Hazed Questions'!$A$2:$A$23,"Q2",'3 Hazed Questions'!$C$2:$C$23,J156)+SUMIFS('3 Hazed Questions'!$K$2:$K$23,'3 Hazed Questions'!$A$2:$A$23,"Q3",'3 Hazed Questions'!$C$2:$C$23,K156)+SUMIFS('3 Hazed Questions'!$K$2:$K$23,'3 Hazed Questions'!$A$2:$A$23,"Q4",'3 Hazed Questions'!$C$2:$C$23,L156))</f>
        <v/>
      </c>
      <c r="U156" s="14" t="str">
        <f aca="false">IF(COUNTA(I156:L156)=0,"",SUMIFS('3 Hazed Questions'!$L$2:$L$23,'3 Hazed Questions'!$A$2:$A$23,"Q1",'3 Hazed Questions'!$C$2:$C$23,I156)+SUMIFS('3 Hazed Questions'!$L$2:$L$23,'3 Hazed Questions'!$A$2:$A$23,"Q2",'3 Hazed Questions'!$C$2:$C$23,J156)+SUMIFS('3 Hazed Questions'!$L$2:$L$23,'3 Hazed Questions'!$A$2:$A$23,"Q3",'3 Hazed Questions'!$C$2:$C$23,K156)+SUMIFS('3 Hazed Questions'!$L$2:$L$23,'3 Hazed Questions'!$A$2:$A$23,"Q4",'3 Hazed Questions'!$C$2:$C$23,L156))</f>
        <v/>
      </c>
      <c r="V156" s="14" t="str">
        <f aca="false">IF(COUNTA(I156:L156)=0,"",SUMIFS('3 Hazed Questions'!$M$2:$M$23,'3 Hazed Questions'!$A$2:$A$23,"Q1",'3 Hazed Questions'!$C$2:$C$23,I156)+SUMIFS('3 Hazed Questions'!$M$2:$M$23,'3 Hazed Questions'!$A$2:$A$23,"Q2",'3 Hazed Questions'!$C$2:$C$23,J156)+SUMIFS('3 Hazed Questions'!$M$2:$M$23,'3 Hazed Questions'!$A$2:$A$23,"Q3",'3 Hazed Questions'!$C$2:$C$23,K156)+SUMIFS('3 Hazed Questions'!$M$2:$M$23,'3 Hazed Questions'!$A$2:$A$23,"Q4",'3 Hazed Questions'!$C$2:$C$23,L156))</f>
        <v/>
      </c>
      <c r="W156" s="14" t="str">
        <f aca="false">IF(COUNTA(I156:L156)=0,"",SUMIFS('3 Hazed Questions'!$N$2:$N$23,'3 Hazed Questions'!$A$2:$A$23,"Q1",'3 Hazed Questions'!$C$2:$C$23,I156)+SUMIFS('3 Hazed Questions'!$N$2:$N$23,'3 Hazed Questions'!$A$2:$A$23,"Q2",'3 Hazed Questions'!$C$2:$C$23,J156)+SUMIFS('3 Hazed Questions'!$N$2:$N$23,'3 Hazed Questions'!$A$2:$A$23,"Q3",'3 Hazed Questions'!$C$2:$C$23,K156)+SUMIFS('3 Hazed Questions'!$N$2:$N$23,'3 Hazed Questions'!$A$2:$A$23,"Q4",'3 Hazed Questions'!$C$2:$C$23,L156))</f>
        <v/>
      </c>
      <c r="X156" s="14" t="str">
        <f aca="false">IF(COUNTA(I156:L156)=0,"",INDEX(Fields!$B$2:$B$50,MATCH(SUBSTITUTE(INDEX($N$1:$W$1,MATCH(MAX($N156:$W156),$N156:$W156,0)),"Score: ",""),Fields!$A$2:$A$50,0)))</f>
        <v/>
      </c>
      <c r="Y156" s="14" t="str">
        <f aca="true">IF(COUNTA(I156:L156)=0,"",IF(LARGE($N156:$W156,2)=0,"-",INDEX(Fields!$B$2:$B$50,MATCH(SUBSTITUTE(INDEX($N$1:$W$1,IF(LARGE($N156:$W156,2)=MAX($N156:$W156),MATCH(MAX($N156:$W156),OFFSET($N156:$W156,0,MATCH(MAX($N156:$W156),$N156:$W156,0),1,10-MATCH(MAX($N156:$W156),$N156:$W156,0)),0)+MATCH(MAX($N156:$W156),$N156:$W156,0),MATCH(LARGE($N156:$W156,2),$N156:$W156,0))),"Score: ",""),Fields!$A$2:$A$50,0))))</f>
        <v/>
      </c>
      <c r="Z156" s="14" t="str">
        <f aca="false">IF(M156="","",IFERROR(INDEX('3 Hazed Questions'!$O$2:$O$23,MATCH(1,INDEX(('3 Hazed Questions'!$A$2:$A$23="Q5")*('3 Hazed Questions'!$C$2:$C$23=M156),0),0))&amp;"",""))</f>
        <v/>
      </c>
      <c r="AA156" s="18"/>
      <c r="AB156" s="18"/>
      <c r="AC156" s="19"/>
      <c r="AD156" s="19"/>
      <c r="AE156" s="18"/>
      <c r="AF156" s="18"/>
      <c r="AG156" s="18"/>
    </row>
    <row r="157" customFormat="false" ht="15" hidden="false" customHeight="false" outlineLevel="0" collapsed="false">
      <c r="A157" s="18"/>
      <c r="B157" s="19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4" t="str">
        <f aca="false">IF(COUNTA(I157:L157)=0,"",SUMIFS('3 Hazed Questions'!$E$2:$E$23,'3 Hazed Questions'!$A$2:$A$23,"Q1",'3 Hazed Questions'!$C$2:$C$23,I157)+SUMIFS('3 Hazed Questions'!$E$2:$E$23,'3 Hazed Questions'!$A$2:$A$23,"Q2",'3 Hazed Questions'!$C$2:$C$23,J157)+SUMIFS('3 Hazed Questions'!$E$2:$E$23,'3 Hazed Questions'!$A$2:$A$23,"Q3",'3 Hazed Questions'!$C$2:$C$23,K157)+SUMIFS('3 Hazed Questions'!$E$2:$E$23,'3 Hazed Questions'!$A$2:$A$23,"Q4",'3 Hazed Questions'!$C$2:$C$23,L157))</f>
        <v/>
      </c>
      <c r="O157" s="14" t="str">
        <f aca="false">IF(COUNTA(I157:L157)=0,"",SUMIFS('3 Hazed Questions'!$F$2:$F$23,'3 Hazed Questions'!$A$2:$A$23,"Q1",'3 Hazed Questions'!$C$2:$C$23,I157)+SUMIFS('3 Hazed Questions'!$F$2:$F$23,'3 Hazed Questions'!$A$2:$A$23,"Q2",'3 Hazed Questions'!$C$2:$C$23,J157)+SUMIFS('3 Hazed Questions'!$F$2:$F$23,'3 Hazed Questions'!$A$2:$A$23,"Q3",'3 Hazed Questions'!$C$2:$C$23,K157)+SUMIFS('3 Hazed Questions'!$F$2:$F$23,'3 Hazed Questions'!$A$2:$A$23,"Q4",'3 Hazed Questions'!$C$2:$C$23,L157))</f>
        <v/>
      </c>
      <c r="P157" s="14" t="str">
        <f aca="false">IF(COUNTA(I157:L157)=0,"",SUMIFS('3 Hazed Questions'!$G$2:$G$23,'3 Hazed Questions'!$A$2:$A$23,"Q1",'3 Hazed Questions'!$C$2:$C$23,I157)+SUMIFS('3 Hazed Questions'!$G$2:$G$23,'3 Hazed Questions'!$A$2:$A$23,"Q2",'3 Hazed Questions'!$C$2:$C$23,J157)+SUMIFS('3 Hazed Questions'!$G$2:$G$23,'3 Hazed Questions'!$A$2:$A$23,"Q3",'3 Hazed Questions'!$C$2:$C$23,K157)+SUMIFS('3 Hazed Questions'!$G$2:$G$23,'3 Hazed Questions'!$A$2:$A$23,"Q4",'3 Hazed Questions'!$C$2:$C$23,L157))</f>
        <v/>
      </c>
      <c r="Q157" s="14" t="str">
        <f aca="false">IF(COUNTA(I157:L157)=0,"",SUMIFS('3 Hazed Questions'!$H$2:$H$23,'3 Hazed Questions'!$A$2:$A$23,"Q1",'3 Hazed Questions'!$C$2:$C$23,I157)+SUMIFS('3 Hazed Questions'!$H$2:$H$23,'3 Hazed Questions'!$A$2:$A$23,"Q2",'3 Hazed Questions'!$C$2:$C$23,J157)+SUMIFS('3 Hazed Questions'!$H$2:$H$23,'3 Hazed Questions'!$A$2:$A$23,"Q3",'3 Hazed Questions'!$C$2:$C$23,K157)+SUMIFS('3 Hazed Questions'!$H$2:$H$23,'3 Hazed Questions'!$A$2:$A$23,"Q4",'3 Hazed Questions'!$C$2:$C$23,L157))</f>
        <v/>
      </c>
      <c r="R157" s="14" t="str">
        <f aca="false">IF(COUNTA(I157:L157)=0,"",SUMIFS('3 Hazed Questions'!$I$2:$I$23,'3 Hazed Questions'!$A$2:$A$23,"Q1",'3 Hazed Questions'!$C$2:$C$23,I157)+SUMIFS('3 Hazed Questions'!$I$2:$I$23,'3 Hazed Questions'!$A$2:$A$23,"Q2",'3 Hazed Questions'!$C$2:$C$23,J157)+SUMIFS('3 Hazed Questions'!$I$2:$I$23,'3 Hazed Questions'!$A$2:$A$23,"Q3",'3 Hazed Questions'!$C$2:$C$23,K157)+SUMIFS('3 Hazed Questions'!$I$2:$I$23,'3 Hazed Questions'!$A$2:$A$23,"Q4",'3 Hazed Questions'!$C$2:$C$23,L157))</f>
        <v/>
      </c>
      <c r="S157" s="14" t="str">
        <f aca="false">IF(COUNTA(I157:L157)=0,"",SUMIFS('3 Hazed Questions'!$J$2:$J$23,'3 Hazed Questions'!$A$2:$A$23,"Q1",'3 Hazed Questions'!$C$2:$C$23,I157)+SUMIFS('3 Hazed Questions'!$J$2:$J$23,'3 Hazed Questions'!$A$2:$A$23,"Q2",'3 Hazed Questions'!$C$2:$C$23,J157)+SUMIFS('3 Hazed Questions'!$J$2:$J$23,'3 Hazed Questions'!$A$2:$A$23,"Q3",'3 Hazed Questions'!$C$2:$C$23,K157)+SUMIFS('3 Hazed Questions'!$J$2:$J$23,'3 Hazed Questions'!$A$2:$A$23,"Q4",'3 Hazed Questions'!$C$2:$C$23,L157))</f>
        <v/>
      </c>
      <c r="T157" s="14" t="str">
        <f aca="false">IF(COUNTA(I157:L157)=0,"",SUMIFS('3 Hazed Questions'!$K$2:$K$23,'3 Hazed Questions'!$A$2:$A$23,"Q1",'3 Hazed Questions'!$C$2:$C$23,I157)+SUMIFS('3 Hazed Questions'!$K$2:$K$23,'3 Hazed Questions'!$A$2:$A$23,"Q2",'3 Hazed Questions'!$C$2:$C$23,J157)+SUMIFS('3 Hazed Questions'!$K$2:$K$23,'3 Hazed Questions'!$A$2:$A$23,"Q3",'3 Hazed Questions'!$C$2:$C$23,K157)+SUMIFS('3 Hazed Questions'!$K$2:$K$23,'3 Hazed Questions'!$A$2:$A$23,"Q4",'3 Hazed Questions'!$C$2:$C$23,L157))</f>
        <v/>
      </c>
      <c r="U157" s="14" t="str">
        <f aca="false">IF(COUNTA(I157:L157)=0,"",SUMIFS('3 Hazed Questions'!$L$2:$L$23,'3 Hazed Questions'!$A$2:$A$23,"Q1",'3 Hazed Questions'!$C$2:$C$23,I157)+SUMIFS('3 Hazed Questions'!$L$2:$L$23,'3 Hazed Questions'!$A$2:$A$23,"Q2",'3 Hazed Questions'!$C$2:$C$23,J157)+SUMIFS('3 Hazed Questions'!$L$2:$L$23,'3 Hazed Questions'!$A$2:$A$23,"Q3",'3 Hazed Questions'!$C$2:$C$23,K157)+SUMIFS('3 Hazed Questions'!$L$2:$L$23,'3 Hazed Questions'!$A$2:$A$23,"Q4",'3 Hazed Questions'!$C$2:$C$23,L157))</f>
        <v/>
      </c>
      <c r="V157" s="14" t="str">
        <f aca="false">IF(COUNTA(I157:L157)=0,"",SUMIFS('3 Hazed Questions'!$M$2:$M$23,'3 Hazed Questions'!$A$2:$A$23,"Q1",'3 Hazed Questions'!$C$2:$C$23,I157)+SUMIFS('3 Hazed Questions'!$M$2:$M$23,'3 Hazed Questions'!$A$2:$A$23,"Q2",'3 Hazed Questions'!$C$2:$C$23,J157)+SUMIFS('3 Hazed Questions'!$M$2:$M$23,'3 Hazed Questions'!$A$2:$A$23,"Q3",'3 Hazed Questions'!$C$2:$C$23,K157)+SUMIFS('3 Hazed Questions'!$M$2:$M$23,'3 Hazed Questions'!$A$2:$A$23,"Q4",'3 Hazed Questions'!$C$2:$C$23,L157))</f>
        <v/>
      </c>
      <c r="W157" s="14" t="str">
        <f aca="false">IF(COUNTA(I157:L157)=0,"",SUMIFS('3 Hazed Questions'!$N$2:$N$23,'3 Hazed Questions'!$A$2:$A$23,"Q1",'3 Hazed Questions'!$C$2:$C$23,I157)+SUMIFS('3 Hazed Questions'!$N$2:$N$23,'3 Hazed Questions'!$A$2:$A$23,"Q2",'3 Hazed Questions'!$C$2:$C$23,J157)+SUMIFS('3 Hazed Questions'!$N$2:$N$23,'3 Hazed Questions'!$A$2:$A$23,"Q3",'3 Hazed Questions'!$C$2:$C$23,K157)+SUMIFS('3 Hazed Questions'!$N$2:$N$23,'3 Hazed Questions'!$A$2:$A$23,"Q4",'3 Hazed Questions'!$C$2:$C$23,L157))</f>
        <v/>
      </c>
      <c r="X157" s="14" t="str">
        <f aca="false">IF(COUNTA(I157:L157)=0,"",INDEX(Fields!$B$2:$B$50,MATCH(SUBSTITUTE(INDEX($N$1:$W$1,MATCH(MAX($N157:$W157),$N157:$W157,0)),"Score: ",""),Fields!$A$2:$A$50,0)))</f>
        <v/>
      </c>
      <c r="Y157" s="14" t="str">
        <f aca="true">IF(COUNTA(I157:L157)=0,"",IF(LARGE($N157:$W157,2)=0,"-",INDEX(Fields!$B$2:$B$50,MATCH(SUBSTITUTE(INDEX($N$1:$W$1,IF(LARGE($N157:$W157,2)=MAX($N157:$W157),MATCH(MAX($N157:$W157),OFFSET($N157:$W157,0,MATCH(MAX($N157:$W157),$N157:$W157,0),1,10-MATCH(MAX($N157:$W157),$N157:$W157,0)),0)+MATCH(MAX($N157:$W157),$N157:$W157,0),MATCH(LARGE($N157:$W157,2),$N157:$W157,0))),"Score: ",""),Fields!$A$2:$A$50,0))))</f>
        <v/>
      </c>
      <c r="Z157" s="14" t="str">
        <f aca="false">IF(M157="","",IFERROR(INDEX('3 Hazed Questions'!$O$2:$O$23,MATCH(1,INDEX(('3 Hazed Questions'!$A$2:$A$23="Q5")*('3 Hazed Questions'!$C$2:$C$23=M157),0),0))&amp;"",""))</f>
        <v/>
      </c>
      <c r="AA157" s="18"/>
      <c r="AB157" s="18"/>
      <c r="AC157" s="19"/>
      <c r="AD157" s="19"/>
      <c r="AE157" s="18"/>
      <c r="AF157" s="18"/>
      <c r="AG157" s="18"/>
    </row>
    <row r="158" customFormat="false" ht="15" hidden="false" customHeight="false" outlineLevel="0" collapsed="false">
      <c r="A158" s="18"/>
      <c r="B158" s="19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4" t="str">
        <f aca="false">IF(COUNTA(I158:L158)=0,"",SUMIFS('3 Hazed Questions'!$E$2:$E$23,'3 Hazed Questions'!$A$2:$A$23,"Q1",'3 Hazed Questions'!$C$2:$C$23,I158)+SUMIFS('3 Hazed Questions'!$E$2:$E$23,'3 Hazed Questions'!$A$2:$A$23,"Q2",'3 Hazed Questions'!$C$2:$C$23,J158)+SUMIFS('3 Hazed Questions'!$E$2:$E$23,'3 Hazed Questions'!$A$2:$A$23,"Q3",'3 Hazed Questions'!$C$2:$C$23,K158)+SUMIFS('3 Hazed Questions'!$E$2:$E$23,'3 Hazed Questions'!$A$2:$A$23,"Q4",'3 Hazed Questions'!$C$2:$C$23,L158))</f>
        <v/>
      </c>
      <c r="O158" s="14" t="str">
        <f aca="false">IF(COUNTA(I158:L158)=0,"",SUMIFS('3 Hazed Questions'!$F$2:$F$23,'3 Hazed Questions'!$A$2:$A$23,"Q1",'3 Hazed Questions'!$C$2:$C$23,I158)+SUMIFS('3 Hazed Questions'!$F$2:$F$23,'3 Hazed Questions'!$A$2:$A$23,"Q2",'3 Hazed Questions'!$C$2:$C$23,J158)+SUMIFS('3 Hazed Questions'!$F$2:$F$23,'3 Hazed Questions'!$A$2:$A$23,"Q3",'3 Hazed Questions'!$C$2:$C$23,K158)+SUMIFS('3 Hazed Questions'!$F$2:$F$23,'3 Hazed Questions'!$A$2:$A$23,"Q4",'3 Hazed Questions'!$C$2:$C$23,L158))</f>
        <v/>
      </c>
      <c r="P158" s="14" t="str">
        <f aca="false">IF(COUNTA(I158:L158)=0,"",SUMIFS('3 Hazed Questions'!$G$2:$G$23,'3 Hazed Questions'!$A$2:$A$23,"Q1",'3 Hazed Questions'!$C$2:$C$23,I158)+SUMIFS('3 Hazed Questions'!$G$2:$G$23,'3 Hazed Questions'!$A$2:$A$23,"Q2",'3 Hazed Questions'!$C$2:$C$23,J158)+SUMIFS('3 Hazed Questions'!$G$2:$G$23,'3 Hazed Questions'!$A$2:$A$23,"Q3",'3 Hazed Questions'!$C$2:$C$23,K158)+SUMIFS('3 Hazed Questions'!$G$2:$G$23,'3 Hazed Questions'!$A$2:$A$23,"Q4",'3 Hazed Questions'!$C$2:$C$23,L158))</f>
        <v/>
      </c>
      <c r="Q158" s="14" t="str">
        <f aca="false">IF(COUNTA(I158:L158)=0,"",SUMIFS('3 Hazed Questions'!$H$2:$H$23,'3 Hazed Questions'!$A$2:$A$23,"Q1",'3 Hazed Questions'!$C$2:$C$23,I158)+SUMIFS('3 Hazed Questions'!$H$2:$H$23,'3 Hazed Questions'!$A$2:$A$23,"Q2",'3 Hazed Questions'!$C$2:$C$23,J158)+SUMIFS('3 Hazed Questions'!$H$2:$H$23,'3 Hazed Questions'!$A$2:$A$23,"Q3",'3 Hazed Questions'!$C$2:$C$23,K158)+SUMIFS('3 Hazed Questions'!$H$2:$H$23,'3 Hazed Questions'!$A$2:$A$23,"Q4",'3 Hazed Questions'!$C$2:$C$23,L158))</f>
        <v/>
      </c>
      <c r="R158" s="14" t="str">
        <f aca="false">IF(COUNTA(I158:L158)=0,"",SUMIFS('3 Hazed Questions'!$I$2:$I$23,'3 Hazed Questions'!$A$2:$A$23,"Q1",'3 Hazed Questions'!$C$2:$C$23,I158)+SUMIFS('3 Hazed Questions'!$I$2:$I$23,'3 Hazed Questions'!$A$2:$A$23,"Q2",'3 Hazed Questions'!$C$2:$C$23,J158)+SUMIFS('3 Hazed Questions'!$I$2:$I$23,'3 Hazed Questions'!$A$2:$A$23,"Q3",'3 Hazed Questions'!$C$2:$C$23,K158)+SUMIFS('3 Hazed Questions'!$I$2:$I$23,'3 Hazed Questions'!$A$2:$A$23,"Q4",'3 Hazed Questions'!$C$2:$C$23,L158))</f>
        <v/>
      </c>
      <c r="S158" s="14" t="str">
        <f aca="false">IF(COUNTA(I158:L158)=0,"",SUMIFS('3 Hazed Questions'!$J$2:$J$23,'3 Hazed Questions'!$A$2:$A$23,"Q1",'3 Hazed Questions'!$C$2:$C$23,I158)+SUMIFS('3 Hazed Questions'!$J$2:$J$23,'3 Hazed Questions'!$A$2:$A$23,"Q2",'3 Hazed Questions'!$C$2:$C$23,J158)+SUMIFS('3 Hazed Questions'!$J$2:$J$23,'3 Hazed Questions'!$A$2:$A$23,"Q3",'3 Hazed Questions'!$C$2:$C$23,K158)+SUMIFS('3 Hazed Questions'!$J$2:$J$23,'3 Hazed Questions'!$A$2:$A$23,"Q4",'3 Hazed Questions'!$C$2:$C$23,L158))</f>
        <v/>
      </c>
      <c r="T158" s="14" t="str">
        <f aca="false">IF(COUNTA(I158:L158)=0,"",SUMIFS('3 Hazed Questions'!$K$2:$K$23,'3 Hazed Questions'!$A$2:$A$23,"Q1",'3 Hazed Questions'!$C$2:$C$23,I158)+SUMIFS('3 Hazed Questions'!$K$2:$K$23,'3 Hazed Questions'!$A$2:$A$23,"Q2",'3 Hazed Questions'!$C$2:$C$23,J158)+SUMIFS('3 Hazed Questions'!$K$2:$K$23,'3 Hazed Questions'!$A$2:$A$23,"Q3",'3 Hazed Questions'!$C$2:$C$23,K158)+SUMIFS('3 Hazed Questions'!$K$2:$K$23,'3 Hazed Questions'!$A$2:$A$23,"Q4",'3 Hazed Questions'!$C$2:$C$23,L158))</f>
        <v/>
      </c>
      <c r="U158" s="14" t="str">
        <f aca="false">IF(COUNTA(I158:L158)=0,"",SUMIFS('3 Hazed Questions'!$L$2:$L$23,'3 Hazed Questions'!$A$2:$A$23,"Q1",'3 Hazed Questions'!$C$2:$C$23,I158)+SUMIFS('3 Hazed Questions'!$L$2:$L$23,'3 Hazed Questions'!$A$2:$A$23,"Q2",'3 Hazed Questions'!$C$2:$C$23,J158)+SUMIFS('3 Hazed Questions'!$L$2:$L$23,'3 Hazed Questions'!$A$2:$A$23,"Q3",'3 Hazed Questions'!$C$2:$C$23,K158)+SUMIFS('3 Hazed Questions'!$L$2:$L$23,'3 Hazed Questions'!$A$2:$A$23,"Q4",'3 Hazed Questions'!$C$2:$C$23,L158))</f>
        <v/>
      </c>
      <c r="V158" s="14" t="str">
        <f aca="false">IF(COUNTA(I158:L158)=0,"",SUMIFS('3 Hazed Questions'!$M$2:$M$23,'3 Hazed Questions'!$A$2:$A$23,"Q1",'3 Hazed Questions'!$C$2:$C$23,I158)+SUMIFS('3 Hazed Questions'!$M$2:$M$23,'3 Hazed Questions'!$A$2:$A$23,"Q2",'3 Hazed Questions'!$C$2:$C$23,J158)+SUMIFS('3 Hazed Questions'!$M$2:$M$23,'3 Hazed Questions'!$A$2:$A$23,"Q3",'3 Hazed Questions'!$C$2:$C$23,K158)+SUMIFS('3 Hazed Questions'!$M$2:$M$23,'3 Hazed Questions'!$A$2:$A$23,"Q4",'3 Hazed Questions'!$C$2:$C$23,L158))</f>
        <v/>
      </c>
      <c r="W158" s="14" t="str">
        <f aca="false">IF(COUNTA(I158:L158)=0,"",SUMIFS('3 Hazed Questions'!$N$2:$N$23,'3 Hazed Questions'!$A$2:$A$23,"Q1",'3 Hazed Questions'!$C$2:$C$23,I158)+SUMIFS('3 Hazed Questions'!$N$2:$N$23,'3 Hazed Questions'!$A$2:$A$23,"Q2",'3 Hazed Questions'!$C$2:$C$23,J158)+SUMIFS('3 Hazed Questions'!$N$2:$N$23,'3 Hazed Questions'!$A$2:$A$23,"Q3",'3 Hazed Questions'!$C$2:$C$23,K158)+SUMIFS('3 Hazed Questions'!$N$2:$N$23,'3 Hazed Questions'!$A$2:$A$23,"Q4",'3 Hazed Questions'!$C$2:$C$23,L158))</f>
        <v/>
      </c>
      <c r="X158" s="14" t="str">
        <f aca="false">IF(COUNTA(I158:L158)=0,"",INDEX(Fields!$B$2:$B$50,MATCH(SUBSTITUTE(INDEX($N$1:$W$1,MATCH(MAX($N158:$W158),$N158:$W158,0)),"Score: ",""),Fields!$A$2:$A$50,0)))</f>
        <v/>
      </c>
      <c r="Y158" s="14" t="str">
        <f aca="true">IF(COUNTA(I158:L158)=0,"",IF(LARGE($N158:$W158,2)=0,"-",INDEX(Fields!$B$2:$B$50,MATCH(SUBSTITUTE(INDEX($N$1:$W$1,IF(LARGE($N158:$W158,2)=MAX($N158:$W158),MATCH(MAX($N158:$W158),OFFSET($N158:$W158,0,MATCH(MAX($N158:$W158),$N158:$W158,0),1,10-MATCH(MAX($N158:$W158),$N158:$W158,0)),0)+MATCH(MAX($N158:$W158),$N158:$W158,0),MATCH(LARGE($N158:$W158,2),$N158:$W158,0))),"Score: ",""),Fields!$A$2:$A$50,0))))</f>
        <v/>
      </c>
      <c r="Z158" s="14" t="str">
        <f aca="false">IF(M158="","",IFERROR(INDEX('3 Hazed Questions'!$O$2:$O$23,MATCH(1,INDEX(('3 Hazed Questions'!$A$2:$A$23="Q5")*('3 Hazed Questions'!$C$2:$C$23=M158),0),0))&amp;"",""))</f>
        <v/>
      </c>
      <c r="AA158" s="18"/>
      <c r="AB158" s="18"/>
      <c r="AC158" s="19"/>
      <c r="AD158" s="19"/>
      <c r="AE158" s="18"/>
      <c r="AF158" s="18"/>
      <c r="AG158" s="18"/>
    </row>
    <row r="159" customFormat="false" ht="15" hidden="false" customHeight="false" outlineLevel="0" collapsed="false">
      <c r="A159" s="18"/>
      <c r="B159" s="19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4" t="str">
        <f aca="false">IF(COUNTA(I159:L159)=0,"",SUMIFS('3 Hazed Questions'!$E$2:$E$23,'3 Hazed Questions'!$A$2:$A$23,"Q1",'3 Hazed Questions'!$C$2:$C$23,I159)+SUMIFS('3 Hazed Questions'!$E$2:$E$23,'3 Hazed Questions'!$A$2:$A$23,"Q2",'3 Hazed Questions'!$C$2:$C$23,J159)+SUMIFS('3 Hazed Questions'!$E$2:$E$23,'3 Hazed Questions'!$A$2:$A$23,"Q3",'3 Hazed Questions'!$C$2:$C$23,K159)+SUMIFS('3 Hazed Questions'!$E$2:$E$23,'3 Hazed Questions'!$A$2:$A$23,"Q4",'3 Hazed Questions'!$C$2:$C$23,L159))</f>
        <v/>
      </c>
      <c r="O159" s="14" t="str">
        <f aca="false">IF(COUNTA(I159:L159)=0,"",SUMIFS('3 Hazed Questions'!$F$2:$F$23,'3 Hazed Questions'!$A$2:$A$23,"Q1",'3 Hazed Questions'!$C$2:$C$23,I159)+SUMIFS('3 Hazed Questions'!$F$2:$F$23,'3 Hazed Questions'!$A$2:$A$23,"Q2",'3 Hazed Questions'!$C$2:$C$23,J159)+SUMIFS('3 Hazed Questions'!$F$2:$F$23,'3 Hazed Questions'!$A$2:$A$23,"Q3",'3 Hazed Questions'!$C$2:$C$23,K159)+SUMIFS('3 Hazed Questions'!$F$2:$F$23,'3 Hazed Questions'!$A$2:$A$23,"Q4",'3 Hazed Questions'!$C$2:$C$23,L159))</f>
        <v/>
      </c>
      <c r="P159" s="14" t="str">
        <f aca="false">IF(COUNTA(I159:L159)=0,"",SUMIFS('3 Hazed Questions'!$G$2:$G$23,'3 Hazed Questions'!$A$2:$A$23,"Q1",'3 Hazed Questions'!$C$2:$C$23,I159)+SUMIFS('3 Hazed Questions'!$G$2:$G$23,'3 Hazed Questions'!$A$2:$A$23,"Q2",'3 Hazed Questions'!$C$2:$C$23,J159)+SUMIFS('3 Hazed Questions'!$G$2:$G$23,'3 Hazed Questions'!$A$2:$A$23,"Q3",'3 Hazed Questions'!$C$2:$C$23,K159)+SUMIFS('3 Hazed Questions'!$G$2:$G$23,'3 Hazed Questions'!$A$2:$A$23,"Q4",'3 Hazed Questions'!$C$2:$C$23,L159))</f>
        <v/>
      </c>
      <c r="Q159" s="14" t="str">
        <f aca="false">IF(COUNTA(I159:L159)=0,"",SUMIFS('3 Hazed Questions'!$H$2:$H$23,'3 Hazed Questions'!$A$2:$A$23,"Q1",'3 Hazed Questions'!$C$2:$C$23,I159)+SUMIFS('3 Hazed Questions'!$H$2:$H$23,'3 Hazed Questions'!$A$2:$A$23,"Q2",'3 Hazed Questions'!$C$2:$C$23,J159)+SUMIFS('3 Hazed Questions'!$H$2:$H$23,'3 Hazed Questions'!$A$2:$A$23,"Q3",'3 Hazed Questions'!$C$2:$C$23,K159)+SUMIFS('3 Hazed Questions'!$H$2:$H$23,'3 Hazed Questions'!$A$2:$A$23,"Q4",'3 Hazed Questions'!$C$2:$C$23,L159))</f>
        <v/>
      </c>
      <c r="R159" s="14" t="str">
        <f aca="false">IF(COUNTA(I159:L159)=0,"",SUMIFS('3 Hazed Questions'!$I$2:$I$23,'3 Hazed Questions'!$A$2:$A$23,"Q1",'3 Hazed Questions'!$C$2:$C$23,I159)+SUMIFS('3 Hazed Questions'!$I$2:$I$23,'3 Hazed Questions'!$A$2:$A$23,"Q2",'3 Hazed Questions'!$C$2:$C$23,J159)+SUMIFS('3 Hazed Questions'!$I$2:$I$23,'3 Hazed Questions'!$A$2:$A$23,"Q3",'3 Hazed Questions'!$C$2:$C$23,K159)+SUMIFS('3 Hazed Questions'!$I$2:$I$23,'3 Hazed Questions'!$A$2:$A$23,"Q4",'3 Hazed Questions'!$C$2:$C$23,L159))</f>
        <v/>
      </c>
      <c r="S159" s="14" t="str">
        <f aca="false">IF(COUNTA(I159:L159)=0,"",SUMIFS('3 Hazed Questions'!$J$2:$J$23,'3 Hazed Questions'!$A$2:$A$23,"Q1",'3 Hazed Questions'!$C$2:$C$23,I159)+SUMIFS('3 Hazed Questions'!$J$2:$J$23,'3 Hazed Questions'!$A$2:$A$23,"Q2",'3 Hazed Questions'!$C$2:$C$23,J159)+SUMIFS('3 Hazed Questions'!$J$2:$J$23,'3 Hazed Questions'!$A$2:$A$23,"Q3",'3 Hazed Questions'!$C$2:$C$23,K159)+SUMIFS('3 Hazed Questions'!$J$2:$J$23,'3 Hazed Questions'!$A$2:$A$23,"Q4",'3 Hazed Questions'!$C$2:$C$23,L159))</f>
        <v/>
      </c>
      <c r="T159" s="14" t="str">
        <f aca="false">IF(COUNTA(I159:L159)=0,"",SUMIFS('3 Hazed Questions'!$K$2:$K$23,'3 Hazed Questions'!$A$2:$A$23,"Q1",'3 Hazed Questions'!$C$2:$C$23,I159)+SUMIFS('3 Hazed Questions'!$K$2:$K$23,'3 Hazed Questions'!$A$2:$A$23,"Q2",'3 Hazed Questions'!$C$2:$C$23,J159)+SUMIFS('3 Hazed Questions'!$K$2:$K$23,'3 Hazed Questions'!$A$2:$A$23,"Q3",'3 Hazed Questions'!$C$2:$C$23,K159)+SUMIFS('3 Hazed Questions'!$K$2:$K$23,'3 Hazed Questions'!$A$2:$A$23,"Q4",'3 Hazed Questions'!$C$2:$C$23,L159))</f>
        <v/>
      </c>
      <c r="U159" s="14" t="str">
        <f aca="false">IF(COUNTA(I159:L159)=0,"",SUMIFS('3 Hazed Questions'!$L$2:$L$23,'3 Hazed Questions'!$A$2:$A$23,"Q1",'3 Hazed Questions'!$C$2:$C$23,I159)+SUMIFS('3 Hazed Questions'!$L$2:$L$23,'3 Hazed Questions'!$A$2:$A$23,"Q2",'3 Hazed Questions'!$C$2:$C$23,J159)+SUMIFS('3 Hazed Questions'!$L$2:$L$23,'3 Hazed Questions'!$A$2:$A$23,"Q3",'3 Hazed Questions'!$C$2:$C$23,K159)+SUMIFS('3 Hazed Questions'!$L$2:$L$23,'3 Hazed Questions'!$A$2:$A$23,"Q4",'3 Hazed Questions'!$C$2:$C$23,L159))</f>
        <v/>
      </c>
      <c r="V159" s="14" t="str">
        <f aca="false">IF(COUNTA(I159:L159)=0,"",SUMIFS('3 Hazed Questions'!$M$2:$M$23,'3 Hazed Questions'!$A$2:$A$23,"Q1",'3 Hazed Questions'!$C$2:$C$23,I159)+SUMIFS('3 Hazed Questions'!$M$2:$M$23,'3 Hazed Questions'!$A$2:$A$23,"Q2",'3 Hazed Questions'!$C$2:$C$23,J159)+SUMIFS('3 Hazed Questions'!$M$2:$M$23,'3 Hazed Questions'!$A$2:$A$23,"Q3",'3 Hazed Questions'!$C$2:$C$23,K159)+SUMIFS('3 Hazed Questions'!$M$2:$M$23,'3 Hazed Questions'!$A$2:$A$23,"Q4",'3 Hazed Questions'!$C$2:$C$23,L159))</f>
        <v/>
      </c>
      <c r="W159" s="14" t="str">
        <f aca="false">IF(COUNTA(I159:L159)=0,"",SUMIFS('3 Hazed Questions'!$N$2:$N$23,'3 Hazed Questions'!$A$2:$A$23,"Q1",'3 Hazed Questions'!$C$2:$C$23,I159)+SUMIFS('3 Hazed Questions'!$N$2:$N$23,'3 Hazed Questions'!$A$2:$A$23,"Q2",'3 Hazed Questions'!$C$2:$C$23,J159)+SUMIFS('3 Hazed Questions'!$N$2:$N$23,'3 Hazed Questions'!$A$2:$A$23,"Q3",'3 Hazed Questions'!$C$2:$C$23,K159)+SUMIFS('3 Hazed Questions'!$N$2:$N$23,'3 Hazed Questions'!$A$2:$A$23,"Q4",'3 Hazed Questions'!$C$2:$C$23,L159))</f>
        <v/>
      </c>
      <c r="X159" s="14" t="str">
        <f aca="false">IF(COUNTA(I159:L159)=0,"",INDEX(Fields!$B$2:$B$50,MATCH(SUBSTITUTE(INDEX($N$1:$W$1,MATCH(MAX($N159:$W159),$N159:$W159,0)),"Score: ",""),Fields!$A$2:$A$50,0)))</f>
        <v/>
      </c>
      <c r="Y159" s="14" t="str">
        <f aca="true">IF(COUNTA(I159:L159)=0,"",IF(LARGE($N159:$W159,2)=0,"-",INDEX(Fields!$B$2:$B$50,MATCH(SUBSTITUTE(INDEX($N$1:$W$1,IF(LARGE($N159:$W159,2)=MAX($N159:$W159),MATCH(MAX($N159:$W159),OFFSET($N159:$W159,0,MATCH(MAX($N159:$W159),$N159:$W159,0),1,10-MATCH(MAX($N159:$W159),$N159:$W159,0)),0)+MATCH(MAX($N159:$W159),$N159:$W159,0),MATCH(LARGE($N159:$W159,2),$N159:$W159,0))),"Score: ",""),Fields!$A$2:$A$50,0))))</f>
        <v/>
      </c>
      <c r="Z159" s="14" t="str">
        <f aca="false">IF(M159="","",IFERROR(INDEX('3 Hazed Questions'!$O$2:$O$23,MATCH(1,INDEX(('3 Hazed Questions'!$A$2:$A$23="Q5")*('3 Hazed Questions'!$C$2:$C$23=M159),0),0))&amp;"",""))</f>
        <v/>
      </c>
      <c r="AA159" s="18"/>
      <c r="AB159" s="18"/>
      <c r="AC159" s="19"/>
      <c r="AD159" s="19"/>
      <c r="AE159" s="18"/>
      <c r="AF159" s="18"/>
      <c r="AG159" s="18"/>
    </row>
    <row r="160" customFormat="false" ht="15" hidden="false" customHeight="false" outlineLevel="0" collapsed="false">
      <c r="A160" s="18"/>
      <c r="B160" s="19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4" t="str">
        <f aca="false">IF(COUNTA(I160:L160)=0,"",SUMIFS('3 Hazed Questions'!$E$2:$E$23,'3 Hazed Questions'!$A$2:$A$23,"Q1",'3 Hazed Questions'!$C$2:$C$23,I160)+SUMIFS('3 Hazed Questions'!$E$2:$E$23,'3 Hazed Questions'!$A$2:$A$23,"Q2",'3 Hazed Questions'!$C$2:$C$23,J160)+SUMIFS('3 Hazed Questions'!$E$2:$E$23,'3 Hazed Questions'!$A$2:$A$23,"Q3",'3 Hazed Questions'!$C$2:$C$23,K160)+SUMIFS('3 Hazed Questions'!$E$2:$E$23,'3 Hazed Questions'!$A$2:$A$23,"Q4",'3 Hazed Questions'!$C$2:$C$23,L160))</f>
        <v/>
      </c>
      <c r="O160" s="14" t="str">
        <f aca="false">IF(COUNTA(I160:L160)=0,"",SUMIFS('3 Hazed Questions'!$F$2:$F$23,'3 Hazed Questions'!$A$2:$A$23,"Q1",'3 Hazed Questions'!$C$2:$C$23,I160)+SUMIFS('3 Hazed Questions'!$F$2:$F$23,'3 Hazed Questions'!$A$2:$A$23,"Q2",'3 Hazed Questions'!$C$2:$C$23,J160)+SUMIFS('3 Hazed Questions'!$F$2:$F$23,'3 Hazed Questions'!$A$2:$A$23,"Q3",'3 Hazed Questions'!$C$2:$C$23,K160)+SUMIFS('3 Hazed Questions'!$F$2:$F$23,'3 Hazed Questions'!$A$2:$A$23,"Q4",'3 Hazed Questions'!$C$2:$C$23,L160))</f>
        <v/>
      </c>
      <c r="P160" s="14" t="str">
        <f aca="false">IF(COUNTA(I160:L160)=0,"",SUMIFS('3 Hazed Questions'!$G$2:$G$23,'3 Hazed Questions'!$A$2:$A$23,"Q1",'3 Hazed Questions'!$C$2:$C$23,I160)+SUMIFS('3 Hazed Questions'!$G$2:$G$23,'3 Hazed Questions'!$A$2:$A$23,"Q2",'3 Hazed Questions'!$C$2:$C$23,J160)+SUMIFS('3 Hazed Questions'!$G$2:$G$23,'3 Hazed Questions'!$A$2:$A$23,"Q3",'3 Hazed Questions'!$C$2:$C$23,K160)+SUMIFS('3 Hazed Questions'!$G$2:$G$23,'3 Hazed Questions'!$A$2:$A$23,"Q4",'3 Hazed Questions'!$C$2:$C$23,L160))</f>
        <v/>
      </c>
      <c r="Q160" s="14" t="str">
        <f aca="false">IF(COUNTA(I160:L160)=0,"",SUMIFS('3 Hazed Questions'!$H$2:$H$23,'3 Hazed Questions'!$A$2:$A$23,"Q1",'3 Hazed Questions'!$C$2:$C$23,I160)+SUMIFS('3 Hazed Questions'!$H$2:$H$23,'3 Hazed Questions'!$A$2:$A$23,"Q2",'3 Hazed Questions'!$C$2:$C$23,J160)+SUMIFS('3 Hazed Questions'!$H$2:$H$23,'3 Hazed Questions'!$A$2:$A$23,"Q3",'3 Hazed Questions'!$C$2:$C$23,K160)+SUMIFS('3 Hazed Questions'!$H$2:$H$23,'3 Hazed Questions'!$A$2:$A$23,"Q4",'3 Hazed Questions'!$C$2:$C$23,L160))</f>
        <v/>
      </c>
      <c r="R160" s="14" t="str">
        <f aca="false">IF(COUNTA(I160:L160)=0,"",SUMIFS('3 Hazed Questions'!$I$2:$I$23,'3 Hazed Questions'!$A$2:$A$23,"Q1",'3 Hazed Questions'!$C$2:$C$23,I160)+SUMIFS('3 Hazed Questions'!$I$2:$I$23,'3 Hazed Questions'!$A$2:$A$23,"Q2",'3 Hazed Questions'!$C$2:$C$23,J160)+SUMIFS('3 Hazed Questions'!$I$2:$I$23,'3 Hazed Questions'!$A$2:$A$23,"Q3",'3 Hazed Questions'!$C$2:$C$23,K160)+SUMIFS('3 Hazed Questions'!$I$2:$I$23,'3 Hazed Questions'!$A$2:$A$23,"Q4",'3 Hazed Questions'!$C$2:$C$23,L160))</f>
        <v/>
      </c>
      <c r="S160" s="14" t="str">
        <f aca="false">IF(COUNTA(I160:L160)=0,"",SUMIFS('3 Hazed Questions'!$J$2:$J$23,'3 Hazed Questions'!$A$2:$A$23,"Q1",'3 Hazed Questions'!$C$2:$C$23,I160)+SUMIFS('3 Hazed Questions'!$J$2:$J$23,'3 Hazed Questions'!$A$2:$A$23,"Q2",'3 Hazed Questions'!$C$2:$C$23,J160)+SUMIFS('3 Hazed Questions'!$J$2:$J$23,'3 Hazed Questions'!$A$2:$A$23,"Q3",'3 Hazed Questions'!$C$2:$C$23,K160)+SUMIFS('3 Hazed Questions'!$J$2:$J$23,'3 Hazed Questions'!$A$2:$A$23,"Q4",'3 Hazed Questions'!$C$2:$C$23,L160))</f>
        <v/>
      </c>
      <c r="T160" s="14" t="str">
        <f aca="false">IF(COUNTA(I160:L160)=0,"",SUMIFS('3 Hazed Questions'!$K$2:$K$23,'3 Hazed Questions'!$A$2:$A$23,"Q1",'3 Hazed Questions'!$C$2:$C$23,I160)+SUMIFS('3 Hazed Questions'!$K$2:$K$23,'3 Hazed Questions'!$A$2:$A$23,"Q2",'3 Hazed Questions'!$C$2:$C$23,J160)+SUMIFS('3 Hazed Questions'!$K$2:$K$23,'3 Hazed Questions'!$A$2:$A$23,"Q3",'3 Hazed Questions'!$C$2:$C$23,K160)+SUMIFS('3 Hazed Questions'!$K$2:$K$23,'3 Hazed Questions'!$A$2:$A$23,"Q4",'3 Hazed Questions'!$C$2:$C$23,L160))</f>
        <v/>
      </c>
      <c r="U160" s="14" t="str">
        <f aca="false">IF(COUNTA(I160:L160)=0,"",SUMIFS('3 Hazed Questions'!$L$2:$L$23,'3 Hazed Questions'!$A$2:$A$23,"Q1",'3 Hazed Questions'!$C$2:$C$23,I160)+SUMIFS('3 Hazed Questions'!$L$2:$L$23,'3 Hazed Questions'!$A$2:$A$23,"Q2",'3 Hazed Questions'!$C$2:$C$23,J160)+SUMIFS('3 Hazed Questions'!$L$2:$L$23,'3 Hazed Questions'!$A$2:$A$23,"Q3",'3 Hazed Questions'!$C$2:$C$23,K160)+SUMIFS('3 Hazed Questions'!$L$2:$L$23,'3 Hazed Questions'!$A$2:$A$23,"Q4",'3 Hazed Questions'!$C$2:$C$23,L160))</f>
        <v/>
      </c>
      <c r="V160" s="14" t="str">
        <f aca="false">IF(COUNTA(I160:L160)=0,"",SUMIFS('3 Hazed Questions'!$M$2:$M$23,'3 Hazed Questions'!$A$2:$A$23,"Q1",'3 Hazed Questions'!$C$2:$C$23,I160)+SUMIFS('3 Hazed Questions'!$M$2:$M$23,'3 Hazed Questions'!$A$2:$A$23,"Q2",'3 Hazed Questions'!$C$2:$C$23,J160)+SUMIFS('3 Hazed Questions'!$M$2:$M$23,'3 Hazed Questions'!$A$2:$A$23,"Q3",'3 Hazed Questions'!$C$2:$C$23,K160)+SUMIFS('3 Hazed Questions'!$M$2:$M$23,'3 Hazed Questions'!$A$2:$A$23,"Q4",'3 Hazed Questions'!$C$2:$C$23,L160))</f>
        <v/>
      </c>
      <c r="W160" s="14" t="str">
        <f aca="false">IF(COUNTA(I160:L160)=0,"",SUMIFS('3 Hazed Questions'!$N$2:$N$23,'3 Hazed Questions'!$A$2:$A$23,"Q1",'3 Hazed Questions'!$C$2:$C$23,I160)+SUMIFS('3 Hazed Questions'!$N$2:$N$23,'3 Hazed Questions'!$A$2:$A$23,"Q2",'3 Hazed Questions'!$C$2:$C$23,J160)+SUMIFS('3 Hazed Questions'!$N$2:$N$23,'3 Hazed Questions'!$A$2:$A$23,"Q3",'3 Hazed Questions'!$C$2:$C$23,K160)+SUMIFS('3 Hazed Questions'!$N$2:$N$23,'3 Hazed Questions'!$A$2:$A$23,"Q4",'3 Hazed Questions'!$C$2:$C$23,L160))</f>
        <v/>
      </c>
      <c r="X160" s="14" t="str">
        <f aca="false">IF(COUNTA(I160:L160)=0,"",INDEX(Fields!$B$2:$B$50,MATCH(SUBSTITUTE(INDEX($N$1:$W$1,MATCH(MAX($N160:$W160),$N160:$W160,0)),"Score: ",""),Fields!$A$2:$A$50,0)))</f>
        <v/>
      </c>
      <c r="Y160" s="14" t="str">
        <f aca="true">IF(COUNTA(I160:L160)=0,"",IF(LARGE($N160:$W160,2)=0,"-",INDEX(Fields!$B$2:$B$50,MATCH(SUBSTITUTE(INDEX($N$1:$W$1,IF(LARGE($N160:$W160,2)=MAX($N160:$W160),MATCH(MAX($N160:$W160),OFFSET($N160:$W160,0,MATCH(MAX($N160:$W160),$N160:$W160,0),1,10-MATCH(MAX($N160:$W160),$N160:$W160,0)),0)+MATCH(MAX($N160:$W160),$N160:$W160,0),MATCH(LARGE($N160:$W160,2),$N160:$W160,0))),"Score: ",""),Fields!$A$2:$A$50,0))))</f>
        <v/>
      </c>
      <c r="Z160" s="14" t="str">
        <f aca="false">IF(M160="","",IFERROR(INDEX('3 Hazed Questions'!$O$2:$O$23,MATCH(1,INDEX(('3 Hazed Questions'!$A$2:$A$23="Q5")*('3 Hazed Questions'!$C$2:$C$23=M160),0),0))&amp;"",""))</f>
        <v/>
      </c>
      <c r="AA160" s="18"/>
      <c r="AB160" s="18"/>
      <c r="AC160" s="19"/>
      <c r="AD160" s="19"/>
      <c r="AE160" s="18"/>
      <c r="AF160" s="18"/>
      <c r="AG160" s="18"/>
    </row>
    <row r="161" customFormat="false" ht="15" hidden="false" customHeight="false" outlineLevel="0" collapsed="false">
      <c r="A161" s="18"/>
      <c r="B161" s="19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4" t="str">
        <f aca="false">IF(COUNTA(I161:L161)=0,"",SUMIFS('3 Hazed Questions'!$E$2:$E$23,'3 Hazed Questions'!$A$2:$A$23,"Q1",'3 Hazed Questions'!$C$2:$C$23,I161)+SUMIFS('3 Hazed Questions'!$E$2:$E$23,'3 Hazed Questions'!$A$2:$A$23,"Q2",'3 Hazed Questions'!$C$2:$C$23,J161)+SUMIFS('3 Hazed Questions'!$E$2:$E$23,'3 Hazed Questions'!$A$2:$A$23,"Q3",'3 Hazed Questions'!$C$2:$C$23,K161)+SUMIFS('3 Hazed Questions'!$E$2:$E$23,'3 Hazed Questions'!$A$2:$A$23,"Q4",'3 Hazed Questions'!$C$2:$C$23,L161))</f>
        <v/>
      </c>
      <c r="O161" s="14" t="str">
        <f aca="false">IF(COUNTA(I161:L161)=0,"",SUMIFS('3 Hazed Questions'!$F$2:$F$23,'3 Hazed Questions'!$A$2:$A$23,"Q1",'3 Hazed Questions'!$C$2:$C$23,I161)+SUMIFS('3 Hazed Questions'!$F$2:$F$23,'3 Hazed Questions'!$A$2:$A$23,"Q2",'3 Hazed Questions'!$C$2:$C$23,J161)+SUMIFS('3 Hazed Questions'!$F$2:$F$23,'3 Hazed Questions'!$A$2:$A$23,"Q3",'3 Hazed Questions'!$C$2:$C$23,K161)+SUMIFS('3 Hazed Questions'!$F$2:$F$23,'3 Hazed Questions'!$A$2:$A$23,"Q4",'3 Hazed Questions'!$C$2:$C$23,L161))</f>
        <v/>
      </c>
      <c r="P161" s="14" t="str">
        <f aca="false">IF(COUNTA(I161:L161)=0,"",SUMIFS('3 Hazed Questions'!$G$2:$G$23,'3 Hazed Questions'!$A$2:$A$23,"Q1",'3 Hazed Questions'!$C$2:$C$23,I161)+SUMIFS('3 Hazed Questions'!$G$2:$G$23,'3 Hazed Questions'!$A$2:$A$23,"Q2",'3 Hazed Questions'!$C$2:$C$23,J161)+SUMIFS('3 Hazed Questions'!$G$2:$G$23,'3 Hazed Questions'!$A$2:$A$23,"Q3",'3 Hazed Questions'!$C$2:$C$23,K161)+SUMIFS('3 Hazed Questions'!$G$2:$G$23,'3 Hazed Questions'!$A$2:$A$23,"Q4",'3 Hazed Questions'!$C$2:$C$23,L161))</f>
        <v/>
      </c>
      <c r="Q161" s="14" t="str">
        <f aca="false">IF(COUNTA(I161:L161)=0,"",SUMIFS('3 Hazed Questions'!$H$2:$H$23,'3 Hazed Questions'!$A$2:$A$23,"Q1",'3 Hazed Questions'!$C$2:$C$23,I161)+SUMIFS('3 Hazed Questions'!$H$2:$H$23,'3 Hazed Questions'!$A$2:$A$23,"Q2",'3 Hazed Questions'!$C$2:$C$23,J161)+SUMIFS('3 Hazed Questions'!$H$2:$H$23,'3 Hazed Questions'!$A$2:$A$23,"Q3",'3 Hazed Questions'!$C$2:$C$23,K161)+SUMIFS('3 Hazed Questions'!$H$2:$H$23,'3 Hazed Questions'!$A$2:$A$23,"Q4",'3 Hazed Questions'!$C$2:$C$23,L161))</f>
        <v/>
      </c>
      <c r="R161" s="14" t="str">
        <f aca="false">IF(COUNTA(I161:L161)=0,"",SUMIFS('3 Hazed Questions'!$I$2:$I$23,'3 Hazed Questions'!$A$2:$A$23,"Q1",'3 Hazed Questions'!$C$2:$C$23,I161)+SUMIFS('3 Hazed Questions'!$I$2:$I$23,'3 Hazed Questions'!$A$2:$A$23,"Q2",'3 Hazed Questions'!$C$2:$C$23,J161)+SUMIFS('3 Hazed Questions'!$I$2:$I$23,'3 Hazed Questions'!$A$2:$A$23,"Q3",'3 Hazed Questions'!$C$2:$C$23,K161)+SUMIFS('3 Hazed Questions'!$I$2:$I$23,'3 Hazed Questions'!$A$2:$A$23,"Q4",'3 Hazed Questions'!$C$2:$C$23,L161))</f>
        <v/>
      </c>
      <c r="S161" s="14" t="str">
        <f aca="false">IF(COUNTA(I161:L161)=0,"",SUMIFS('3 Hazed Questions'!$J$2:$J$23,'3 Hazed Questions'!$A$2:$A$23,"Q1",'3 Hazed Questions'!$C$2:$C$23,I161)+SUMIFS('3 Hazed Questions'!$J$2:$J$23,'3 Hazed Questions'!$A$2:$A$23,"Q2",'3 Hazed Questions'!$C$2:$C$23,J161)+SUMIFS('3 Hazed Questions'!$J$2:$J$23,'3 Hazed Questions'!$A$2:$A$23,"Q3",'3 Hazed Questions'!$C$2:$C$23,K161)+SUMIFS('3 Hazed Questions'!$J$2:$J$23,'3 Hazed Questions'!$A$2:$A$23,"Q4",'3 Hazed Questions'!$C$2:$C$23,L161))</f>
        <v/>
      </c>
      <c r="T161" s="14" t="str">
        <f aca="false">IF(COUNTA(I161:L161)=0,"",SUMIFS('3 Hazed Questions'!$K$2:$K$23,'3 Hazed Questions'!$A$2:$A$23,"Q1",'3 Hazed Questions'!$C$2:$C$23,I161)+SUMIFS('3 Hazed Questions'!$K$2:$K$23,'3 Hazed Questions'!$A$2:$A$23,"Q2",'3 Hazed Questions'!$C$2:$C$23,J161)+SUMIFS('3 Hazed Questions'!$K$2:$K$23,'3 Hazed Questions'!$A$2:$A$23,"Q3",'3 Hazed Questions'!$C$2:$C$23,K161)+SUMIFS('3 Hazed Questions'!$K$2:$K$23,'3 Hazed Questions'!$A$2:$A$23,"Q4",'3 Hazed Questions'!$C$2:$C$23,L161))</f>
        <v/>
      </c>
      <c r="U161" s="14" t="str">
        <f aca="false">IF(COUNTA(I161:L161)=0,"",SUMIFS('3 Hazed Questions'!$L$2:$L$23,'3 Hazed Questions'!$A$2:$A$23,"Q1",'3 Hazed Questions'!$C$2:$C$23,I161)+SUMIFS('3 Hazed Questions'!$L$2:$L$23,'3 Hazed Questions'!$A$2:$A$23,"Q2",'3 Hazed Questions'!$C$2:$C$23,J161)+SUMIFS('3 Hazed Questions'!$L$2:$L$23,'3 Hazed Questions'!$A$2:$A$23,"Q3",'3 Hazed Questions'!$C$2:$C$23,K161)+SUMIFS('3 Hazed Questions'!$L$2:$L$23,'3 Hazed Questions'!$A$2:$A$23,"Q4",'3 Hazed Questions'!$C$2:$C$23,L161))</f>
        <v/>
      </c>
      <c r="V161" s="14" t="str">
        <f aca="false">IF(COUNTA(I161:L161)=0,"",SUMIFS('3 Hazed Questions'!$M$2:$M$23,'3 Hazed Questions'!$A$2:$A$23,"Q1",'3 Hazed Questions'!$C$2:$C$23,I161)+SUMIFS('3 Hazed Questions'!$M$2:$M$23,'3 Hazed Questions'!$A$2:$A$23,"Q2",'3 Hazed Questions'!$C$2:$C$23,J161)+SUMIFS('3 Hazed Questions'!$M$2:$M$23,'3 Hazed Questions'!$A$2:$A$23,"Q3",'3 Hazed Questions'!$C$2:$C$23,K161)+SUMIFS('3 Hazed Questions'!$M$2:$M$23,'3 Hazed Questions'!$A$2:$A$23,"Q4",'3 Hazed Questions'!$C$2:$C$23,L161))</f>
        <v/>
      </c>
      <c r="W161" s="14" t="str">
        <f aca="false">IF(COUNTA(I161:L161)=0,"",SUMIFS('3 Hazed Questions'!$N$2:$N$23,'3 Hazed Questions'!$A$2:$A$23,"Q1",'3 Hazed Questions'!$C$2:$C$23,I161)+SUMIFS('3 Hazed Questions'!$N$2:$N$23,'3 Hazed Questions'!$A$2:$A$23,"Q2",'3 Hazed Questions'!$C$2:$C$23,J161)+SUMIFS('3 Hazed Questions'!$N$2:$N$23,'3 Hazed Questions'!$A$2:$A$23,"Q3",'3 Hazed Questions'!$C$2:$C$23,K161)+SUMIFS('3 Hazed Questions'!$N$2:$N$23,'3 Hazed Questions'!$A$2:$A$23,"Q4",'3 Hazed Questions'!$C$2:$C$23,L161))</f>
        <v/>
      </c>
      <c r="X161" s="14" t="str">
        <f aca="false">IF(COUNTA(I161:L161)=0,"",INDEX(Fields!$B$2:$B$50,MATCH(SUBSTITUTE(INDEX($N$1:$W$1,MATCH(MAX($N161:$W161),$N161:$W161,0)),"Score: ",""),Fields!$A$2:$A$50,0)))</f>
        <v/>
      </c>
      <c r="Y161" s="14" t="str">
        <f aca="true">IF(COUNTA(I161:L161)=0,"",IF(LARGE($N161:$W161,2)=0,"-",INDEX(Fields!$B$2:$B$50,MATCH(SUBSTITUTE(INDEX($N$1:$W$1,IF(LARGE($N161:$W161,2)=MAX($N161:$W161),MATCH(MAX($N161:$W161),OFFSET($N161:$W161,0,MATCH(MAX($N161:$W161),$N161:$W161,0),1,10-MATCH(MAX($N161:$W161),$N161:$W161,0)),0)+MATCH(MAX($N161:$W161),$N161:$W161,0),MATCH(LARGE($N161:$W161,2),$N161:$W161,0))),"Score: ",""),Fields!$A$2:$A$50,0))))</f>
        <v/>
      </c>
      <c r="Z161" s="14" t="str">
        <f aca="false">IF(M161="","",IFERROR(INDEX('3 Hazed Questions'!$O$2:$O$23,MATCH(1,INDEX(('3 Hazed Questions'!$A$2:$A$23="Q5")*('3 Hazed Questions'!$C$2:$C$23=M161),0),0))&amp;"",""))</f>
        <v/>
      </c>
      <c r="AA161" s="18"/>
      <c r="AB161" s="18"/>
      <c r="AC161" s="19"/>
      <c r="AD161" s="19"/>
      <c r="AE161" s="18"/>
      <c r="AF161" s="18"/>
      <c r="AG161" s="18"/>
    </row>
    <row r="162" customFormat="false" ht="15" hidden="false" customHeight="false" outlineLevel="0" collapsed="false">
      <c r="A162" s="18"/>
      <c r="B162" s="19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4" t="str">
        <f aca="false">IF(COUNTA(I162:L162)=0,"",SUMIFS('3 Hazed Questions'!$E$2:$E$23,'3 Hazed Questions'!$A$2:$A$23,"Q1",'3 Hazed Questions'!$C$2:$C$23,I162)+SUMIFS('3 Hazed Questions'!$E$2:$E$23,'3 Hazed Questions'!$A$2:$A$23,"Q2",'3 Hazed Questions'!$C$2:$C$23,J162)+SUMIFS('3 Hazed Questions'!$E$2:$E$23,'3 Hazed Questions'!$A$2:$A$23,"Q3",'3 Hazed Questions'!$C$2:$C$23,K162)+SUMIFS('3 Hazed Questions'!$E$2:$E$23,'3 Hazed Questions'!$A$2:$A$23,"Q4",'3 Hazed Questions'!$C$2:$C$23,L162))</f>
        <v/>
      </c>
      <c r="O162" s="14" t="str">
        <f aca="false">IF(COUNTA(I162:L162)=0,"",SUMIFS('3 Hazed Questions'!$F$2:$F$23,'3 Hazed Questions'!$A$2:$A$23,"Q1",'3 Hazed Questions'!$C$2:$C$23,I162)+SUMIFS('3 Hazed Questions'!$F$2:$F$23,'3 Hazed Questions'!$A$2:$A$23,"Q2",'3 Hazed Questions'!$C$2:$C$23,J162)+SUMIFS('3 Hazed Questions'!$F$2:$F$23,'3 Hazed Questions'!$A$2:$A$23,"Q3",'3 Hazed Questions'!$C$2:$C$23,K162)+SUMIFS('3 Hazed Questions'!$F$2:$F$23,'3 Hazed Questions'!$A$2:$A$23,"Q4",'3 Hazed Questions'!$C$2:$C$23,L162))</f>
        <v/>
      </c>
      <c r="P162" s="14" t="str">
        <f aca="false">IF(COUNTA(I162:L162)=0,"",SUMIFS('3 Hazed Questions'!$G$2:$G$23,'3 Hazed Questions'!$A$2:$A$23,"Q1",'3 Hazed Questions'!$C$2:$C$23,I162)+SUMIFS('3 Hazed Questions'!$G$2:$G$23,'3 Hazed Questions'!$A$2:$A$23,"Q2",'3 Hazed Questions'!$C$2:$C$23,J162)+SUMIFS('3 Hazed Questions'!$G$2:$G$23,'3 Hazed Questions'!$A$2:$A$23,"Q3",'3 Hazed Questions'!$C$2:$C$23,K162)+SUMIFS('3 Hazed Questions'!$G$2:$G$23,'3 Hazed Questions'!$A$2:$A$23,"Q4",'3 Hazed Questions'!$C$2:$C$23,L162))</f>
        <v/>
      </c>
      <c r="Q162" s="14" t="str">
        <f aca="false">IF(COUNTA(I162:L162)=0,"",SUMIFS('3 Hazed Questions'!$H$2:$H$23,'3 Hazed Questions'!$A$2:$A$23,"Q1",'3 Hazed Questions'!$C$2:$C$23,I162)+SUMIFS('3 Hazed Questions'!$H$2:$H$23,'3 Hazed Questions'!$A$2:$A$23,"Q2",'3 Hazed Questions'!$C$2:$C$23,J162)+SUMIFS('3 Hazed Questions'!$H$2:$H$23,'3 Hazed Questions'!$A$2:$A$23,"Q3",'3 Hazed Questions'!$C$2:$C$23,K162)+SUMIFS('3 Hazed Questions'!$H$2:$H$23,'3 Hazed Questions'!$A$2:$A$23,"Q4",'3 Hazed Questions'!$C$2:$C$23,L162))</f>
        <v/>
      </c>
      <c r="R162" s="14" t="str">
        <f aca="false">IF(COUNTA(I162:L162)=0,"",SUMIFS('3 Hazed Questions'!$I$2:$I$23,'3 Hazed Questions'!$A$2:$A$23,"Q1",'3 Hazed Questions'!$C$2:$C$23,I162)+SUMIFS('3 Hazed Questions'!$I$2:$I$23,'3 Hazed Questions'!$A$2:$A$23,"Q2",'3 Hazed Questions'!$C$2:$C$23,J162)+SUMIFS('3 Hazed Questions'!$I$2:$I$23,'3 Hazed Questions'!$A$2:$A$23,"Q3",'3 Hazed Questions'!$C$2:$C$23,K162)+SUMIFS('3 Hazed Questions'!$I$2:$I$23,'3 Hazed Questions'!$A$2:$A$23,"Q4",'3 Hazed Questions'!$C$2:$C$23,L162))</f>
        <v/>
      </c>
      <c r="S162" s="14" t="str">
        <f aca="false">IF(COUNTA(I162:L162)=0,"",SUMIFS('3 Hazed Questions'!$J$2:$J$23,'3 Hazed Questions'!$A$2:$A$23,"Q1",'3 Hazed Questions'!$C$2:$C$23,I162)+SUMIFS('3 Hazed Questions'!$J$2:$J$23,'3 Hazed Questions'!$A$2:$A$23,"Q2",'3 Hazed Questions'!$C$2:$C$23,J162)+SUMIFS('3 Hazed Questions'!$J$2:$J$23,'3 Hazed Questions'!$A$2:$A$23,"Q3",'3 Hazed Questions'!$C$2:$C$23,K162)+SUMIFS('3 Hazed Questions'!$J$2:$J$23,'3 Hazed Questions'!$A$2:$A$23,"Q4",'3 Hazed Questions'!$C$2:$C$23,L162))</f>
        <v/>
      </c>
      <c r="T162" s="14" t="str">
        <f aca="false">IF(COUNTA(I162:L162)=0,"",SUMIFS('3 Hazed Questions'!$K$2:$K$23,'3 Hazed Questions'!$A$2:$A$23,"Q1",'3 Hazed Questions'!$C$2:$C$23,I162)+SUMIFS('3 Hazed Questions'!$K$2:$K$23,'3 Hazed Questions'!$A$2:$A$23,"Q2",'3 Hazed Questions'!$C$2:$C$23,J162)+SUMIFS('3 Hazed Questions'!$K$2:$K$23,'3 Hazed Questions'!$A$2:$A$23,"Q3",'3 Hazed Questions'!$C$2:$C$23,K162)+SUMIFS('3 Hazed Questions'!$K$2:$K$23,'3 Hazed Questions'!$A$2:$A$23,"Q4",'3 Hazed Questions'!$C$2:$C$23,L162))</f>
        <v/>
      </c>
      <c r="U162" s="14" t="str">
        <f aca="false">IF(COUNTA(I162:L162)=0,"",SUMIFS('3 Hazed Questions'!$L$2:$L$23,'3 Hazed Questions'!$A$2:$A$23,"Q1",'3 Hazed Questions'!$C$2:$C$23,I162)+SUMIFS('3 Hazed Questions'!$L$2:$L$23,'3 Hazed Questions'!$A$2:$A$23,"Q2",'3 Hazed Questions'!$C$2:$C$23,J162)+SUMIFS('3 Hazed Questions'!$L$2:$L$23,'3 Hazed Questions'!$A$2:$A$23,"Q3",'3 Hazed Questions'!$C$2:$C$23,K162)+SUMIFS('3 Hazed Questions'!$L$2:$L$23,'3 Hazed Questions'!$A$2:$A$23,"Q4",'3 Hazed Questions'!$C$2:$C$23,L162))</f>
        <v/>
      </c>
      <c r="V162" s="14" t="str">
        <f aca="false">IF(COUNTA(I162:L162)=0,"",SUMIFS('3 Hazed Questions'!$M$2:$M$23,'3 Hazed Questions'!$A$2:$A$23,"Q1",'3 Hazed Questions'!$C$2:$C$23,I162)+SUMIFS('3 Hazed Questions'!$M$2:$M$23,'3 Hazed Questions'!$A$2:$A$23,"Q2",'3 Hazed Questions'!$C$2:$C$23,J162)+SUMIFS('3 Hazed Questions'!$M$2:$M$23,'3 Hazed Questions'!$A$2:$A$23,"Q3",'3 Hazed Questions'!$C$2:$C$23,K162)+SUMIFS('3 Hazed Questions'!$M$2:$M$23,'3 Hazed Questions'!$A$2:$A$23,"Q4",'3 Hazed Questions'!$C$2:$C$23,L162))</f>
        <v/>
      </c>
      <c r="W162" s="14" t="str">
        <f aca="false">IF(COUNTA(I162:L162)=0,"",SUMIFS('3 Hazed Questions'!$N$2:$N$23,'3 Hazed Questions'!$A$2:$A$23,"Q1",'3 Hazed Questions'!$C$2:$C$23,I162)+SUMIFS('3 Hazed Questions'!$N$2:$N$23,'3 Hazed Questions'!$A$2:$A$23,"Q2",'3 Hazed Questions'!$C$2:$C$23,J162)+SUMIFS('3 Hazed Questions'!$N$2:$N$23,'3 Hazed Questions'!$A$2:$A$23,"Q3",'3 Hazed Questions'!$C$2:$C$23,K162)+SUMIFS('3 Hazed Questions'!$N$2:$N$23,'3 Hazed Questions'!$A$2:$A$23,"Q4",'3 Hazed Questions'!$C$2:$C$23,L162))</f>
        <v/>
      </c>
      <c r="X162" s="14" t="str">
        <f aca="false">IF(COUNTA(I162:L162)=0,"",INDEX(Fields!$B$2:$B$50,MATCH(SUBSTITUTE(INDEX($N$1:$W$1,MATCH(MAX($N162:$W162),$N162:$W162,0)),"Score: ",""),Fields!$A$2:$A$50,0)))</f>
        <v/>
      </c>
      <c r="Y162" s="14" t="str">
        <f aca="true">IF(COUNTA(I162:L162)=0,"",IF(LARGE($N162:$W162,2)=0,"-",INDEX(Fields!$B$2:$B$50,MATCH(SUBSTITUTE(INDEX($N$1:$W$1,IF(LARGE($N162:$W162,2)=MAX($N162:$W162),MATCH(MAX($N162:$W162),OFFSET($N162:$W162,0,MATCH(MAX($N162:$W162),$N162:$W162,0),1,10-MATCH(MAX($N162:$W162),$N162:$W162,0)),0)+MATCH(MAX($N162:$W162),$N162:$W162,0),MATCH(LARGE($N162:$W162,2),$N162:$W162,0))),"Score: ",""),Fields!$A$2:$A$50,0))))</f>
        <v/>
      </c>
      <c r="Z162" s="14" t="str">
        <f aca="false">IF(M162="","",IFERROR(INDEX('3 Hazed Questions'!$O$2:$O$23,MATCH(1,INDEX(('3 Hazed Questions'!$A$2:$A$23="Q5")*('3 Hazed Questions'!$C$2:$C$23=M162),0),0))&amp;"",""))</f>
        <v/>
      </c>
      <c r="AA162" s="18"/>
      <c r="AB162" s="18"/>
      <c r="AC162" s="19"/>
      <c r="AD162" s="19"/>
      <c r="AE162" s="18"/>
      <c r="AF162" s="18"/>
      <c r="AG162" s="18"/>
    </row>
    <row r="163" customFormat="false" ht="15" hidden="false" customHeight="false" outlineLevel="0" collapsed="false">
      <c r="A163" s="18"/>
      <c r="B163" s="19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4" t="str">
        <f aca="false">IF(COUNTA(I163:L163)=0,"",SUMIFS('3 Hazed Questions'!$E$2:$E$23,'3 Hazed Questions'!$A$2:$A$23,"Q1",'3 Hazed Questions'!$C$2:$C$23,I163)+SUMIFS('3 Hazed Questions'!$E$2:$E$23,'3 Hazed Questions'!$A$2:$A$23,"Q2",'3 Hazed Questions'!$C$2:$C$23,J163)+SUMIFS('3 Hazed Questions'!$E$2:$E$23,'3 Hazed Questions'!$A$2:$A$23,"Q3",'3 Hazed Questions'!$C$2:$C$23,K163)+SUMIFS('3 Hazed Questions'!$E$2:$E$23,'3 Hazed Questions'!$A$2:$A$23,"Q4",'3 Hazed Questions'!$C$2:$C$23,L163))</f>
        <v/>
      </c>
      <c r="O163" s="14" t="str">
        <f aca="false">IF(COUNTA(I163:L163)=0,"",SUMIFS('3 Hazed Questions'!$F$2:$F$23,'3 Hazed Questions'!$A$2:$A$23,"Q1",'3 Hazed Questions'!$C$2:$C$23,I163)+SUMIFS('3 Hazed Questions'!$F$2:$F$23,'3 Hazed Questions'!$A$2:$A$23,"Q2",'3 Hazed Questions'!$C$2:$C$23,J163)+SUMIFS('3 Hazed Questions'!$F$2:$F$23,'3 Hazed Questions'!$A$2:$A$23,"Q3",'3 Hazed Questions'!$C$2:$C$23,K163)+SUMIFS('3 Hazed Questions'!$F$2:$F$23,'3 Hazed Questions'!$A$2:$A$23,"Q4",'3 Hazed Questions'!$C$2:$C$23,L163))</f>
        <v/>
      </c>
      <c r="P163" s="14" t="str">
        <f aca="false">IF(COUNTA(I163:L163)=0,"",SUMIFS('3 Hazed Questions'!$G$2:$G$23,'3 Hazed Questions'!$A$2:$A$23,"Q1",'3 Hazed Questions'!$C$2:$C$23,I163)+SUMIFS('3 Hazed Questions'!$G$2:$G$23,'3 Hazed Questions'!$A$2:$A$23,"Q2",'3 Hazed Questions'!$C$2:$C$23,J163)+SUMIFS('3 Hazed Questions'!$G$2:$G$23,'3 Hazed Questions'!$A$2:$A$23,"Q3",'3 Hazed Questions'!$C$2:$C$23,K163)+SUMIFS('3 Hazed Questions'!$G$2:$G$23,'3 Hazed Questions'!$A$2:$A$23,"Q4",'3 Hazed Questions'!$C$2:$C$23,L163))</f>
        <v/>
      </c>
      <c r="Q163" s="14" t="str">
        <f aca="false">IF(COUNTA(I163:L163)=0,"",SUMIFS('3 Hazed Questions'!$H$2:$H$23,'3 Hazed Questions'!$A$2:$A$23,"Q1",'3 Hazed Questions'!$C$2:$C$23,I163)+SUMIFS('3 Hazed Questions'!$H$2:$H$23,'3 Hazed Questions'!$A$2:$A$23,"Q2",'3 Hazed Questions'!$C$2:$C$23,J163)+SUMIFS('3 Hazed Questions'!$H$2:$H$23,'3 Hazed Questions'!$A$2:$A$23,"Q3",'3 Hazed Questions'!$C$2:$C$23,K163)+SUMIFS('3 Hazed Questions'!$H$2:$H$23,'3 Hazed Questions'!$A$2:$A$23,"Q4",'3 Hazed Questions'!$C$2:$C$23,L163))</f>
        <v/>
      </c>
      <c r="R163" s="14" t="str">
        <f aca="false">IF(COUNTA(I163:L163)=0,"",SUMIFS('3 Hazed Questions'!$I$2:$I$23,'3 Hazed Questions'!$A$2:$A$23,"Q1",'3 Hazed Questions'!$C$2:$C$23,I163)+SUMIFS('3 Hazed Questions'!$I$2:$I$23,'3 Hazed Questions'!$A$2:$A$23,"Q2",'3 Hazed Questions'!$C$2:$C$23,J163)+SUMIFS('3 Hazed Questions'!$I$2:$I$23,'3 Hazed Questions'!$A$2:$A$23,"Q3",'3 Hazed Questions'!$C$2:$C$23,K163)+SUMIFS('3 Hazed Questions'!$I$2:$I$23,'3 Hazed Questions'!$A$2:$A$23,"Q4",'3 Hazed Questions'!$C$2:$C$23,L163))</f>
        <v/>
      </c>
      <c r="S163" s="14" t="str">
        <f aca="false">IF(COUNTA(I163:L163)=0,"",SUMIFS('3 Hazed Questions'!$J$2:$J$23,'3 Hazed Questions'!$A$2:$A$23,"Q1",'3 Hazed Questions'!$C$2:$C$23,I163)+SUMIFS('3 Hazed Questions'!$J$2:$J$23,'3 Hazed Questions'!$A$2:$A$23,"Q2",'3 Hazed Questions'!$C$2:$C$23,J163)+SUMIFS('3 Hazed Questions'!$J$2:$J$23,'3 Hazed Questions'!$A$2:$A$23,"Q3",'3 Hazed Questions'!$C$2:$C$23,K163)+SUMIFS('3 Hazed Questions'!$J$2:$J$23,'3 Hazed Questions'!$A$2:$A$23,"Q4",'3 Hazed Questions'!$C$2:$C$23,L163))</f>
        <v/>
      </c>
      <c r="T163" s="14" t="str">
        <f aca="false">IF(COUNTA(I163:L163)=0,"",SUMIFS('3 Hazed Questions'!$K$2:$K$23,'3 Hazed Questions'!$A$2:$A$23,"Q1",'3 Hazed Questions'!$C$2:$C$23,I163)+SUMIFS('3 Hazed Questions'!$K$2:$K$23,'3 Hazed Questions'!$A$2:$A$23,"Q2",'3 Hazed Questions'!$C$2:$C$23,J163)+SUMIFS('3 Hazed Questions'!$K$2:$K$23,'3 Hazed Questions'!$A$2:$A$23,"Q3",'3 Hazed Questions'!$C$2:$C$23,K163)+SUMIFS('3 Hazed Questions'!$K$2:$K$23,'3 Hazed Questions'!$A$2:$A$23,"Q4",'3 Hazed Questions'!$C$2:$C$23,L163))</f>
        <v/>
      </c>
      <c r="U163" s="14" t="str">
        <f aca="false">IF(COUNTA(I163:L163)=0,"",SUMIFS('3 Hazed Questions'!$L$2:$L$23,'3 Hazed Questions'!$A$2:$A$23,"Q1",'3 Hazed Questions'!$C$2:$C$23,I163)+SUMIFS('3 Hazed Questions'!$L$2:$L$23,'3 Hazed Questions'!$A$2:$A$23,"Q2",'3 Hazed Questions'!$C$2:$C$23,J163)+SUMIFS('3 Hazed Questions'!$L$2:$L$23,'3 Hazed Questions'!$A$2:$A$23,"Q3",'3 Hazed Questions'!$C$2:$C$23,K163)+SUMIFS('3 Hazed Questions'!$L$2:$L$23,'3 Hazed Questions'!$A$2:$A$23,"Q4",'3 Hazed Questions'!$C$2:$C$23,L163))</f>
        <v/>
      </c>
      <c r="V163" s="14" t="str">
        <f aca="false">IF(COUNTA(I163:L163)=0,"",SUMIFS('3 Hazed Questions'!$M$2:$M$23,'3 Hazed Questions'!$A$2:$A$23,"Q1",'3 Hazed Questions'!$C$2:$C$23,I163)+SUMIFS('3 Hazed Questions'!$M$2:$M$23,'3 Hazed Questions'!$A$2:$A$23,"Q2",'3 Hazed Questions'!$C$2:$C$23,J163)+SUMIFS('3 Hazed Questions'!$M$2:$M$23,'3 Hazed Questions'!$A$2:$A$23,"Q3",'3 Hazed Questions'!$C$2:$C$23,K163)+SUMIFS('3 Hazed Questions'!$M$2:$M$23,'3 Hazed Questions'!$A$2:$A$23,"Q4",'3 Hazed Questions'!$C$2:$C$23,L163))</f>
        <v/>
      </c>
      <c r="W163" s="14" t="str">
        <f aca="false">IF(COUNTA(I163:L163)=0,"",SUMIFS('3 Hazed Questions'!$N$2:$N$23,'3 Hazed Questions'!$A$2:$A$23,"Q1",'3 Hazed Questions'!$C$2:$C$23,I163)+SUMIFS('3 Hazed Questions'!$N$2:$N$23,'3 Hazed Questions'!$A$2:$A$23,"Q2",'3 Hazed Questions'!$C$2:$C$23,J163)+SUMIFS('3 Hazed Questions'!$N$2:$N$23,'3 Hazed Questions'!$A$2:$A$23,"Q3",'3 Hazed Questions'!$C$2:$C$23,K163)+SUMIFS('3 Hazed Questions'!$N$2:$N$23,'3 Hazed Questions'!$A$2:$A$23,"Q4",'3 Hazed Questions'!$C$2:$C$23,L163))</f>
        <v/>
      </c>
      <c r="X163" s="14" t="str">
        <f aca="false">IF(COUNTA(I163:L163)=0,"",INDEX(Fields!$B$2:$B$50,MATCH(SUBSTITUTE(INDEX($N$1:$W$1,MATCH(MAX($N163:$W163),$N163:$W163,0)),"Score: ",""),Fields!$A$2:$A$50,0)))</f>
        <v/>
      </c>
      <c r="Y163" s="14" t="str">
        <f aca="true">IF(COUNTA(I163:L163)=0,"",IF(LARGE($N163:$W163,2)=0,"-",INDEX(Fields!$B$2:$B$50,MATCH(SUBSTITUTE(INDEX($N$1:$W$1,IF(LARGE($N163:$W163,2)=MAX($N163:$W163),MATCH(MAX($N163:$W163),OFFSET($N163:$W163,0,MATCH(MAX($N163:$W163),$N163:$W163,0),1,10-MATCH(MAX($N163:$W163),$N163:$W163,0)),0)+MATCH(MAX($N163:$W163),$N163:$W163,0),MATCH(LARGE($N163:$W163,2),$N163:$W163,0))),"Score: ",""),Fields!$A$2:$A$50,0))))</f>
        <v/>
      </c>
      <c r="Z163" s="14" t="str">
        <f aca="false">IF(M163="","",IFERROR(INDEX('3 Hazed Questions'!$O$2:$O$23,MATCH(1,INDEX(('3 Hazed Questions'!$A$2:$A$23="Q5")*('3 Hazed Questions'!$C$2:$C$23=M163),0),0))&amp;"",""))</f>
        <v/>
      </c>
      <c r="AA163" s="18"/>
      <c r="AB163" s="18"/>
      <c r="AC163" s="19"/>
      <c r="AD163" s="19"/>
      <c r="AE163" s="18"/>
      <c r="AF163" s="18"/>
      <c r="AG163" s="18"/>
    </row>
    <row r="164" customFormat="false" ht="15" hidden="false" customHeight="false" outlineLevel="0" collapsed="false">
      <c r="A164" s="18"/>
      <c r="B164" s="19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4" t="str">
        <f aca="false">IF(COUNTA(I164:L164)=0,"",SUMIFS('3 Hazed Questions'!$E$2:$E$23,'3 Hazed Questions'!$A$2:$A$23,"Q1",'3 Hazed Questions'!$C$2:$C$23,I164)+SUMIFS('3 Hazed Questions'!$E$2:$E$23,'3 Hazed Questions'!$A$2:$A$23,"Q2",'3 Hazed Questions'!$C$2:$C$23,J164)+SUMIFS('3 Hazed Questions'!$E$2:$E$23,'3 Hazed Questions'!$A$2:$A$23,"Q3",'3 Hazed Questions'!$C$2:$C$23,K164)+SUMIFS('3 Hazed Questions'!$E$2:$E$23,'3 Hazed Questions'!$A$2:$A$23,"Q4",'3 Hazed Questions'!$C$2:$C$23,L164))</f>
        <v/>
      </c>
      <c r="O164" s="14" t="str">
        <f aca="false">IF(COUNTA(I164:L164)=0,"",SUMIFS('3 Hazed Questions'!$F$2:$F$23,'3 Hazed Questions'!$A$2:$A$23,"Q1",'3 Hazed Questions'!$C$2:$C$23,I164)+SUMIFS('3 Hazed Questions'!$F$2:$F$23,'3 Hazed Questions'!$A$2:$A$23,"Q2",'3 Hazed Questions'!$C$2:$C$23,J164)+SUMIFS('3 Hazed Questions'!$F$2:$F$23,'3 Hazed Questions'!$A$2:$A$23,"Q3",'3 Hazed Questions'!$C$2:$C$23,K164)+SUMIFS('3 Hazed Questions'!$F$2:$F$23,'3 Hazed Questions'!$A$2:$A$23,"Q4",'3 Hazed Questions'!$C$2:$C$23,L164))</f>
        <v/>
      </c>
      <c r="P164" s="14" t="str">
        <f aca="false">IF(COUNTA(I164:L164)=0,"",SUMIFS('3 Hazed Questions'!$G$2:$G$23,'3 Hazed Questions'!$A$2:$A$23,"Q1",'3 Hazed Questions'!$C$2:$C$23,I164)+SUMIFS('3 Hazed Questions'!$G$2:$G$23,'3 Hazed Questions'!$A$2:$A$23,"Q2",'3 Hazed Questions'!$C$2:$C$23,J164)+SUMIFS('3 Hazed Questions'!$G$2:$G$23,'3 Hazed Questions'!$A$2:$A$23,"Q3",'3 Hazed Questions'!$C$2:$C$23,K164)+SUMIFS('3 Hazed Questions'!$G$2:$G$23,'3 Hazed Questions'!$A$2:$A$23,"Q4",'3 Hazed Questions'!$C$2:$C$23,L164))</f>
        <v/>
      </c>
      <c r="Q164" s="14" t="str">
        <f aca="false">IF(COUNTA(I164:L164)=0,"",SUMIFS('3 Hazed Questions'!$H$2:$H$23,'3 Hazed Questions'!$A$2:$A$23,"Q1",'3 Hazed Questions'!$C$2:$C$23,I164)+SUMIFS('3 Hazed Questions'!$H$2:$H$23,'3 Hazed Questions'!$A$2:$A$23,"Q2",'3 Hazed Questions'!$C$2:$C$23,J164)+SUMIFS('3 Hazed Questions'!$H$2:$H$23,'3 Hazed Questions'!$A$2:$A$23,"Q3",'3 Hazed Questions'!$C$2:$C$23,K164)+SUMIFS('3 Hazed Questions'!$H$2:$H$23,'3 Hazed Questions'!$A$2:$A$23,"Q4",'3 Hazed Questions'!$C$2:$C$23,L164))</f>
        <v/>
      </c>
      <c r="R164" s="14" t="str">
        <f aca="false">IF(COUNTA(I164:L164)=0,"",SUMIFS('3 Hazed Questions'!$I$2:$I$23,'3 Hazed Questions'!$A$2:$A$23,"Q1",'3 Hazed Questions'!$C$2:$C$23,I164)+SUMIFS('3 Hazed Questions'!$I$2:$I$23,'3 Hazed Questions'!$A$2:$A$23,"Q2",'3 Hazed Questions'!$C$2:$C$23,J164)+SUMIFS('3 Hazed Questions'!$I$2:$I$23,'3 Hazed Questions'!$A$2:$A$23,"Q3",'3 Hazed Questions'!$C$2:$C$23,K164)+SUMIFS('3 Hazed Questions'!$I$2:$I$23,'3 Hazed Questions'!$A$2:$A$23,"Q4",'3 Hazed Questions'!$C$2:$C$23,L164))</f>
        <v/>
      </c>
      <c r="S164" s="14" t="str">
        <f aca="false">IF(COUNTA(I164:L164)=0,"",SUMIFS('3 Hazed Questions'!$J$2:$J$23,'3 Hazed Questions'!$A$2:$A$23,"Q1",'3 Hazed Questions'!$C$2:$C$23,I164)+SUMIFS('3 Hazed Questions'!$J$2:$J$23,'3 Hazed Questions'!$A$2:$A$23,"Q2",'3 Hazed Questions'!$C$2:$C$23,J164)+SUMIFS('3 Hazed Questions'!$J$2:$J$23,'3 Hazed Questions'!$A$2:$A$23,"Q3",'3 Hazed Questions'!$C$2:$C$23,K164)+SUMIFS('3 Hazed Questions'!$J$2:$J$23,'3 Hazed Questions'!$A$2:$A$23,"Q4",'3 Hazed Questions'!$C$2:$C$23,L164))</f>
        <v/>
      </c>
      <c r="T164" s="14" t="str">
        <f aca="false">IF(COUNTA(I164:L164)=0,"",SUMIFS('3 Hazed Questions'!$K$2:$K$23,'3 Hazed Questions'!$A$2:$A$23,"Q1",'3 Hazed Questions'!$C$2:$C$23,I164)+SUMIFS('3 Hazed Questions'!$K$2:$K$23,'3 Hazed Questions'!$A$2:$A$23,"Q2",'3 Hazed Questions'!$C$2:$C$23,J164)+SUMIFS('3 Hazed Questions'!$K$2:$K$23,'3 Hazed Questions'!$A$2:$A$23,"Q3",'3 Hazed Questions'!$C$2:$C$23,K164)+SUMIFS('3 Hazed Questions'!$K$2:$K$23,'3 Hazed Questions'!$A$2:$A$23,"Q4",'3 Hazed Questions'!$C$2:$C$23,L164))</f>
        <v/>
      </c>
      <c r="U164" s="14" t="str">
        <f aca="false">IF(COUNTA(I164:L164)=0,"",SUMIFS('3 Hazed Questions'!$L$2:$L$23,'3 Hazed Questions'!$A$2:$A$23,"Q1",'3 Hazed Questions'!$C$2:$C$23,I164)+SUMIFS('3 Hazed Questions'!$L$2:$L$23,'3 Hazed Questions'!$A$2:$A$23,"Q2",'3 Hazed Questions'!$C$2:$C$23,J164)+SUMIFS('3 Hazed Questions'!$L$2:$L$23,'3 Hazed Questions'!$A$2:$A$23,"Q3",'3 Hazed Questions'!$C$2:$C$23,K164)+SUMIFS('3 Hazed Questions'!$L$2:$L$23,'3 Hazed Questions'!$A$2:$A$23,"Q4",'3 Hazed Questions'!$C$2:$C$23,L164))</f>
        <v/>
      </c>
      <c r="V164" s="14" t="str">
        <f aca="false">IF(COUNTA(I164:L164)=0,"",SUMIFS('3 Hazed Questions'!$M$2:$M$23,'3 Hazed Questions'!$A$2:$A$23,"Q1",'3 Hazed Questions'!$C$2:$C$23,I164)+SUMIFS('3 Hazed Questions'!$M$2:$M$23,'3 Hazed Questions'!$A$2:$A$23,"Q2",'3 Hazed Questions'!$C$2:$C$23,J164)+SUMIFS('3 Hazed Questions'!$M$2:$M$23,'3 Hazed Questions'!$A$2:$A$23,"Q3",'3 Hazed Questions'!$C$2:$C$23,K164)+SUMIFS('3 Hazed Questions'!$M$2:$M$23,'3 Hazed Questions'!$A$2:$A$23,"Q4",'3 Hazed Questions'!$C$2:$C$23,L164))</f>
        <v/>
      </c>
      <c r="W164" s="14" t="str">
        <f aca="false">IF(COUNTA(I164:L164)=0,"",SUMIFS('3 Hazed Questions'!$N$2:$N$23,'3 Hazed Questions'!$A$2:$A$23,"Q1",'3 Hazed Questions'!$C$2:$C$23,I164)+SUMIFS('3 Hazed Questions'!$N$2:$N$23,'3 Hazed Questions'!$A$2:$A$23,"Q2",'3 Hazed Questions'!$C$2:$C$23,J164)+SUMIFS('3 Hazed Questions'!$N$2:$N$23,'3 Hazed Questions'!$A$2:$A$23,"Q3",'3 Hazed Questions'!$C$2:$C$23,K164)+SUMIFS('3 Hazed Questions'!$N$2:$N$23,'3 Hazed Questions'!$A$2:$A$23,"Q4",'3 Hazed Questions'!$C$2:$C$23,L164))</f>
        <v/>
      </c>
      <c r="X164" s="14" t="str">
        <f aca="false">IF(COUNTA(I164:L164)=0,"",INDEX(Fields!$B$2:$B$50,MATCH(SUBSTITUTE(INDEX($N$1:$W$1,MATCH(MAX($N164:$W164),$N164:$W164,0)),"Score: ",""),Fields!$A$2:$A$50,0)))</f>
        <v/>
      </c>
      <c r="Y164" s="14" t="str">
        <f aca="true">IF(COUNTA(I164:L164)=0,"",IF(LARGE($N164:$W164,2)=0,"-",INDEX(Fields!$B$2:$B$50,MATCH(SUBSTITUTE(INDEX($N$1:$W$1,IF(LARGE($N164:$W164,2)=MAX($N164:$W164),MATCH(MAX($N164:$W164),OFFSET($N164:$W164,0,MATCH(MAX($N164:$W164),$N164:$W164,0),1,10-MATCH(MAX($N164:$W164),$N164:$W164,0)),0)+MATCH(MAX($N164:$W164),$N164:$W164,0),MATCH(LARGE($N164:$W164,2),$N164:$W164,0))),"Score: ",""),Fields!$A$2:$A$50,0))))</f>
        <v/>
      </c>
      <c r="Z164" s="14" t="str">
        <f aca="false">IF(M164="","",IFERROR(INDEX('3 Hazed Questions'!$O$2:$O$23,MATCH(1,INDEX(('3 Hazed Questions'!$A$2:$A$23="Q5")*('3 Hazed Questions'!$C$2:$C$23=M164),0),0))&amp;"",""))</f>
        <v/>
      </c>
      <c r="AA164" s="18"/>
      <c r="AB164" s="18"/>
      <c r="AC164" s="19"/>
      <c r="AD164" s="19"/>
      <c r="AE164" s="18"/>
      <c r="AF164" s="18"/>
      <c r="AG164" s="18"/>
    </row>
    <row r="165" customFormat="false" ht="15" hidden="false" customHeight="false" outlineLevel="0" collapsed="false">
      <c r="A165" s="18"/>
      <c r="B165" s="19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4" t="str">
        <f aca="false">IF(COUNTA(I165:L165)=0,"",SUMIFS('3 Hazed Questions'!$E$2:$E$23,'3 Hazed Questions'!$A$2:$A$23,"Q1",'3 Hazed Questions'!$C$2:$C$23,I165)+SUMIFS('3 Hazed Questions'!$E$2:$E$23,'3 Hazed Questions'!$A$2:$A$23,"Q2",'3 Hazed Questions'!$C$2:$C$23,J165)+SUMIFS('3 Hazed Questions'!$E$2:$E$23,'3 Hazed Questions'!$A$2:$A$23,"Q3",'3 Hazed Questions'!$C$2:$C$23,K165)+SUMIFS('3 Hazed Questions'!$E$2:$E$23,'3 Hazed Questions'!$A$2:$A$23,"Q4",'3 Hazed Questions'!$C$2:$C$23,L165))</f>
        <v/>
      </c>
      <c r="O165" s="14" t="str">
        <f aca="false">IF(COUNTA(I165:L165)=0,"",SUMIFS('3 Hazed Questions'!$F$2:$F$23,'3 Hazed Questions'!$A$2:$A$23,"Q1",'3 Hazed Questions'!$C$2:$C$23,I165)+SUMIFS('3 Hazed Questions'!$F$2:$F$23,'3 Hazed Questions'!$A$2:$A$23,"Q2",'3 Hazed Questions'!$C$2:$C$23,J165)+SUMIFS('3 Hazed Questions'!$F$2:$F$23,'3 Hazed Questions'!$A$2:$A$23,"Q3",'3 Hazed Questions'!$C$2:$C$23,K165)+SUMIFS('3 Hazed Questions'!$F$2:$F$23,'3 Hazed Questions'!$A$2:$A$23,"Q4",'3 Hazed Questions'!$C$2:$C$23,L165))</f>
        <v/>
      </c>
      <c r="P165" s="14" t="str">
        <f aca="false">IF(COUNTA(I165:L165)=0,"",SUMIFS('3 Hazed Questions'!$G$2:$G$23,'3 Hazed Questions'!$A$2:$A$23,"Q1",'3 Hazed Questions'!$C$2:$C$23,I165)+SUMIFS('3 Hazed Questions'!$G$2:$G$23,'3 Hazed Questions'!$A$2:$A$23,"Q2",'3 Hazed Questions'!$C$2:$C$23,J165)+SUMIFS('3 Hazed Questions'!$G$2:$G$23,'3 Hazed Questions'!$A$2:$A$23,"Q3",'3 Hazed Questions'!$C$2:$C$23,K165)+SUMIFS('3 Hazed Questions'!$G$2:$G$23,'3 Hazed Questions'!$A$2:$A$23,"Q4",'3 Hazed Questions'!$C$2:$C$23,L165))</f>
        <v/>
      </c>
      <c r="Q165" s="14" t="str">
        <f aca="false">IF(COUNTA(I165:L165)=0,"",SUMIFS('3 Hazed Questions'!$H$2:$H$23,'3 Hazed Questions'!$A$2:$A$23,"Q1",'3 Hazed Questions'!$C$2:$C$23,I165)+SUMIFS('3 Hazed Questions'!$H$2:$H$23,'3 Hazed Questions'!$A$2:$A$23,"Q2",'3 Hazed Questions'!$C$2:$C$23,J165)+SUMIFS('3 Hazed Questions'!$H$2:$H$23,'3 Hazed Questions'!$A$2:$A$23,"Q3",'3 Hazed Questions'!$C$2:$C$23,K165)+SUMIFS('3 Hazed Questions'!$H$2:$H$23,'3 Hazed Questions'!$A$2:$A$23,"Q4",'3 Hazed Questions'!$C$2:$C$23,L165))</f>
        <v/>
      </c>
      <c r="R165" s="14" t="str">
        <f aca="false">IF(COUNTA(I165:L165)=0,"",SUMIFS('3 Hazed Questions'!$I$2:$I$23,'3 Hazed Questions'!$A$2:$A$23,"Q1",'3 Hazed Questions'!$C$2:$C$23,I165)+SUMIFS('3 Hazed Questions'!$I$2:$I$23,'3 Hazed Questions'!$A$2:$A$23,"Q2",'3 Hazed Questions'!$C$2:$C$23,J165)+SUMIFS('3 Hazed Questions'!$I$2:$I$23,'3 Hazed Questions'!$A$2:$A$23,"Q3",'3 Hazed Questions'!$C$2:$C$23,K165)+SUMIFS('3 Hazed Questions'!$I$2:$I$23,'3 Hazed Questions'!$A$2:$A$23,"Q4",'3 Hazed Questions'!$C$2:$C$23,L165))</f>
        <v/>
      </c>
      <c r="S165" s="14" t="str">
        <f aca="false">IF(COUNTA(I165:L165)=0,"",SUMIFS('3 Hazed Questions'!$J$2:$J$23,'3 Hazed Questions'!$A$2:$A$23,"Q1",'3 Hazed Questions'!$C$2:$C$23,I165)+SUMIFS('3 Hazed Questions'!$J$2:$J$23,'3 Hazed Questions'!$A$2:$A$23,"Q2",'3 Hazed Questions'!$C$2:$C$23,J165)+SUMIFS('3 Hazed Questions'!$J$2:$J$23,'3 Hazed Questions'!$A$2:$A$23,"Q3",'3 Hazed Questions'!$C$2:$C$23,K165)+SUMIFS('3 Hazed Questions'!$J$2:$J$23,'3 Hazed Questions'!$A$2:$A$23,"Q4",'3 Hazed Questions'!$C$2:$C$23,L165))</f>
        <v/>
      </c>
      <c r="T165" s="14" t="str">
        <f aca="false">IF(COUNTA(I165:L165)=0,"",SUMIFS('3 Hazed Questions'!$K$2:$K$23,'3 Hazed Questions'!$A$2:$A$23,"Q1",'3 Hazed Questions'!$C$2:$C$23,I165)+SUMIFS('3 Hazed Questions'!$K$2:$K$23,'3 Hazed Questions'!$A$2:$A$23,"Q2",'3 Hazed Questions'!$C$2:$C$23,J165)+SUMIFS('3 Hazed Questions'!$K$2:$K$23,'3 Hazed Questions'!$A$2:$A$23,"Q3",'3 Hazed Questions'!$C$2:$C$23,K165)+SUMIFS('3 Hazed Questions'!$K$2:$K$23,'3 Hazed Questions'!$A$2:$A$23,"Q4",'3 Hazed Questions'!$C$2:$C$23,L165))</f>
        <v/>
      </c>
      <c r="U165" s="14" t="str">
        <f aca="false">IF(COUNTA(I165:L165)=0,"",SUMIFS('3 Hazed Questions'!$L$2:$L$23,'3 Hazed Questions'!$A$2:$A$23,"Q1",'3 Hazed Questions'!$C$2:$C$23,I165)+SUMIFS('3 Hazed Questions'!$L$2:$L$23,'3 Hazed Questions'!$A$2:$A$23,"Q2",'3 Hazed Questions'!$C$2:$C$23,J165)+SUMIFS('3 Hazed Questions'!$L$2:$L$23,'3 Hazed Questions'!$A$2:$A$23,"Q3",'3 Hazed Questions'!$C$2:$C$23,K165)+SUMIFS('3 Hazed Questions'!$L$2:$L$23,'3 Hazed Questions'!$A$2:$A$23,"Q4",'3 Hazed Questions'!$C$2:$C$23,L165))</f>
        <v/>
      </c>
      <c r="V165" s="14" t="str">
        <f aca="false">IF(COUNTA(I165:L165)=0,"",SUMIFS('3 Hazed Questions'!$M$2:$M$23,'3 Hazed Questions'!$A$2:$A$23,"Q1",'3 Hazed Questions'!$C$2:$C$23,I165)+SUMIFS('3 Hazed Questions'!$M$2:$M$23,'3 Hazed Questions'!$A$2:$A$23,"Q2",'3 Hazed Questions'!$C$2:$C$23,J165)+SUMIFS('3 Hazed Questions'!$M$2:$M$23,'3 Hazed Questions'!$A$2:$A$23,"Q3",'3 Hazed Questions'!$C$2:$C$23,K165)+SUMIFS('3 Hazed Questions'!$M$2:$M$23,'3 Hazed Questions'!$A$2:$A$23,"Q4",'3 Hazed Questions'!$C$2:$C$23,L165))</f>
        <v/>
      </c>
      <c r="W165" s="14" t="str">
        <f aca="false">IF(COUNTA(I165:L165)=0,"",SUMIFS('3 Hazed Questions'!$N$2:$N$23,'3 Hazed Questions'!$A$2:$A$23,"Q1",'3 Hazed Questions'!$C$2:$C$23,I165)+SUMIFS('3 Hazed Questions'!$N$2:$N$23,'3 Hazed Questions'!$A$2:$A$23,"Q2",'3 Hazed Questions'!$C$2:$C$23,J165)+SUMIFS('3 Hazed Questions'!$N$2:$N$23,'3 Hazed Questions'!$A$2:$A$23,"Q3",'3 Hazed Questions'!$C$2:$C$23,K165)+SUMIFS('3 Hazed Questions'!$N$2:$N$23,'3 Hazed Questions'!$A$2:$A$23,"Q4",'3 Hazed Questions'!$C$2:$C$23,L165))</f>
        <v/>
      </c>
      <c r="X165" s="14" t="str">
        <f aca="false">IF(COUNTA(I165:L165)=0,"",INDEX(Fields!$B$2:$B$50,MATCH(SUBSTITUTE(INDEX($N$1:$W$1,MATCH(MAX($N165:$W165),$N165:$W165,0)),"Score: ",""),Fields!$A$2:$A$50,0)))</f>
        <v/>
      </c>
      <c r="Y165" s="14" t="str">
        <f aca="true">IF(COUNTA(I165:L165)=0,"",IF(LARGE($N165:$W165,2)=0,"-",INDEX(Fields!$B$2:$B$50,MATCH(SUBSTITUTE(INDEX($N$1:$W$1,IF(LARGE($N165:$W165,2)=MAX($N165:$W165),MATCH(MAX($N165:$W165),OFFSET($N165:$W165,0,MATCH(MAX($N165:$W165),$N165:$W165,0),1,10-MATCH(MAX($N165:$W165),$N165:$W165,0)),0)+MATCH(MAX($N165:$W165),$N165:$W165,0),MATCH(LARGE($N165:$W165,2),$N165:$W165,0))),"Score: ",""),Fields!$A$2:$A$50,0))))</f>
        <v/>
      </c>
      <c r="Z165" s="14" t="str">
        <f aca="false">IF(M165="","",IFERROR(INDEX('3 Hazed Questions'!$O$2:$O$23,MATCH(1,INDEX(('3 Hazed Questions'!$A$2:$A$23="Q5")*('3 Hazed Questions'!$C$2:$C$23=M165),0),0))&amp;"",""))</f>
        <v/>
      </c>
      <c r="AA165" s="18"/>
      <c r="AB165" s="18"/>
      <c r="AC165" s="19"/>
      <c r="AD165" s="19"/>
      <c r="AE165" s="18"/>
      <c r="AF165" s="18"/>
      <c r="AG165" s="18"/>
    </row>
    <row r="166" customFormat="false" ht="15" hidden="false" customHeight="false" outlineLevel="0" collapsed="false">
      <c r="A166" s="18"/>
      <c r="B166" s="19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4" t="str">
        <f aca="false">IF(COUNTA(I166:L166)=0,"",SUMIFS('3 Hazed Questions'!$E$2:$E$23,'3 Hazed Questions'!$A$2:$A$23,"Q1",'3 Hazed Questions'!$C$2:$C$23,I166)+SUMIFS('3 Hazed Questions'!$E$2:$E$23,'3 Hazed Questions'!$A$2:$A$23,"Q2",'3 Hazed Questions'!$C$2:$C$23,J166)+SUMIFS('3 Hazed Questions'!$E$2:$E$23,'3 Hazed Questions'!$A$2:$A$23,"Q3",'3 Hazed Questions'!$C$2:$C$23,K166)+SUMIFS('3 Hazed Questions'!$E$2:$E$23,'3 Hazed Questions'!$A$2:$A$23,"Q4",'3 Hazed Questions'!$C$2:$C$23,L166))</f>
        <v/>
      </c>
      <c r="O166" s="14" t="str">
        <f aca="false">IF(COUNTA(I166:L166)=0,"",SUMIFS('3 Hazed Questions'!$F$2:$F$23,'3 Hazed Questions'!$A$2:$A$23,"Q1",'3 Hazed Questions'!$C$2:$C$23,I166)+SUMIFS('3 Hazed Questions'!$F$2:$F$23,'3 Hazed Questions'!$A$2:$A$23,"Q2",'3 Hazed Questions'!$C$2:$C$23,J166)+SUMIFS('3 Hazed Questions'!$F$2:$F$23,'3 Hazed Questions'!$A$2:$A$23,"Q3",'3 Hazed Questions'!$C$2:$C$23,K166)+SUMIFS('3 Hazed Questions'!$F$2:$F$23,'3 Hazed Questions'!$A$2:$A$23,"Q4",'3 Hazed Questions'!$C$2:$C$23,L166))</f>
        <v/>
      </c>
      <c r="P166" s="14" t="str">
        <f aca="false">IF(COUNTA(I166:L166)=0,"",SUMIFS('3 Hazed Questions'!$G$2:$G$23,'3 Hazed Questions'!$A$2:$A$23,"Q1",'3 Hazed Questions'!$C$2:$C$23,I166)+SUMIFS('3 Hazed Questions'!$G$2:$G$23,'3 Hazed Questions'!$A$2:$A$23,"Q2",'3 Hazed Questions'!$C$2:$C$23,J166)+SUMIFS('3 Hazed Questions'!$G$2:$G$23,'3 Hazed Questions'!$A$2:$A$23,"Q3",'3 Hazed Questions'!$C$2:$C$23,K166)+SUMIFS('3 Hazed Questions'!$G$2:$G$23,'3 Hazed Questions'!$A$2:$A$23,"Q4",'3 Hazed Questions'!$C$2:$C$23,L166))</f>
        <v/>
      </c>
      <c r="Q166" s="14" t="str">
        <f aca="false">IF(COUNTA(I166:L166)=0,"",SUMIFS('3 Hazed Questions'!$H$2:$H$23,'3 Hazed Questions'!$A$2:$A$23,"Q1",'3 Hazed Questions'!$C$2:$C$23,I166)+SUMIFS('3 Hazed Questions'!$H$2:$H$23,'3 Hazed Questions'!$A$2:$A$23,"Q2",'3 Hazed Questions'!$C$2:$C$23,J166)+SUMIFS('3 Hazed Questions'!$H$2:$H$23,'3 Hazed Questions'!$A$2:$A$23,"Q3",'3 Hazed Questions'!$C$2:$C$23,K166)+SUMIFS('3 Hazed Questions'!$H$2:$H$23,'3 Hazed Questions'!$A$2:$A$23,"Q4",'3 Hazed Questions'!$C$2:$C$23,L166))</f>
        <v/>
      </c>
      <c r="R166" s="14" t="str">
        <f aca="false">IF(COUNTA(I166:L166)=0,"",SUMIFS('3 Hazed Questions'!$I$2:$I$23,'3 Hazed Questions'!$A$2:$A$23,"Q1",'3 Hazed Questions'!$C$2:$C$23,I166)+SUMIFS('3 Hazed Questions'!$I$2:$I$23,'3 Hazed Questions'!$A$2:$A$23,"Q2",'3 Hazed Questions'!$C$2:$C$23,J166)+SUMIFS('3 Hazed Questions'!$I$2:$I$23,'3 Hazed Questions'!$A$2:$A$23,"Q3",'3 Hazed Questions'!$C$2:$C$23,K166)+SUMIFS('3 Hazed Questions'!$I$2:$I$23,'3 Hazed Questions'!$A$2:$A$23,"Q4",'3 Hazed Questions'!$C$2:$C$23,L166))</f>
        <v/>
      </c>
      <c r="S166" s="14" t="str">
        <f aca="false">IF(COUNTA(I166:L166)=0,"",SUMIFS('3 Hazed Questions'!$J$2:$J$23,'3 Hazed Questions'!$A$2:$A$23,"Q1",'3 Hazed Questions'!$C$2:$C$23,I166)+SUMIFS('3 Hazed Questions'!$J$2:$J$23,'3 Hazed Questions'!$A$2:$A$23,"Q2",'3 Hazed Questions'!$C$2:$C$23,J166)+SUMIFS('3 Hazed Questions'!$J$2:$J$23,'3 Hazed Questions'!$A$2:$A$23,"Q3",'3 Hazed Questions'!$C$2:$C$23,K166)+SUMIFS('3 Hazed Questions'!$J$2:$J$23,'3 Hazed Questions'!$A$2:$A$23,"Q4",'3 Hazed Questions'!$C$2:$C$23,L166))</f>
        <v/>
      </c>
      <c r="T166" s="14" t="str">
        <f aca="false">IF(COUNTA(I166:L166)=0,"",SUMIFS('3 Hazed Questions'!$K$2:$K$23,'3 Hazed Questions'!$A$2:$A$23,"Q1",'3 Hazed Questions'!$C$2:$C$23,I166)+SUMIFS('3 Hazed Questions'!$K$2:$K$23,'3 Hazed Questions'!$A$2:$A$23,"Q2",'3 Hazed Questions'!$C$2:$C$23,J166)+SUMIFS('3 Hazed Questions'!$K$2:$K$23,'3 Hazed Questions'!$A$2:$A$23,"Q3",'3 Hazed Questions'!$C$2:$C$23,K166)+SUMIFS('3 Hazed Questions'!$K$2:$K$23,'3 Hazed Questions'!$A$2:$A$23,"Q4",'3 Hazed Questions'!$C$2:$C$23,L166))</f>
        <v/>
      </c>
      <c r="U166" s="14" t="str">
        <f aca="false">IF(COUNTA(I166:L166)=0,"",SUMIFS('3 Hazed Questions'!$L$2:$L$23,'3 Hazed Questions'!$A$2:$A$23,"Q1",'3 Hazed Questions'!$C$2:$C$23,I166)+SUMIFS('3 Hazed Questions'!$L$2:$L$23,'3 Hazed Questions'!$A$2:$A$23,"Q2",'3 Hazed Questions'!$C$2:$C$23,J166)+SUMIFS('3 Hazed Questions'!$L$2:$L$23,'3 Hazed Questions'!$A$2:$A$23,"Q3",'3 Hazed Questions'!$C$2:$C$23,K166)+SUMIFS('3 Hazed Questions'!$L$2:$L$23,'3 Hazed Questions'!$A$2:$A$23,"Q4",'3 Hazed Questions'!$C$2:$C$23,L166))</f>
        <v/>
      </c>
      <c r="V166" s="14" t="str">
        <f aca="false">IF(COUNTA(I166:L166)=0,"",SUMIFS('3 Hazed Questions'!$M$2:$M$23,'3 Hazed Questions'!$A$2:$A$23,"Q1",'3 Hazed Questions'!$C$2:$C$23,I166)+SUMIFS('3 Hazed Questions'!$M$2:$M$23,'3 Hazed Questions'!$A$2:$A$23,"Q2",'3 Hazed Questions'!$C$2:$C$23,J166)+SUMIFS('3 Hazed Questions'!$M$2:$M$23,'3 Hazed Questions'!$A$2:$A$23,"Q3",'3 Hazed Questions'!$C$2:$C$23,K166)+SUMIFS('3 Hazed Questions'!$M$2:$M$23,'3 Hazed Questions'!$A$2:$A$23,"Q4",'3 Hazed Questions'!$C$2:$C$23,L166))</f>
        <v/>
      </c>
      <c r="W166" s="14" t="str">
        <f aca="false">IF(COUNTA(I166:L166)=0,"",SUMIFS('3 Hazed Questions'!$N$2:$N$23,'3 Hazed Questions'!$A$2:$A$23,"Q1",'3 Hazed Questions'!$C$2:$C$23,I166)+SUMIFS('3 Hazed Questions'!$N$2:$N$23,'3 Hazed Questions'!$A$2:$A$23,"Q2",'3 Hazed Questions'!$C$2:$C$23,J166)+SUMIFS('3 Hazed Questions'!$N$2:$N$23,'3 Hazed Questions'!$A$2:$A$23,"Q3",'3 Hazed Questions'!$C$2:$C$23,K166)+SUMIFS('3 Hazed Questions'!$N$2:$N$23,'3 Hazed Questions'!$A$2:$A$23,"Q4",'3 Hazed Questions'!$C$2:$C$23,L166))</f>
        <v/>
      </c>
      <c r="X166" s="14" t="str">
        <f aca="false">IF(COUNTA(I166:L166)=0,"",INDEX(Fields!$B$2:$B$50,MATCH(SUBSTITUTE(INDEX($N$1:$W$1,MATCH(MAX($N166:$W166),$N166:$W166,0)),"Score: ",""),Fields!$A$2:$A$50,0)))</f>
        <v/>
      </c>
      <c r="Y166" s="14" t="str">
        <f aca="true">IF(COUNTA(I166:L166)=0,"",IF(LARGE($N166:$W166,2)=0,"-",INDEX(Fields!$B$2:$B$50,MATCH(SUBSTITUTE(INDEX($N$1:$W$1,IF(LARGE($N166:$W166,2)=MAX($N166:$W166),MATCH(MAX($N166:$W166),OFFSET($N166:$W166,0,MATCH(MAX($N166:$W166),$N166:$W166,0),1,10-MATCH(MAX($N166:$W166),$N166:$W166,0)),0)+MATCH(MAX($N166:$W166),$N166:$W166,0),MATCH(LARGE($N166:$W166,2),$N166:$W166,0))),"Score: ",""),Fields!$A$2:$A$50,0))))</f>
        <v/>
      </c>
      <c r="Z166" s="14" t="str">
        <f aca="false">IF(M166="","",IFERROR(INDEX('3 Hazed Questions'!$O$2:$O$23,MATCH(1,INDEX(('3 Hazed Questions'!$A$2:$A$23="Q5")*('3 Hazed Questions'!$C$2:$C$23=M166),0),0))&amp;"",""))</f>
        <v/>
      </c>
      <c r="AA166" s="18"/>
      <c r="AB166" s="18"/>
      <c r="AC166" s="19"/>
      <c r="AD166" s="19"/>
      <c r="AE166" s="18"/>
      <c r="AF166" s="18"/>
      <c r="AG166" s="18"/>
    </row>
    <row r="167" customFormat="false" ht="15" hidden="false" customHeight="false" outlineLevel="0" collapsed="false">
      <c r="A167" s="18"/>
      <c r="B167" s="19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4" t="str">
        <f aca="false">IF(COUNTA(I167:L167)=0,"",SUMIFS('3 Hazed Questions'!$E$2:$E$23,'3 Hazed Questions'!$A$2:$A$23,"Q1",'3 Hazed Questions'!$C$2:$C$23,I167)+SUMIFS('3 Hazed Questions'!$E$2:$E$23,'3 Hazed Questions'!$A$2:$A$23,"Q2",'3 Hazed Questions'!$C$2:$C$23,J167)+SUMIFS('3 Hazed Questions'!$E$2:$E$23,'3 Hazed Questions'!$A$2:$A$23,"Q3",'3 Hazed Questions'!$C$2:$C$23,K167)+SUMIFS('3 Hazed Questions'!$E$2:$E$23,'3 Hazed Questions'!$A$2:$A$23,"Q4",'3 Hazed Questions'!$C$2:$C$23,L167))</f>
        <v/>
      </c>
      <c r="O167" s="14" t="str">
        <f aca="false">IF(COUNTA(I167:L167)=0,"",SUMIFS('3 Hazed Questions'!$F$2:$F$23,'3 Hazed Questions'!$A$2:$A$23,"Q1",'3 Hazed Questions'!$C$2:$C$23,I167)+SUMIFS('3 Hazed Questions'!$F$2:$F$23,'3 Hazed Questions'!$A$2:$A$23,"Q2",'3 Hazed Questions'!$C$2:$C$23,J167)+SUMIFS('3 Hazed Questions'!$F$2:$F$23,'3 Hazed Questions'!$A$2:$A$23,"Q3",'3 Hazed Questions'!$C$2:$C$23,K167)+SUMIFS('3 Hazed Questions'!$F$2:$F$23,'3 Hazed Questions'!$A$2:$A$23,"Q4",'3 Hazed Questions'!$C$2:$C$23,L167))</f>
        <v/>
      </c>
      <c r="P167" s="14" t="str">
        <f aca="false">IF(COUNTA(I167:L167)=0,"",SUMIFS('3 Hazed Questions'!$G$2:$G$23,'3 Hazed Questions'!$A$2:$A$23,"Q1",'3 Hazed Questions'!$C$2:$C$23,I167)+SUMIFS('3 Hazed Questions'!$G$2:$G$23,'3 Hazed Questions'!$A$2:$A$23,"Q2",'3 Hazed Questions'!$C$2:$C$23,J167)+SUMIFS('3 Hazed Questions'!$G$2:$G$23,'3 Hazed Questions'!$A$2:$A$23,"Q3",'3 Hazed Questions'!$C$2:$C$23,K167)+SUMIFS('3 Hazed Questions'!$G$2:$G$23,'3 Hazed Questions'!$A$2:$A$23,"Q4",'3 Hazed Questions'!$C$2:$C$23,L167))</f>
        <v/>
      </c>
      <c r="Q167" s="14" t="str">
        <f aca="false">IF(COUNTA(I167:L167)=0,"",SUMIFS('3 Hazed Questions'!$H$2:$H$23,'3 Hazed Questions'!$A$2:$A$23,"Q1",'3 Hazed Questions'!$C$2:$C$23,I167)+SUMIFS('3 Hazed Questions'!$H$2:$H$23,'3 Hazed Questions'!$A$2:$A$23,"Q2",'3 Hazed Questions'!$C$2:$C$23,J167)+SUMIFS('3 Hazed Questions'!$H$2:$H$23,'3 Hazed Questions'!$A$2:$A$23,"Q3",'3 Hazed Questions'!$C$2:$C$23,K167)+SUMIFS('3 Hazed Questions'!$H$2:$H$23,'3 Hazed Questions'!$A$2:$A$23,"Q4",'3 Hazed Questions'!$C$2:$C$23,L167))</f>
        <v/>
      </c>
      <c r="R167" s="14" t="str">
        <f aca="false">IF(COUNTA(I167:L167)=0,"",SUMIFS('3 Hazed Questions'!$I$2:$I$23,'3 Hazed Questions'!$A$2:$A$23,"Q1",'3 Hazed Questions'!$C$2:$C$23,I167)+SUMIFS('3 Hazed Questions'!$I$2:$I$23,'3 Hazed Questions'!$A$2:$A$23,"Q2",'3 Hazed Questions'!$C$2:$C$23,J167)+SUMIFS('3 Hazed Questions'!$I$2:$I$23,'3 Hazed Questions'!$A$2:$A$23,"Q3",'3 Hazed Questions'!$C$2:$C$23,K167)+SUMIFS('3 Hazed Questions'!$I$2:$I$23,'3 Hazed Questions'!$A$2:$A$23,"Q4",'3 Hazed Questions'!$C$2:$C$23,L167))</f>
        <v/>
      </c>
      <c r="S167" s="14" t="str">
        <f aca="false">IF(COUNTA(I167:L167)=0,"",SUMIFS('3 Hazed Questions'!$J$2:$J$23,'3 Hazed Questions'!$A$2:$A$23,"Q1",'3 Hazed Questions'!$C$2:$C$23,I167)+SUMIFS('3 Hazed Questions'!$J$2:$J$23,'3 Hazed Questions'!$A$2:$A$23,"Q2",'3 Hazed Questions'!$C$2:$C$23,J167)+SUMIFS('3 Hazed Questions'!$J$2:$J$23,'3 Hazed Questions'!$A$2:$A$23,"Q3",'3 Hazed Questions'!$C$2:$C$23,K167)+SUMIFS('3 Hazed Questions'!$J$2:$J$23,'3 Hazed Questions'!$A$2:$A$23,"Q4",'3 Hazed Questions'!$C$2:$C$23,L167))</f>
        <v/>
      </c>
      <c r="T167" s="14" t="str">
        <f aca="false">IF(COUNTA(I167:L167)=0,"",SUMIFS('3 Hazed Questions'!$K$2:$K$23,'3 Hazed Questions'!$A$2:$A$23,"Q1",'3 Hazed Questions'!$C$2:$C$23,I167)+SUMIFS('3 Hazed Questions'!$K$2:$K$23,'3 Hazed Questions'!$A$2:$A$23,"Q2",'3 Hazed Questions'!$C$2:$C$23,J167)+SUMIFS('3 Hazed Questions'!$K$2:$K$23,'3 Hazed Questions'!$A$2:$A$23,"Q3",'3 Hazed Questions'!$C$2:$C$23,K167)+SUMIFS('3 Hazed Questions'!$K$2:$K$23,'3 Hazed Questions'!$A$2:$A$23,"Q4",'3 Hazed Questions'!$C$2:$C$23,L167))</f>
        <v/>
      </c>
      <c r="U167" s="14" t="str">
        <f aca="false">IF(COUNTA(I167:L167)=0,"",SUMIFS('3 Hazed Questions'!$L$2:$L$23,'3 Hazed Questions'!$A$2:$A$23,"Q1",'3 Hazed Questions'!$C$2:$C$23,I167)+SUMIFS('3 Hazed Questions'!$L$2:$L$23,'3 Hazed Questions'!$A$2:$A$23,"Q2",'3 Hazed Questions'!$C$2:$C$23,J167)+SUMIFS('3 Hazed Questions'!$L$2:$L$23,'3 Hazed Questions'!$A$2:$A$23,"Q3",'3 Hazed Questions'!$C$2:$C$23,K167)+SUMIFS('3 Hazed Questions'!$L$2:$L$23,'3 Hazed Questions'!$A$2:$A$23,"Q4",'3 Hazed Questions'!$C$2:$C$23,L167))</f>
        <v/>
      </c>
      <c r="V167" s="14" t="str">
        <f aca="false">IF(COUNTA(I167:L167)=0,"",SUMIFS('3 Hazed Questions'!$M$2:$M$23,'3 Hazed Questions'!$A$2:$A$23,"Q1",'3 Hazed Questions'!$C$2:$C$23,I167)+SUMIFS('3 Hazed Questions'!$M$2:$M$23,'3 Hazed Questions'!$A$2:$A$23,"Q2",'3 Hazed Questions'!$C$2:$C$23,J167)+SUMIFS('3 Hazed Questions'!$M$2:$M$23,'3 Hazed Questions'!$A$2:$A$23,"Q3",'3 Hazed Questions'!$C$2:$C$23,K167)+SUMIFS('3 Hazed Questions'!$M$2:$M$23,'3 Hazed Questions'!$A$2:$A$23,"Q4",'3 Hazed Questions'!$C$2:$C$23,L167))</f>
        <v/>
      </c>
      <c r="W167" s="14" t="str">
        <f aca="false">IF(COUNTA(I167:L167)=0,"",SUMIFS('3 Hazed Questions'!$N$2:$N$23,'3 Hazed Questions'!$A$2:$A$23,"Q1",'3 Hazed Questions'!$C$2:$C$23,I167)+SUMIFS('3 Hazed Questions'!$N$2:$N$23,'3 Hazed Questions'!$A$2:$A$23,"Q2",'3 Hazed Questions'!$C$2:$C$23,J167)+SUMIFS('3 Hazed Questions'!$N$2:$N$23,'3 Hazed Questions'!$A$2:$A$23,"Q3",'3 Hazed Questions'!$C$2:$C$23,K167)+SUMIFS('3 Hazed Questions'!$N$2:$N$23,'3 Hazed Questions'!$A$2:$A$23,"Q4",'3 Hazed Questions'!$C$2:$C$23,L167))</f>
        <v/>
      </c>
      <c r="X167" s="14" t="str">
        <f aca="false">IF(COUNTA(I167:L167)=0,"",INDEX(Fields!$B$2:$B$50,MATCH(SUBSTITUTE(INDEX($N$1:$W$1,MATCH(MAX($N167:$W167),$N167:$W167,0)),"Score: ",""),Fields!$A$2:$A$50,0)))</f>
        <v/>
      </c>
      <c r="Y167" s="14" t="str">
        <f aca="true">IF(COUNTA(I167:L167)=0,"",IF(LARGE($N167:$W167,2)=0,"-",INDEX(Fields!$B$2:$B$50,MATCH(SUBSTITUTE(INDEX($N$1:$W$1,IF(LARGE($N167:$W167,2)=MAX($N167:$W167),MATCH(MAX($N167:$W167),OFFSET($N167:$W167,0,MATCH(MAX($N167:$W167),$N167:$W167,0),1,10-MATCH(MAX($N167:$W167),$N167:$W167,0)),0)+MATCH(MAX($N167:$W167),$N167:$W167,0),MATCH(LARGE($N167:$W167,2),$N167:$W167,0))),"Score: ",""),Fields!$A$2:$A$50,0))))</f>
        <v/>
      </c>
      <c r="Z167" s="14" t="str">
        <f aca="false">IF(M167="","",IFERROR(INDEX('3 Hazed Questions'!$O$2:$O$23,MATCH(1,INDEX(('3 Hazed Questions'!$A$2:$A$23="Q5")*('3 Hazed Questions'!$C$2:$C$23=M167),0),0))&amp;"",""))</f>
        <v/>
      </c>
      <c r="AA167" s="18"/>
      <c r="AB167" s="18"/>
      <c r="AC167" s="19"/>
      <c r="AD167" s="19"/>
      <c r="AE167" s="18"/>
      <c r="AF167" s="18"/>
      <c r="AG167" s="18"/>
    </row>
    <row r="168" customFormat="false" ht="15" hidden="false" customHeight="false" outlineLevel="0" collapsed="false">
      <c r="A168" s="18"/>
      <c r="B168" s="19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4" t="str">
        <f aca="false">IF(COUNTA(I168:L168)=0,"",SUMIFS('3 Hazed Questions'!$E$2:$E$23,'3 Hazed Questions'!$A$2:$A$23,"Q1",'3 Hazed Questions'!$C$2:$C$23,I168)+SUMIFS('3 Hazed Questions'!$E$2:$E$23,'3 Hazed Questions'!$A$2:$A$23,"Q2",'3 Hazed Questions'!$C$2:$C$23,J168)+SUMIFS('3 Hazed Questions'!$E$2:$E$23,'3 Hazed Questions'!$A$2:$A$23,"Q3",'3 Hazed Questions'!$C$2:$C$23,K168)+SUMIFS('3 Hazed Questions'!$E$2:$E$23,'3 Hazed Questions'!$A$2:$A$23,"Q4",'3 Hazed Questions'!$C$2:$C$23,L168))</f>
        <v/>
      </c>
      <c r="O168" s="14" t="str">
        <f aca="false">IF(COUNTA(I168:L168)=0,"",SUMIFS('3 Hazed Questions'!$F$2:$F$23,'3 Hazed Questions'!$A$2:$A$23,"Q1",'3 Hazed Questions'!$C$2:$C$23,I168)+SUMIFS('3 Hazed Questions'!$F$2:$F$23,'3 Hazed Questions'!$A$2:$A$23,"Q2",'3 Hazed Questions'!$C$2:$C$23,J168)+SUMIFS('3 Hazed Questions'!$F$2:$F$23,'3 Hazed Questions'!$A$2:$A$23,"Q3",'3 Hazed Questions'!$C$2:$C$23,K168)+SUMIFS('3 Hazed Questions'!$F$2:$F$23,'3 Hazed Questions'!$A$2:$A$23,"Q4",'3 Hazed Questions'!$C$2:$C$23,L168))</f>
        <v/>
      </c>
      <c r="P168" s="14" t="str">
        <f aca="false">IF(COUNTA(I168:L168)=0,"",SUMIFS('3 Hazed Questions'!$G$2:$G$23,'3 Hazed Questions'!$A$2:$A$23,"Q1",'3 Hazed Questions'!$C$2:$C$23,I168)+SUMIFS('3 Hazed Questions'!$G$2:$G$23,'3 Hazed Questions'!$A$2:$A$23,"Q2",'3 Hazed Questions'!$C$2:$C$23,J168)+SUMIFS('3 Hazed Questions'!$G$2:$G$23,'3 Hazed Questions'!$A$2:$A$23,"Q3",'3 Hazed Questions'!$C$2:$C$23,K168)+SUMIFS('3 Hazed Questions'!$G$2:$G$23,'3 Hazed Questions'!$A$2:$A$23,"Q4",'3 Hazed Questions'!$C$2:$C$23,L168))</f>
        <v/>
      </c>
      <c r="Q168" s="14" t="str">
        <f aca="false">IF(COUNTA(I168:L168)=0,"",SUMIFS('3 Hazed Questions'!$H$2:$H$23,'3 Hazed Questions'!$A$2:$A$23,"Q1",'3 Hazed Questions'!$C$2:$C$23,I168)+SUMIFS('3 Hazed Questions'!$H$2:$H$23,'3 Hazed Questions'!$A$2:$A$23,"Q2",'3 Hazed Questions'!$C$2:$C$23,J168)+SUMIFS('3 Hazed Questions'!$H$2:$H$23,'3 Hazed Questions'!$A$2:$A$23,"Q3",'3 Hazed Questions'!$C$2:$C$23,K168)+SUMIFS('3 Hazed Questions'!$H$2:$H$23,'3 Hazed Questions'!$A$2:$A$23,"Q4",'3 Hazed Questions'!$C$2:$C$23,L168))</f>
        <v/>
      </c>
      <c r="R168" s="14" t="str">
        <f aca="false">IF(COUNTA(I168:L168)=0,"",SUMIFS('3 Hazed Questions'!$I$2:$I$23,'3 Hazed Questions'!$A$2:$A$23,"Q1",'3 Hazed Questions'!$C$2:$C$23,I168)+SUMIFS('3 Hazed Questions'!$I$2:$I$23,'3 Hazed Questions'!$A$2:$A$23,"Q2",'3 Hazed Questions'!$C$2:$C$23,J168)+SUMIFS('3 Hazed Questions'!$I$2:$I$23,'3 Hazed Questions'!$A$2:$A$23,"Q3",'3 Hazed Questions'!$C$2:$C$23,K168)+SUMIFS('3 Hazed Questions'!$I$2:$I$23,'3 Hazed Questions'!$A$2:$A$23,"Q4",'3 Hazed Questions'!$C$2:$C$23,L168))</f>
        <v/>
      </c>
      <c r="S168" s="14" t="str">
        <f aca="false">IF(COUNTA(I168:L168)=0,"",SUMIFS('3 Hazed Questions'!$J$2:$J$23,'3 Hazed Questions'!$A$2:$A$23,"Q1",'3 Hazed Questions'!$C$2:$C$23,I168)+SUMIFS('3 Hazed Questions'!$J$2:$J$23,'3 Hazed Questions'!$A$2:$A$23,"Q2",'3 Hazed Questions'!$C$2:$C$23,J168)+SUMIFS('3 Hazed Questions'!$J$2:$J$23,'3 Hazed Questions'!$A$2:$A$23,"Q3",'3 Hazed Questions'!$C$2:$C$23,K168)+SUMIFS('3 Hazed Questions'!$J$2:$J$23,'3 Hazed Questions'!$A$2:$A$23,"Q4",'3 Hazed Questions'!$C$2:$C$23,L168))</f>
        <v/>
      </c>
      <c r="T168" s="14" t="str">
        <f aca="false">IF(COUNTA(I168:L168)=0,"",SUMIFS('3 Hazed Questions'!$K$2:$K$23,'3 Hazed Questions'!$A$2:$A$23,"Q1",'3 Hazed Questions'!$C$2:$C$23,I168)+SUMIFS('3 Hazed Questions'!$K$2:$K$23,'3 Hazed Questions'!$A$2:$A$23,"Q2",'3 Hazed Questions'!$C$2:$C$23,J168)+SUMIFS('3 Hazed Questions'!$K$2:$K$23,'3 Hazed Questions'!$A$2:$A$23,"Q3",'3 Hazed Questions'!$C$2:$C$23,K168)+SUMIFS('3 Hazed Questions'!$K$2:$K$23,'3 Hazed Questions'!$A$2:$A$23,"Q4",'3 Hazed Questions'!$C$2:$C$23,L168))</f>
        <v/>
      </c>
      <c r="U168" s="14" t="str">
        <f aca="false">IF(COUNTA(I168:L168)=0,"",SUMIFS('3 Hazed Questions'!$L$2:$L$23,'3 Hazed Questions'!$A$2:$A$23,"Q1",'3 Hazed Questions'!$C$2:$C$23,I168)+SUMIFS('3 Hazed Questions'!$L$2:$L$23,'3 Hazed Questions'!$A$2:$A$23,"Q2",'3 Hazed Questions'!$C$2:$C$23,J168)+SUMIFS('3 Hazed Questions'!$L$2:$L$23,'3 Hazed Questions'!$A$2:$A$23,"Q3",'3 Hazed Questions'!$C$2:$C$23,K168)+SUMIFS('3 Hazed Questions'!$L$2:$L$23,'3 Hazed Questions'!$A$2:$A$23,"Q4",'3 Hazed Questions'!$C$2:$C$23,L168))</f>
        <v/>
      </c>
      <c r="V168" s="14" t="str">
        <f aca="false">IF(COUNTA(I168:L168)=0,"",SUMIFS('3 Hazed Questions'!$M$2:$M$23,'3 Hazed Questions'!$A$2:$A$23,"Q1",'3 Hazed Questions'!$C$2:$C$23,I168)+SUMIFS('3 Hazed Questions'!$M$2:$M$23,'3 Hazed Questions'!$A$2:$A$23,"Q2",'3 Hazed Questions'!$C$2:$C$23,J168)+SUMIFS('3 Hazed Questions'!$M$2:$M$23,'3 Hazed Questions'!$A$2:$A$23,"Q3",'3 Hazed Questions'!$C$2:$C$23,K168)+SUMIFS('3 Hazed Questions'!$M$2:$M$23,'3 Hazed Questions'!$A$2:$A$23,"Q4",'3 Hazed Questions'!$C$2:$C$23,L168))</f>
        <v/>
      </c>
      <c r="W168" s="14" t="str">
        <f aca="false">IF(COUNTA(I168:L168)=0,"",SUMIFS('3 Hazed Questions'!$N$2:$N$23,'3 Hazed Questions'!$A$2:$A$23,"Q1",'3 Hazed Questions'!$C$2:$C$23,I168)+SUMIFS('3 Hazed Questions'!$N$2:$N$23,'3 Hazed Questions'!$A$2:$A$23,"Q2",'3 Hazed Questions'!$C$2:$C$23,J168)+SUMIFS('3 Hazed Questions'!$N$2:$N$23,'3 Hazed Questions'!$A$2:$A$23,"Q3",'3 Hazed Questions'!$C$2:$C$23,K168)+SUMIFS('3 Hazed Questions'!$N$2:$N$23,'3 Hazed Questions'!$A$2:$A$23,"Q4",'3 Hazed Questions'!$C$2:$C$23,L168))</f>
        <v/>
      </c>
      <c r="X168" s="14" t="str">
        <f aca="false">IF(COUNTA(I168:L168)=0,"",INDEX(Fields!$B$2:$B$50,MATCH(SUBSTITUTE(INDEX($N$1:$W$1,MATCH(MAX($N168:$W168),$N168:$W168,0)),"Score: ",""),Fields!$A$2:$A$50,0)))</f>
        <v/>
      </c>
      <c r="Y168" s="14" t="str">
        <f aca="true">IF(COUNTA(I168:L168)=0,"",IF(LARGE($N168:$W168,2)=0,"-",INDEX(Fields!$B$2:$B$50,MATCH(SUBSTITUTE(INDEX($N$1:$W$1,IF(LARGE($N168:$W168,2)=MAX($N168:$W168),MATCH(MAX($N168:$W168),OFFSET($N168:$W168,0,MATCH(MAX($N168:$W168),$N168:$W168,0),1,10-MATCH(MAX($N168:$W168),$N168:$W168,0)),0)+MATCH(MAX($N168:$W168),$N168:$W168,0),MATCH(LARGE($N168:$W168,2),$N168:$W168,0))),"Score: ",""),Fields!$A$2:$A$50,0))))</f>
        <v/>
      </c>
      <c r="Z168" s="14" t="str">
        <f aca="false">IF(M168="","",IFERROR(INDEX('3 Hazed Questions'!$O$2:$O$23,MATCH(1,INDEX(('3 Hazed Questions'!$A$2:$A$23="Q5")*('3 Hazed Questions'!$C$2:$C$23=M168),0),0))&amp;"",""))</f>
        <v/>
      </c>
      <c r="AA168" s="18"/>
      <c r="AB168" s="18"/>
      <c r="AC168" s="19"/>
      <c r="AD168" s="19"/>
      <c r="AE168" s="18"/>
      <c r="AF168" s="18"/>
      <c r="AG168" s="18"/>
    </row>
    <row r="169" customFormat="false" ht="15" hidden="false" customHeight="false" outlineLevel="0" collapsed="false">
      <c r="A169" s="18"/>
      <c r="B169" s="19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4" t="str">
        <f aca="false">IF(COUNTA(I169:L169)=0,"",SUMIFS('3 Hazed Questions'!$E$2:$E$23,'3 Hazed Questions'!$A$2:$A$23,"Q1",'3 Hazed Questions'!$C$2:$C$23,I169)+SUMIFS('3 Hazed Questions'!$E$2:$E$23,'3 Hazed Questions'!$A$2:$A$23,"Q2",'3 Hazed Questions'!$C$2:$C$23,J169)+SUMIFS('3 Hazed Questions'!$E$2:$E$23,'3 Hazed Questions'!$A$2:$A$23,"Q3",'3 Hazed Questions'!$C$2:$C$23,K169)+SUMIFS('3 Hazed Questions'!$E$2:$E$23,'3 Hazed Questions'!$A$2:$A$23,"Q4",'3 Hazed Questions'!$C$2:$C$23,L169))</f>
        <v/>
      </c>
      <c r="O169" s="14" t="str">
        <f aca="false">IF(COUNTA(I169:L169)=0,"",SUMIFS('3 Hazed Questions'!$F$2:$F$23,'3 Hazed Questions'!$A$2:$A$23,"Q1",'3 Hazed Questions'!$C$2:$C$23,I169)+SUMIFS('3 Hazed Questions'!$F$2:$F$23,'3 Hazed Questions'!$A$2:$A$23,"Q2",'3 Hazed Questions'!$C$2:$C$23,J169)+SUMIFS('3 Hazed Questions'!$F$2:$F$23,'3 Hazed Questions'!$A$2:$A$23,"Q3",'3 Hazed Questions'!$C$2:$C$23,K169)+SUMIFS('3 Hazed Questions'!$F$2:$F$23,'3 Hazed Questions'!$A$2:$A$23,"Q4",'3 Hazed Questions'!$C$2:$C$23,L169))</f>
        <v/>
      </c>
      <c r="P169" s="14" t="str">
        <f aca="false">IF(COUNTA(I169:L169)=0,"",SUMIFS('3 Hazed Questions'!$G$2:$G$23,'3 Hazed Questions'!$A$2:$A$23,"Q1",'3 Hazed Questions'!$C$2:$C$23,I169)+SUMIFS('3 Hazed Questions'!$G$2:$G$23,'3 Hazed Questions'!$A$2:$A$23,"Q2",'3 Hazed Questions'!$C$2:$C$23,J169)+SUMIFS('3 Hazed Questions'!$G$2:$G$23,'3 Hazed Questions'!$A$2:$A$23,"Q3",'3 Hazed Questions'!$C$2:$C$23,K169)+SUMIFS('3 Hazed Questions'!$G$2:$G$23,'3 Hazed Questions'!$A$2:$A$23,"Q4",'3 Hazed Questions'!$C$2:$C$23,L169))</f>
        <v/>
      </c>
      <c r="Q169" s="14" t="str">
        <f aca="false">IF(COUNTA(I169:L169)=0,"",SUMIFS('3 Hazed Questions'!$H$2:$H$23,'3 Hazed Questions'!$A$2:$A$23,"Q1",'3 Hazed Questions'!$C$2:$C$23,I169)+SUMIFS('3 Hazed Questions'!$H$2:$H$23,'3 Hazed Questions'!$A$2:$A$23,"Q2",'3 Hazed Questions'!$C$2:$C$23,J169)+SUMIFS('3 Hazed Questions'!$H$2:$H$23,'3 Hazed Questions'!$A$2:$A$23,"Q3",'3 Hazed Questions'!$C$2:$C$23,K169)+SUMIFS('3 Hazed Questions'!$H$2:$H$23,'3 Hazed Questions'!$A$2:$A$23,"Q4",'3 Hazed Questions'!$C$2:$C$23,L169))</f>
        <v/>
      </c>
      <c r="R169" s="14" t="str">
        <f aca="false">IF(COUNTA(I169:L169)=0,"",SUMIFS('3 Hazed Questions'!$I$2:$I$23,'3 Hazed Questions'!$A$2:$A$23,"Q1",'3 Hazed Questions'!$C$2:$C$23,I169)+SUMIFS('3 Hazed Questions'!$I$2:$I$23,'3 Hazed Questions'!$A$2:$A$23,"Q2",'3 Hazed Questions'!$C$2:$C$23,J169)+SUMIFS('3 Hazed Questions'!$I$2:$I$23,'3 Hazed Questions'!$A$2:$A$23,"Q3",'3 Hazed Questions'!$C$2:$C$23,K169)+SUMIFS('3 Hazed Questions'!$I$2:$I$23,'3 Hazed Questions'!$A$2:$A$23,"Q4",'3 Hazed Questions'!$C$2:$C$23,L169))</f>
        <v/>
      </c>
      <c r="S169" s="14" t="str">
        <f aca="false">IF(COUNTA(I169:L169)=0,"",SUMIFS('3 Hazed Questions'!$J$2:$J$23,'3 Hazed Questions'!$A$2:$A$23,"Q1",'3 Hazed Questions'!$C$2:$C$23,I169)+SUMIFS('3 Hazed Questions'!$J$2:$J$23,'3 Hazed Questions'!$A$2:$A$23,"Q2",'3 Hazed Questions'!$C$2:$C$23,J169)+SUMIFS('3 Hazed Questions'!$J$2:$J$23,'3 Hazed Questions'!$A$2:$A$23,"Q3",'3 Hazed Questions'!$C$2:$C$23,K169)+SUMIFS('3 Hazed Questions'!$J$2:$J$23,'3 Hazed Questions'!$A$2:$A$23,"Q4",'3 Hazed Questions'!$C$2:$C$23,L169))</f>
        <v/>
      </c>
      <c r="T169" s="14" t="str">
        <f aca="false">IF(COUNTA(I169:L169)=0,"",SUMIFS('3 Hazed Questions'!$K$2:$K$23,'3 Hazed Questions'!$A$2:$A$23,"Q1",'3 Hazed Questions'!$C$2:$C$23,I169)+SUMIFS('3 Hazed Questions'!$K$2:$K$23,'3 Hazed Questions'!$A$2:$A$23,"Q2",'3 Hazed Questions'!$C$2:$C$23,J169)+SUMIFS('3 Hazed Questions'!$K$2:$K$23,'3 Hazed Questions'!$A$2:$A$23,"Q3",'3 Hazed Questions'!$C$2:$C$23,K169)+SUMIFS('3 Hazed Questions'!$K$2:$K$23,'3 Hazed Questions'!$A$2:$A$23,"Q4",'3 Hazed Questions'!$C$2:$C$23,L169))</f>
        <v/>
      </c>
      <c r="U169" s="14" t="str">
        <f aca="false">IF(COUNTA(I169:L169)=0,"",SUMIFS('3 Hazed Questions'!$L$2:$L$23,'3 Hazed Questions'!$A$2:$A$23,"Q1",'3 Hazed Questions'!$C$2:$C$23,I169)+SUMIFS('3 Hazed Questions'!$L$2:$L$23,'3 Hazed Questions'!$A$2:$A$23,"Q2",'3 Hazed Questions'!$C$2:$C$23,J169)+SUMIFS('3 Hazed Questions'!$L$2:$L$23,'3 Hazed Questions'!$A$2:$A$23,"Q3",'3 Hazed Questions'!$C$2:$C$23,K169)+SUMIFS('3 Hazed Questions'!$L$2:$L$23,'3 Hazed Questions'!$A$2:$A$23,"Q4",'3 Hazed Questions'!$C$2:$C$23,L169))</f>
        <v/>
      </c>
      <c r="V169" s="14" t="str">
        <f aca="false">IF(COUNTA(I169:L169)=0,"",SUMIFS('3 Hazed Questions'!$M$2:$M$23,'3 Hazed Questions'!$A$2:$A$23,"Q1",'3 Hazed Questions'!$C$2:$C$23,I169)+SUMIFS('3 Hazed Questions'!$M$2:$M$23,'3 Hazed Questions'!$A$2:$A$23,"Q2",'3 Hazed Questions'!$C$2:$C$23,J169)+SUMIFS('3 Hazed Questions'!$M$2:$M$23,'3 Hazed Questions'!$A$2:$A$23,"Q3",'3 Hazed Questions'!$C$2:$C$23,K169)+SUMIFS('3 Hazed Questions'!$M$2:$M$23,'3 Hazed Questions'!$A$2:$A$23,"Q4",'3 Hazed Questions'!$C$2:$C$23,L169))</f>
        <v/>
      </c>
      <c r="W169" s="14" t="str">
        <f aca="false">IF(COUNTA(I169:L169)=0,"",SUMIFS('3 Hazed Questions'!$N$2:$N$23,'3 Hazed Questions'!$A$2:$A$23,"Q1",'3 Hazed Questions'!$C$2:$C$23,I169)+SUMIFS('3 Hazed Questions'!$N$2:$N$23,'3 Hazed Questions'!$A$2:$A$23,"Q2",'3 Hazed Questions'!$C$2:$C$23,J169)+SUMIFS('3 Hazed Questions'!$N$2:$N$23,'3 Hazed Questions'!$A$2:$A$23,"Q3",'3 Hazed Questions'!$C$2:$C$23,K169)+SUMIFS('3 Hazed Questions'!$N$2:$N$23,'3 Hazed Questions'!$A$2:$A$23,"Q4",'3 Hazed Questions'!$C$2:$C$23,L169))</f>
        <v/>
      </c>
      <c r="X169" s="14" t="str">
        <f aca="false">IF(COUNTA(I169:L169)=0,"",INDEX(Fields!$B$2:$B$50,MATCH(SUBSTITUTE(INDEX($N$1:$W$1,MATCH(MAX($N169:$W169),$N169:$W169,0)),"Score: ",""),Fields!$A$2:$A$50,0)))</f>
        <v/>
      </c>
      <c r="Y169" s="14" t="str">
        <f aca="true">IF(COUNTA(I169:L169)=0,"",IF(LARGE($N169:$W169,2)=0,"-",INDEX(Fields!$B$2:$B$50,MATCH(SUBSTITUTE(INDEX($N$1:$W$1,IF(LARGE($N169:$W169,2)=MAX($N169:$W169),MATCH(MAX($N169:$W169),OFFSET($N169:$W169,0,MATCH(MAX($N169:$W169),$N169:$W169,0),1,10-MATCH(MAX($N169:$W169),$N169:$W169,0)),0)+MATCH(MAX($N169:$W169),$N169:$W169,0),MATCH(LARGE($N169:$W169,2),$N169:$W169,0))),"Score: ",""),Fields!$A$2:$A$50,0))))</f>
        <v/>
      </c>
      <c r="Z169" s="14" t="str">
        <f aca="false">IF(M169="","",IFERROR(INDEX('3 Hazed Questions'!$O$2:$O$23,MATCH(1,INDEX(('3 Hazed Questions'!$A$2:$A$23="Q5")*('3 Hazed Questions'!$C$2:$C$23=M169),0),0))&amp;"",""))</f>
        <v/>
      </c>
      <c r="AA169" s="18"/>
      <c r="AB169" s="18"/>
      <c r="AC169" s="19"/>
      <c r="AD169" s="19"/>
      <c r="AE169" s="18"/>
      <c r="AF169" s="18"/>
      <c r="AG169" s="18"/>
    </row>
    <row r="170" customFormat="false" ht="15" hidden="false" customHeight="false" outlineLevel="0" collapsed="false">
      <c r="A170" s="18"/>
      <c r="B170" s="19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4" t="str">
        <f aca="false">IF(COUNTA(I170:L170)=0,"",SUMIFS('3 Hazed Questions'!$E$2:$E$23,'3 Hazed Questions'!$A$2:$A$23,"Q1",'3 Hazed Questions'!$C$2:$C$23,I170)+SUMIFS('3 Hazed Questions'!$E$2:$E$23,'3 Hazed Questions'!$A$2:$A$23,"Q2",'3 Hazed Questions'!$C$2:$C$23,J170)+SUMIFS('3 Hazed Questions'!$E$2:$E$23,'3 Hazed Questions'!$A$2:$A$23,"Q3",'3 Hazed Questions'!$C$2:$C$23,K170)+SUMIFS('3 Hazed Questions'!$E$2:$E$23,'3 Hazed Questions'!$A$2:$A$23,"Q4",'3 Hazed Questions'!$C$2:$C$23,L170))</f>
        <v/>
      </c>
      <c r="O170" s="14" t="str">
        <f aca="false">IF(COUNTA(I170:L170)=0,"",SUMIFS('3 Hazed Questions'!$F$2:$F$23,'3 Hazed Questions'!$A$2:$A$23,"Q1",'3 Hazed Questions'!$C$2:$C$23,I170)+SUMIFS('3 Hazed Questions'!$F$2:$F$23,'3 Hazed Questions'!$A$2:$A$23,"Q2",'3 Hazed Questions'!$C$2:$C$23,J170)+SUMIFS('3 Hazed Questions'!$F$2:$F$23,'3 Hazed Questions'!$A$2:$A$23,"Q3",'3 Hazed Questions'!$C$2:$C$23,K170)+SUMIFS('3 Hazed Questions'!$F$2:$F$23,'3 Hazed Questions'!$A$2:$A$23,"Q4",'3 Hazed Questions'!$C$2:$C$23,L170))</f>
        <v/>
      </c>
      <c r="P170" s="14" t="str">
        <f aca="false">IF(COUNTA(I170:L170)=0,"",SUMIFS('3 Hazed Questions'!$G$2:$G$23,'3 Hazed Questions'!$A$2:$A$23,"Q1",'3 Hazed Questions'!$C$2:$C$23,I170)+SUMIFS('3 Hazed Questions'!$G$2:$G$23,'3 Hazed Questions'!$A$2:$A$23,"Q2",'3 Hazed Questions'!$C$2:$C$23,J170)+SUMIFS('3 Hazed Questions'!$G$2:$G$23,'3 Hazed Questions'!$A$2:$A$23,"Q3",'3 Hazed Questions'!$C$2:$C$23,K170)+SUMIFS('3 Hazed Questions'!$G$2:$G$23,'3 Hazed Questions'!$A$2:$A$23,"Q4",'3 Hazed Questions'!$C$2:$C$23,L170))</f>
        <v/>
      </c>
      <c r="Q170" s="14" t="str">
        <f aca="false">IF(COUNTA(I170:L170)=0,"",SUMIFS('3 Hazed Questions'!$H$2:$H$23,'3 Hazed Questions'!$A$2:$A$23,"Q1",'3 Hazed Questions'!$C$2:$C$23,I170)+SUMIFS('3 Hazed Questions'!$H$2:$H$23,'3 Hazed Questions'!$A$2:$A$23,"Q2",'3 Hazed Questions'!$C$2:$C$23,J170)+SUMIFS('3 Hazed Questions'!$H$2:$H$23,'3 Hazed Questions'!$A$2:$A$23,"Q3",'3 Hazed Questions'!$C$2:$C$23,K170)+SUMIFS('3 Hazed Questions'!$H$2:$H$23,'3 Hazed Questions'!$A$2:$A$23,"Q4",'3 Hazed Questions'!$C$2:$C$23,L170))</f>
        <v/>
      </c>
      <c r="R170" s="14" t="str">
        <f aca="false">IF(COUNTA(I170:L170)=0,"",SUMIFS('3 Hazed Questions'!$I$2:$I$23,'3 Hazed Questions'!$A$2:$A$23,"Q1",'3 Hazed Questions'!$C$2:$C$23,I170)+SUMIFS('3 Hazed Questions'!$I$2:$I$23,'3 Hazed Questions'!$A$2:$A$23,"Q2",'3 Hazed Questions'!$C$2:$C$23,J170)+SUMIFS('3 Hazed Questions'!$I$2:$I$23,'3 Hazed Questions'!$A$2:$A$23,"Q3",'3 Hazed Questions'!$C$2:$C$23,K170)+SUMIFS('3 Hazed Questions'!$I$2:$I$23,'3 Hazed Questions'!$A$2:$A$23,"Q4",'3 Hazed Questions'!$C$2:$C$23,L170))</f>
        <v/>
      </c>
      <c r="S170" s="14" t="str">
        <f aca="false">IF(COUNTA(I170:L170)=0,"",SUMIFS('3 Hazed Questions'!$J$2:$J$23,'3 Hazed Questions'!$A$2:$A$23,"Q1",'3 Hazed Questions'!$C$2:$C$23,I170)+SUMIFS('3 Hazed Questions'!$J$2:$J$23,'3 Hazed Questions'!$A$2:$A$23,"Q2",'3 Hazed Questions'!$C$2:$C$23,J170)+SUMIFS('3 Hazed Questions'!$J$2:$J$23,'3 Hazed Questions'!$A$2:$A$23,"Q3",'3 Hazed Questions'!$C$2:$C$23,K170)+SUMIFS('3 Hazed Questions'!$J$2:$J$23,'3 Hazed Questions'!$A$2:$A$23,"Q4",'3 Hazed Questions'!$C$2:$C$23,L170))</f>
        <v/>
      </c>
      <c r="T170" s="14" t="str">
        <f aca="false">IF(COUNTA(I170:L170)=0,"",SUMIFS('3 Hazed Questions'!$K$2:$K$23,'3 Hazed Questions'!$A$2:$A$23,"Q1",'3 Hazed Questions'!$C$2:$C$23,I170)+SUMIFS('3 Hazed Questions'!$K$2:$K$23,'3 Hazed Questions'!$A$2:$A$23,"Q2",'3 Hazed Questions'!$C$2:$C$23,J170)+SUMIFS('3 Hazed Questions'!$K$2:$K$23,'3 Hazed Questions'!$A$2:$A$23,"Q3",'3 Hazed Questions'!$C$2:$C$23,K170)+SUMIFS('3 Hazed Questions'!$K$2:$K$23,'3 Hazed Questions'!$A$2:$A$23,"Q4",'3 Hazed Questions'!$C$2:$C$23,L170))</f>
        <v/>
      </c>
      <c r="U170" s="14" t="str">
        <f aca="false">IF(COUNTA(I170:L170)=0,"",SUMIFS('3 Hazed Questions'!$L$2:$L$23,'3 Hazed Questions'!$A$2:$A$23,"Q1",'3 Hazed Questions'!$C$2:$C$23,I170)+SUMIFS('3 Hazed Questions'!$L$2:$L$23,'3 Hazed Questions'!$A$2:$A$23,"Q2",'3 Hazed Questions'!$C$2:$C$23,J170)+SUMIFS('3 Hazed Questions'!$L$2:$L$23,'3 Hazed Questions'!$A$2:$A$23,"Q3",'3 Hazed Questions'!$C$2:$C$23,K170)+SUMIFS('3 Hazed Questions'!$L$2:$L$23,'3 Hazed Questions'!$A$2:$A$23,"Q4",'3 Hazed Questions'!$C$2:$C$23,L170))</f>
        <v/>
      </c>
      <c r="V170" s="14" t="str">
        <f aca="false">IF(COUNTA(I170:L170)=0,"",SUMIFS('3 Hazed Questions'!$M$2:$M$23,'3 Hazed Questions'!$A$2:$A$23,"Q1",'3 Hazed Questions'!$C$2:$C$23,I170)+SUMIFS('3 Hazed Questions'!$M$2:$M$23,'3 Hazed Questions'!$A$2:$A$23,"Q2",'3 Hazed Questions'!$C$2:$C$23,J170)+SUMIFS('3 Hazed Questions'!$M$2:$M$23,'3 Hazed Questions'!$A$2:$A$23,"Q3",'3 Hazed Questions'!$C$2:$C$23,K170)+SUMIFS('3 Hazed Questions'!$M$2:$M$23,'3 Hazed Questions'!$A$2:$A$23,"Q4",'3 Hazed Questions'!$C$2:$C$23,L170))</f>
        <v/>
      </c>
      <c r="W170" s="14" t="str">
        <f aca="false">IF(COUNTA(I170:L170)=0,"",SUMIFS('3 Hazed Questions'!$N$2:$N$23,'3 Hazed Questions'!$A$2:$A$23,"Q1",'3 Hazed Questions'!$C$2:$C$23,I170)+SUMIFS('3 Hazed Questions'!$N$2:$N$23,'3 Hazed Questions'!$A$2:$A$23,"Q2",'3 Hazed Questions'!$C$2:$C$23,J170)+SUMIFS('3 Hazed Questions'!$N$2:$N$23,'3 Hazed Questions'!$A$2:$A$23,"Q3",'3 Hazed Questions'!$C$2:$C$23,K170)+SUMIFS('3 Hazed Questions'!$N$2:$N$23,'3 Hazed Questions'!$A$2:$A$23,"Q4",'3 Hazed Questions'!$C$2:$C$23,L170))</f>
        <v/>
      </c>
      <c r="X170" s="14" t="str">
        <f aca="false">IF(COUNTA(I170:L170)=0,"",INDEX(Fields!$B$2:$B$50,MATCH(SUBSTITUTE(INDEX($N$1:$W$1,MATCH(MAX($N170:$W170),$N170:$W170,0)),"Score: ",""),Fields!$A$2:$A$50,0)))</f>
        <v/>
      </c>
      <c r="Y170" s="14" t="str">
        <f aca="true">IF(COUNTA(I170:L170)=0,"",IF(LARGE($N170:$W170,2)=0,"-",INDEX(Fields!$B$2:$B$50,MATCH(SUBSTITUTE(INDEX($N$1:$W$1,IF(LARGE($N170:$W170,2)=MAX($N170:$W170),MATCH(MAX($N170:$W170),OFFSET($N170:$W170,0,MATCH(MAX($N170:$W170),$N170:$W170,0),1,10-MATCH(MAX($N170:$W170),$N170:$W170,0)),0)+MATCH(MAX($N170:$W170),$N170:$W170,0),MATCH(LARGE($N170:$W170,2),$N170:$W170,0))),"Score: ",""),Fields!$A$2:$A$50,0))))</f>
        <v/>
      </c>
      <c r="Z170" s="14" t="str">
        <f aca="false">IF(M170="","",IFERROR(INDEX('3 Hazed Questions'!$O$2:$O$23,MATCH(1,INDEX(('3 Hazed Questions'!$A$2:$A$23="Q5")*('3 Hazed Questions'!$C$2:$C$23=M170),0),0))&amp;"",""))</f>
        <v/>
      </c>
      <c r="AA170" s="18"/>
      <c r="AB170" s="18"/>
      <c r="AC170" s="19"/>
      <c r="AD170" s="19"/>
      <c r="AE170" s="18"/>
      <c r="AF170" s="18"/>
      <c r="AG170" s="18"/>
    </row>
    <row r="171" customFormat="false" ht="15" hidden="false" customHeight="false" outlineLevel="0" collapsed="false">
      <c r="A171" s="18"/>
      <c r="B171" s="19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4" t="str">
        <f aca="false">IF(COUNTA(I171:L171)=0,"",SUMIFS('3 Hazed Questions'!$E$2:$E$23,'3 Hazed Questions'!$A$2:$A$23,"Q1",'3 Hazed Questions'!$C$2:$C$23,I171)+SUMIFS('3 Hazed Questions'!$E$2:$E$23,'3 Hazed Questions'!$A$2:$A$23,"Q2",'3 Hazed Questions'!$C$2:$C$23,J171)+SUMIFS('3 Hazed Questions'!$E$2:$E$23,'3 Hazed Questions'!$A$2:$A$23,"Q3",'3 Hazed Questions'!$C$2:$C$23,K171)+SUMIFS('3 Hazed Questions'!$E$2:$E$23,'3 Hazed Questions'!$A$2:$A$23,"Q4",'3 Hazed Questions'!$C$2:$C$23,L171))</f>
        <v/>
      </c>
      <c r="O171" s="14" t="str">
        <f aca="false">IF(COUNTA(I171:L171)=0,"",SUMIFS('3 Hazed Questions'!$F$2:$F$23,'3 Hazed Questions'!$A$2:$A$23,"Q1",'3 Hazed Questions'!$C$2:$C$23,I171)+SUMIFS('3 Hazed Questions'!$F$2:$F$23,'3 Hazed Questions'!$A$2:$A$23,"Q2",'3 Hazed Questions'!$C$2:$C$23,J171)+SUMIFS('3 Hazed Questions'!$F$2:$F$23,'3 Hazed Questions'!$A$2:$A$23,"Q3",'3 Hazed Questions'!$C$2:$C$23,K171)+SUMIFS('3 Hazed Questions'!$F$2:$F$23,'3 Hazed Questions'!$A$2:$A$23,"Q4",'3 Hazed Questions'!$C$2:$C$23,L171))</f>
        <v/>
      </c>
      <c r="P171" s="14" t="str">
        <f aca="false">IF(COUNTA(I171:L171)=0,"",SUMIFS('3 Hazed Questions'!$G$2:$G$23,'3 Hazed Questions'!$A$2:$A$23,"Q1",'3 Hazed Questions'!$C$2:$C$23,I171)+SUMIFS('3 Hazed Questions'!$G$2:$G$23,'3 Hazed Questions'!$A$2:$A$23,"Q2",'3 Hazed Questions'!$C$2:$C$23,J171)+SUMIFS('3 Hazed Questions'!$G$2:$G$23,'3 Hazed Questions'!$A$2:$A$23,"Q3",'3 Hazed Questions'!$C$2:$C$23,K171)+SUMIFS('3 Hazed Questions'!$G$2:$G$23,'3 Hazed Questions'!$A$2:$A$23,"Q4",'3 Hazed Questions'!$C$2:$C$23,L171))</f>
        <v/>
      </c>
      <c r="Q171" s="14" t="str">
        <f aca="false">IF(COUNTA(I171:L171)=0,"",SUMIFS('3 Hazed Questions'!$H$2:$H$23,'3 Hazed Questions'!$A$2:$A$23,"Q1",'3 Hazed Questions'!$C$2:$C$23,I171)+SUMIFS('3 Hazed Questions'!$H$2:$H$23,'3 Hazed Questions'!$A$2:$A$23,"Q2",'3 Hazed Questions'!$C$2:$C$23,J171)+SUMIFS('3 Hazed Questions'!$H$2:$H$23,'3 Hazed Questions'!$A$2:$A$23,"Q3",'3 Hazed Questions'!$C$2:$C$23,K171)+SUMIFS('3 Hazed Questions'!$H$2:$H$23,'3 Hazed Questions'!$A$2:$A$23,"Q4",'3 Hazed Questions'!$C$2:$C$23,L171))</f>
        <v/>
      </c>
      <c r="R171" s="14" t="str">
        <f aca="false">IF(COUNTA(I171:L171)=0,"",SUMIFS('3 Hazed Questions'!$I$2:$I$23,'3 Hazed Questions'!$A$2:$A$23,"Q1",'3 Hazed Questions'!$C$2:$C$23,I171)+SUMIFS('3 Hazed Questions'!$I$2:$I$23,'3 Hazed Questions'!$A$2:$A$23,"Q2",'3 Hazed Questions'!$C$2:$C$23,J171)+SUMIFS('3 Hazed Questions'!$I$2:$I$23,'3 Hazed Questions'!$A$2:$A$23,"Q3",'3 Hazed Questions'!$C$2:$C$23,K171)+SUMIFS('3 Hazed Questions'!$I$2:$I$23,'3 Hazed Questions'!$A$2:$A$23,"Q4",'3 Hazed Questions'!$C$2:$C$23,L171))</f>
        <v/>
      </c>
      <c r="S171" s="14" t="str">
        <f aca="false">IF(COUNTA(I171:L171)=0,"",SUMIFS('3 Hazed Questions'!$J$2:$J$23,'3 Hazed Questions'!$A$2:$A$23,"Q1",'3 Hazed Questions'!$C$2:$C$23,I171)+SUMIFS('3 Hazed Questions'!$J$2:$J$23,'3 Hazed Questions'!$A$2:$A$23,"Q2",'3 Hazed Questions'!$C$2:$C$23,J171)+SUMIFS('3 Hazed Questions'!$J$2:$J$23,'3 Hazed Questions'!$A$2:$A$23,"Q3",'3 Hazed Questions'!$C$2:$C$23,K171)+SUMIFS('3 Hazed Questions'!$J$2:$J$23,'3 Hazed Questions'!$A$2:$A$23,"Q4",'3 Hazed Questions'!$C$2:$C$23,L171))</f>
        <v/>
      </c>
      <c r="T171" s="14" t="str">
        <f aca="false">IF(COUNTA(I171:L171)=0,"",SUMIFS('3 Hazed Questions'!$K$2:$K$23,'3 Hazed Questions'!$A$2:$A$23,"Q1",'3 Hazed Questions'!$C$2:$C$23,I171)+SUMIFS('3 Hazed Questions'!$K$2:$K$23,'3 Hazed Questions'!$A$2:$A$23,"Q2",'3 Hazed Questions'!$C$2:$C$23,J171)+SUMIFS('3 Hazed Questions'!$K$2:$K$23,'3 Hazed Questions'!$A$2:$A$23,"Q3",'3 Hazed Questions'!$C$2:$C$23,K171)+SUMIFS('3 Hazed Questions'!$K$2:$K$23,'3 Hazed Questions'!$A$2:$A$23,"Q4",'3 Hazed Questions'!$C$2:$C$23,L171))</f>
        <v/>
      </c>
      <c r="U171" s="14" t="str">
        <f aca="false">IF(COUNTA(I171:L171)=0,"",SUMIFS('3 Hazed Questions'!$L$2:$L$23,'3 Hazed Questions'!$A$2:$A$23,"Q1",'3 Hazed Questions'!$C$2:$C$23,I171)+SUMIFS('3 Hazed Questions'!$L$2:$L$23,'3 Hazed Questions'!$A$2:$A$23,"Q2",'3 Hazed Questions'!$C$2:$C$23,J171)+SUMIFS('3 Hazed Questions'!$L$2:$L$23,'3 Hazed Questions'!$A$2:$A$23,"Q3",'3 Hazed Questions'!$C$2:$C$23,K171)+SUMIFS('3 Hazed Questions'!$L$2:$L$23,'3 Hazed Questions'!$A$2:$A$23,"Q4",'3 Hazed Questions'!$C$2:$C$23,L171))</f>
        <v/>
      </c>
      <c r="V171" s="14" t="str">
        <f aca="false">IF(COUNTA(I171:L171)=0,"",SUMIFS('3 Hazed Questions'!$M$2:$M$23,'3 Hazed Questions'!$A$2:$A$23,"Q1",'3 Hazed Questions'!$C$2:$C$23,I171)+SUMIFS('3 Hazed Questions'!$M$2:$M$23,'3 Hazed Questions'!$A$2:$A$23,"Q2",'3 Hazed Questions'!$C$2:$C$23,J171)+SUMIFS('3 Hazed Questions'!$M$2:$M$23,'3 Hazed Questions'!$A$2:$A$23,"Q3",'3 Hazed Questions'!$C$2:$C$23,K171)+SUMIFS('3 Hazed Questions'!$M$2:$M$23,'3 Hazed Questions'!$A$2:$A$23,"Q4",'3 Hazed Questions'!$C$2:$C$23,L171))</f>
        <v/>
      </c>
      <c r="W171" s="14" t="str">
        <f aca="false">IF(COUNTA(I171:L171)=0,"",SUMIFS('3 Hazed Questions'!$N$2:$N$23,'3 Hazed Questions'!$A$2:$A$23,"Q1",'3 Hazed Questions'!$C$2:$C$23,I171)+SUMIFS('3 Hazed Questions'!$N$2:$N$23,'3 Hazed Questions'!$A$2:$A$23,"Q2",'3 Hazed Questions'!$C$2:$C$23,J171)+SUMIFS('3 Hazed Questions'!$N$2:$N$23,'3 Hazed Questions'!$A$2:$A$23,"Q3",'3 Hazed Questions'!$C$2:$C$23,K171)+SUMIFS('3 Hazed Questions'!$N$2:$N$23,'3 Hazed Questions'!$A$2:$A$23,"Q4",'3 Hazed Questions'!$C$2:$C$23,L171))</f>
        <v/>
      </c>
      <c r="X171" s="14" t="str">
        <f aca="false">IF(COUNTA(I171:L171)=0,"",INDEX(Fields!$B$2:$B$50,MATCH(SUBSTITUTE(INDEX($N$1:$W$1,MATCH(MAX($N171:$W171),$N171:$W171,0)),"Score: ",""),Fields!$A$2:$A$50,0)))</f>
        <v/>
      </c>
      <c r="Y171" s="14" t="str">
        <f aca="true">IF(COUNTA(I171:L171)=0,"",IF(LARGE($N171:$W171,2)=0,"-",INDEX(Fields!$B$2:$B$50,MATCH(SUBSTITUTE(INDEX($N$1:$W$1,IF(LARGE($N171:$W171,2)=MAX($N171:$W171),MATCH(MAX($N171:$W171),OFFSET($N171:$W171,0,MATCH(MAX($N171:$W171),$N171:$W171,0),1,10-MATCH(MAX($N171:$W171),$N171:$W171,0)),0)+MATCH(MAX($N171:$W171),$N171:$W171,0),MATCH(LARGE($N171:$W171,2),$N171:$W171,0))),"Score: ",""),Fields!$A$2:$A$50,0))))</f>
        <v/>
      </c>
      <c r="Z171" s="14" t="str">
        <f aca="false">IF(M171="","",IFERROR(INDEX('3 Hazed Questions'!$O$2:$O$23,MATCH(1,INDEX(('3 Hazed Questions'!$A$2:$A$23="Q5")*('3 Hazed Questions'!$C$2:$C$23=M171),0),0))&amp;"",""))</f>
        <v/>
      </c>
      <c r="AA171" s="18"/>
      <c r="AB171" s="18"/>
      <c r="AC171" s="19"/>
      <c r="AD171" s="19"/>
      <c r="AE171" s="18"/>
      <c r="AF171" s="18"/>
      <c r="AG171" s="18"/>
    </row>
    <row r="172" customFormat="false" ht="15" hidden="false" customHeight="false" outlineLevel="0" collapsed="false">
      <c r="A172" s="18"/>
      <c r="B172" s="19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4" t="str">
        <f aca="false">IF(COUNTA(I172:L172)=0,"",SUMIFS('3 Hazed Questions'!$E$2:$E$23,'3 Hazed Questions'!$A$2:$A$23,"Q1",'3 Hazed Questions'!$C$2:$C$23,I172)+SUMIFS('3 Hazed Questions'!$E$2:$E$23,'3 Hazed Questions'!$A$2:$A$23,"Q2",'3 Hazed Questions'!$C$2:$C$23,J172)+SUMIFS('3 Hazed Questions'!$E$2:$E$23,'3 Hazed Questions'!$A$2:$A$23,"Q3",'3 Hazed Questions'!$C$2:$C$23,K172)+SUMIFS('3 Hazed Questions'!$E$2:$E$23,'3 Hazed Questions'!$A$2:$A$23,"Q4",'3 Hazed Questions'!$C$2:$C$23,L172))</f>
        <v/>
      </c>
      <c r="O172" s="14" t="str">
        <f aca="false">IF(COUNTA(I172:L172)=0,"",SUMIFS('3 Hazed Questions'!$F$2:$F$23,'3 Hazed Questions'!$A$2:$A$23,"Q1",'3 Hazed Questions'!$C$2:$C$23,I172)+SUMIFS('3 Hazed Questions'!$F$2:$F$23,'3 Hazed Questions'!$A$2:$A$23,"Q2",'3 Hazed Questions'!$C$2:$C$23,J172)+SUMIFS('3 Hazed Questions'!$F$2:$F$23,'3 Hazed Questions'!$A$2:$A$23,"Q3",'3 Hazed Questions'!$C$2:$C$23,K172)+SUMIFS('3 Hazed Questions'!$F$2:$F$23,'3 Hazed Questions'!$A$2:$A$23,"Q4",'3 Hazed Questions'!$C$2:$C$23,L172))</f>
        <v/>
      </c>
      <c r="P172" s="14" t="str">
        <f aca="false">IF(COUNTA(I172:L172)=0,"",SUMIFS('3 Hazed Questions'!$G$2:$G$23,'3 Hazed Questions'!$A$2:$A$23,"Q1",'3 Hazed Questions'!$C$2:$C$23,I172)+SUMIFS('3 Hazed Questions'!$G$2:$G$23,'3 Hazed Questions'!$A$2:$A$23,"Q2",'3 Hazed Questions'!$C$2:$C$23,J172)+SUMIFS('3 Hazed Questions'!$G$2:$G$23,'3 Hazed Questions'!$A$2:$A$23,"Q3",'3 Hazed Questions'!$C$2:$C$23,K172)+SUMIFS('3 Hazed Questions'!$G$2:$G$23,'3 Hazed Questions'!$A$2:$A$23,"Q4",'3 Hazed Questions'!$C$2:$C$23,L172))</f>
        <v/>
      </c>
      <c r="Q172" s="14" t="str">
        <f aca="false">IF(COUNTA(I172:L172)=0,"",SUMIFS('3 Hazed Questions'!$H$2:$H$23,'3 Hazed Questions'!$A$2:$A$23,"Q1",'3 Hazed Questions'!$C$2:$C$23,I172)+SUMIFS('3 Hazed Questions'!$H$2:$H$23,'3 Hazed Questions'!$A$2:$A$23,"Q2",'3 Hazed Questions'!$C$2:$C$23,J172)+SUMIFS('3 Hazed Questions'!$H$2:$H$23,'3 Hazed Questions'!$A$2:$A$23,"Q3",'3 Hazed Questions'!$C$2:$C$23,K172)+SUMIFS('3 Hazed Questions'!$H$2:$H$23,'3 Hazed Questions'!$A$2:$A$23,"Q4",'3 Hazed Questions'!$C$2:$C$23,L172))</f>
        <v/>
      </c>
      <c r="R172" s="14" t="str">
        <f aca="false">IF(COUNTA(I172:L172)=0,"",SUMIFS('3 Hazed Questions'!$I$2:$I$23,'3 Hazed Questions'!$A$2:$A$23,"Q1",'3 Hazed Questions'!$C$2:$C$23,I172)+SUMIFS('3 Hazed Questions'!$I$2:$I$23,'3 Hazed Questions'!$A$2:$A$23,"Q2",'3 Hazed Questions'!$C$2:$C$23,J172)+SUMIFS('3 Hazed Questions'!$I$2:$I$23,'3 Hazed Questions'!$A$2:$A$23,"Q3",'3 Hazed Questions'!$C$2:$C$23,K172)+SUMIFS('3 Hazed Questions'!$I$2:$I$23,'3 Hazed Questions'!$A$2:$A$23,"Q4",'3 Hazed Questions'!$C$2:$C$23,L172))</f>
        <v/>
      </c>
      <c r="S172" s="14" t="str">
        <f aca="false">IF(COUNTA(I172:L172)=0,"",SUMIFS('3 Hazed Questions'!$J$2:$J$23,'3 Hazed Questions'!$A$2:$A$23,"Q1",'3 Hazed Questions'!$C$2:$C$23,I172)+SUMIFS('3 Hazed Questions'!$J$2:$J$23,'3 Hazed Questions'!$A$2:$A$23,"Q2",'3 Hazed Questions'!$C$2:$C$23,J172)+SUMIFS('3 Hazed Questions'!$J$2:$J$23,'3 Hazed Questions'!$A$2:$A$23,"Q3",'3 Hazed Questions'!$C$2:$C$23,K172)+SUMIFS('3 Hazed Questions'!$J$2:$J$23,'3 Hazed Questions'!$A$2:$A$23,"Q4",'3 Hazed Questions'!$C$2:$C$23,L172))</f>
        <v/>
      </c>
      <c r="T172" s="14" t="str">
        <f aca="false">IF(COUNTA(I172:L172)=0,"",SUMIFS('3 Hazed Questions'!$K$2:$K$23,'3 Hazed Questions'!$A$2:$A$23,"Q1",'3 Hazed Questions'!$C$2:$C$23,I172)+SUMIFS('3 Hazed Questions'!$K$2:$K$23,'3 Hazed Questions'!$A$2:$A$23,"Q2",'3 Hazed Questions'!$C$2:$C$23,J172)+SUMIFS('3 Hazed Questions'!$K$2:$K$23,'3 Hazed Questions'!$A$2:$A$23,"Q3",'3 Hazed Questions'!$C$2:$C$23,K172)+SUMIFS('3 Hazed Questions'!$K$2:$K$23,'3 Hazed Questions'!$A$2:$A$23,"Q4",'3 Hazed Questions'!$C$2:$C$23,L172))</f>
        <v/>
      </c>
      <c r="U172" s="14" t="str">
        <f aca="false">IF(COUNTA(I172:L172)=0,"",SUMIFS('3 Hazed Questions'!$L$2:$L$23,'3 Hazed Questions'!$A$2:$A$23,"Q1",'3 Hazed Questions'!$C$2:$C$23,I172)+SUMIFS('3 Hazed Questions'!$L$2:$L$23,'3 Hazed Questions'!$A$2:$A$23,"Q2",'3 Hazed Questions'!$C$2:$C$23,J172)+SUMIFS('3 Hazed Questions'!$L$2:$L$23,'3 Hazed Questions'!$A$2:$A$23,"Q3",'3 Hazed Questions'!$C$2:$C$23,K172)+SUMIFS('3 Hazed Questions'!$L$2:$L$23,'3 Hazed Questions'!$A$2:$A$23,"Q4",'3 Hazed Questions'!$C$2:$C$23,L172))</f>
        <v/>
      </c>
      <c r="V172" s="14" t="str">
        <f aca="false">IF(COUNTA(I172:L172)=0,"",SUMIFS('3 Hazed Questions'!$M$2:$M$23,'3 Hazed Questions'!$A$2:$A$23,"Q1",'3 Hazed Questions'!$C$2:$C$23,I172)+SUMIFS('3 Hazed Questions'!$M$2:$M$23,'3 Hazed Questions'!$A$2:$A$23,"Q2",'3 Hazed Questions'!$C$2:$C$23,J172)+SUMIFS('3 Hazed Questions'!$M$2:$M$23,'3 Hazed Questions'!$A$2:$A$23,"Q3",'3 Hazed Questions'!$C$2:$C$23,K172)+SUMIFS('3 Hazed Questions'!$M$2:$M$23,'3 Hazed Questions'!$A$2:$A$23,"Q4",'3 Hazed Questions'!$C$2:$C$23,L172))</f>
        <v/>
      </c>
      <c r="W172" s="14" t="str">
        <f aca="false">IF(COUNTA(I172:L172)=0,"",SUMIFS('3 Hazed Questions'!$N$2:$N$23,'3 Hazed Questions'!$A$2:$A$23,"Q1",'3 Hazed Questions'!$C$2:$C$23,I172)+SUMIFS('3 Hazed Questions'!$N$2:$N$23,'3 Hazed Questions'!$A$2:$A$23,"Q2",'3 Hazed Questions'!$C$2:$C$23,J172)+SUMIFS('3 Hazed Questions'!$N$2:$N$23,'3 Hazed Questions'!$A$2:$A$23,"Q3",'3 Hazed Questions'!$C$2:$C$23,K172)+SUMIFS('3 Hazed Questions'!$N$2:$N$23,'3 Hazed Questions'!$A$2:$A$23,"Q4",'3 Hazed Questions'!$C$2:$C$23,L172))</f>
        <v/>
      </c>
      <c r="X172" s="14" t="str">
        <f aca="false">IF(COUNTA(I172:L172)=0,"",INDEX(Fields!$B$2:$B$50,MATCH(SUBSTITUTE(INDEX($N$1:$W$1,MATCH(MAX($N172:$W172),$N172:$W172,0)),"Score: ",""),Fields!$A$2:$A$50,0)))</f>
        <v/>
      </c>
      <c r="Y172" s="14" t="str">
        <f aca="true">IF(COUNTA(I172:L172)=0,"",IF(LARGE($N172:$W172,2)=0,"-",INDEX(Fields!$B$2:$B$50,MATCH(SUBSTITUTE(INDEX($N$1:$W$1,IF(LARGE($N172:$W172,2)=MAX($N172:$W172),MATCH(MAX($N172:$W172),OFFSET($N172:$W172,0,MATCH(MAX($N172:$W172),$N172:$W172,0),1,10-MATCH(MAX($N172:$W172),$N172:$W172,0)),0)+MATCH(MAX($N172:$W172),$N172:$W172,0),MATCH(LARGE($N172:$W172,2),$N172:$W172,0))),"Score: ",""),Fields!$A$2:$A$50,0))))</f>
        <v/>
      </c>
      <c r="Z172" s="14" t="str">
        <f aca="false">IF(M172="","",IFERROR(INDEX('3 Hazed Questions'!$O$2:$O$23,MATCH(1,INDEX(('3 Hazed Questions'!$A$2:$A$23="Q5")*('3 Hazed Questions'!$C$2:$C$23=M172),0),0))&amp;"",""))</f>
        <v/>
      </c>
      <c r="AA172" s="18"/>
      <c r="AB172" s="18"/>
      <c r="AC172" s="19"/>
      <c r="AD172" s="19"/>
      <c r="AE172" s="18"/>
      <c r="AF172" s="18"/>
      <c r="AG172" s="18"/>
    </row>
    <row r="173" customFormat="false" ht="15" hidden="false" customHeight="false" outlineLevel="0" collapsed="false">
      <c r="A173" s="18"/>
      <c r="B173" s="19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4" t="str">
        <f aca="false">IF(COUNTA(I173:L173)=0,"",SUMIFS('3 Hazed Questions'!$E$2:$E$23,'3 Hazed Questions'!$A$2:$A$23,"Q1",'3 Hazed Questions'!$C$2:$C$23,I173)+SUMIFS('3 Hazed Questions'!$E$2:$E$23,'3 Hazed Questions'!$A$2:$A$23,"Q2",'3 Hazed Questions'!$C$2:$C$23,J173)+SUMIFS('3 Hazed Questions'!$E$2:$E$23,'3 Hazed Questions'!$A$2:$A$23,"Q3",'3 Hazed Questions'!$C$2:$C$23,K173)+SUMIFS('3 Hazed Questions'!$E$2:$E$23,'3 Hazed Questions'!$A$2:$A$23,"Q4",'3 Hazed Questions'!$C$2:$C$23,L173))</f>
        <v/>
      </c>
      <c r="O173" s="14" t="str">
        <f aca="false">IF(COUNTA(I173:L173)=0,"",SUMIFS('3 Hazed Questions'!$F$2:$F$23,'3 Hazed Questions'!$A$2:$A$23,"Q1",'3 Hazed Questions'!$C$2:$C$23,I173)+SUMIFS('3 Hazed Questions'!$F$2:$F$23,'3 Hazed Questions'!$A$2:$A$23,"Q2",'3 Hazed Questions'!$C$2:$C$23,J173)+SUMIFS('3 Hazed Questions'!$F$2:$F$23,'3 Hazed Questions'!$A$2:$A$23,"Q3",'3 Hazed Questions'!$C$2:$C$23,K173)+SUMIFS('3 Hazed Questions'!$F$2:$F$23,'3 Hazed Questions'!$A$2:$A$23,"Q4",'3 Hazed Questions'!$C$2:$C$23,L173))</f>
        <v/>
      </c>
      <c r="P173" s="14" t="str">
        <f aca="false">IF(COUNTA(I173:L173)=0,"",SUMIFS('3 Hazed Questions'!$G$2:$G$23,'3 Hazed Questions'!$A$2:$A$23,"Q1",'3 Hazed Questions'!$C$2:$C$23,I173)+SUMIFS('3 Hazed Questions'!$G$2:$G$23,'3 Hazed Questions'!$A$2:$A$23,"Q2",'3 Hazed Questions'!$C$2:$C$23,J173)+SUMIFS('3 Hazed Questions'!$G$2:$G$23,'3 Hazed Questions'!$A$2:$A$23,"Q3",'3 Hazed Questions'!$C$2:$C$23,K173)+SUMIFS('3 Hazed Questions'!$G$2:$G$23,'3 Hazed Questions'!$A$2:$A$23,"Q4",'3 Hazed Questions'!$C$2:$C$23,L173))</f>
        <v/>
      </c>
      <c r="Q173" s="14" t="str">
        <f aca="false">IF(COUNTA(I173:L173)=0,"",SUMIFS('3 Hazed Questions'!$H$2:$H$23,'3 Hazed Questions'!$A$2:$A$23,"Q1",'3 Hazed Questions'!$C$2:$C$23,I173)+SUMIFS('3 Hazed Questions'!$H$2:$H$23,'3 Hazed Questions'!$A$2:$A$23,"Q2",'3 Hazed Questions'!$C$2:$C$23,J173)+SUMIFS('3 Hazed Questions'!$H$2:$H$23,'3 Hazed Questions'!$A$2:$A$23,"Q3",'3 Hazed Questions'!$C$2:$C$23,K173)+SUMIFS('3 Hazed Questions'!$H$2:$H$23,'3 Hazed Questions'!$A$2:$A$23,"Q4",'3 Hazed Questions'!$C$2:$C$23,L173))</f>
        <v/>
      </c>
      <c r="R173" s="14" t="str">
        <f aca="false">IF(COUNTA(I173:L173)=0,"",SUMIFS('3 Hazed Questions'!$I$2:$I$23,'3 Hazed Questions'!$A$2:$A$23,"Q1",'3 Hazed Questions'!$C$2:$C$23,I173)+SUMIFS('3 Hazed Questions'!$I$2:$I$23,'3 Hazed Questions'!$A$2:$A$23,"Q2",'3 Hazed Questions'!$C$2:$C$23,J173)+SUMIFS('3 Hazed Questions'!$I$2:$I$23,'3 Hazed Questions'!$A$2:$A$23,"Q3",'3 Hazed Questions'!$C$2:$C$23,K173)+SUMIFS('3 Hazed Questions'!$I$2:$I$23,'3 Hazed Questions'!$A$2:$A$23,"Q4",'3 Hazed Questions'!$C$2:$C$23,L173))</f>
        <v/>
      </c>
      <c r="S173" s="14" t="str">
        <f aca="false">IF(COUNTA(I173:L173)=0,"",SUMIFS('3 Hazed Questions'!$J$2:$J$23,'3 Hazed Questions'!$A$2:$A$23,"Q1",'3 Hazed Questions'!$C$2:$C$23,I173)+SUMIFS('3 Hazed Questions'!$J$2:$J$23,'3 Hazed Questions'!$A$2:$A$23,"Q2",'3 Hazed Questions'!$C$2:$C$23,J173)+SUMIFS('3 Hazed Questions'!$J$2:$J$23,'3 Hazed Questions'!$A$2:$A$23,"Q3",'3 Hazed Questions'!$C$2:$C$23,K173)+SUMIFS('3 Hazed Questions'!$J$2:$J$23,'3 Hazed Questions'!$A$2:$A$23,"Q4",'3 Hazed Questions'!$C$2:$C$23,L173))</f>
        <v/>
      </c>
      <c r="T173" s="14" t="str">
        <f aca="false">IF(COUNTA(I173:L173)=0,"",SUMIFS('3 Hazed Questions'!$K$2:$K$23,'3 Hazed Questions'!$A$2:$A$23,"Q1",'3 Hazed Questions'!$C$2:$C$23,I173)+SUMIFS('3 Hazed Questions'!$K$2:$K$23,'3 Hazed Questions'!$A$2:$A$23,"Q2",'3 Hazed Questions'!$C$2:$C$23,J173)+SUMIFS('3 Hazed Questions'!$K$2:$K$23,'3 Hazed Questions'!$A$2:$A$23,"Q3",'3 Hazed Questions'!$C$2:$C$23,K173)+SUMIFS('3 Hazed Questions'!$K$2:$K$23,'3 Hazed Questions'!$A$2:$A$23,"Q4",'3 Hazed Questions'!$C$2:$C$23,L173))</f>
        <v/>
      </c>
      <c r="U173" s="14" t="str">
        <f aca="false">IF(COUNTA(I173:L173)=0,"",SUMIFS('3 Hazed Questions'!$L$2:$L$23,'3 Hazed Questions'!$A$2:$A$23,"Q1",'3 Hazed Questions'!$C$2:$C$23,I173)+SUMIFS('3 Hazed Questions'!$L$2:$L$23,'3 Hazed Questions'!$A$2:$A$23,"Q2",'3 Hazed Questions'!$C$2:$C$23,J173)+SUMIFS('3 Hazed Questions'!$L$2:$L$23,'3 Hazed Questions'!$A$2:$A$23,"Q3",'3 Hazed Questions'!$C$2:$C$23,K173)+SUMIFS('3 Hazed Questions'!$L$2:$L$23,'3 Hazed Questions'!$A$2:$A$23,"Q4",'3 Hazed Questions'!$C$2:$C$23,L173))</f>
        <v/>
      </c>
      <c r="V173" s="14" t="str">
        <f aca="false">IF(COUNTA(I173:L173)=0,"",SUMIFS('3 Hazed Questions'!$M$2:$M$23,'3 Hazed Questions'!$A$2:$A$23,"Q1",'3 Hazed Questions'!$C$2:$C$23,I173)+SUMIFS('3 Hazed Questions'!$M$2:$M$23,'3 Hazed Questions'!$A$2:$A$23,"Q2",'3 Hazed Questions'!$C$2:$C$23,J173)+SUMIFS('3 Hazed Questions'!$M$2:$M$23,'3 Hazed Questions'!$A$2:$A$23,"Q3",'3 Hazed Questions'!$C$2:$C$23,K173)+SUMIFS('3 Hazed Questions'!$M$2:$M$23,'3 Hazed Questions'!$A$2:$A$23,"Q4",'3 Hazed Questions'!$C$2:$C$23,L173))</f>
        <v/>
      </c>
      <c r="W173" s="14" t="str">
        <f aca="false">IF(COUNTA(I173:L173)=0,"",SUMIFS('3 Hazed Questions'!$N$2:$N$23,'3 Hazed Questions'!$A$2:$A$23,"Q1",'3 Hazed Questions'!$C$2:$C$23,I173)+SUMIFS('3 Hazed Questions'!$N$2:$N$23,'3 Hazed Questions'!$A$2:$A$23,"Q2",'3 Hazed Questions'!$C$2:$C$23,J173)+SUMIFS('3 Hazed Questions'!$N$2:$N$23,'3 Hazed Questions'!$A$2:$A$23,"Q3",'3 Hazed Questions'!$C$2:$C$23,K173)+SUMIFS('3 Hazed Questions'!$N$2:$N$23,'3 Hazed Questions'!$A$2:$A$23,"Q4",'3 Hazed Questions'!$C$2:$C$23,L173))</f>
        <v/>
      </c>
      <c r="X173" s="14" t="str">
        <f aca="false">IF(COUNTA(I173:L173)=0,"",INDEX(Fields!$B$2:$B$50,MATCH(SUBSTITUTE(INDEX($N$1:$W$1,MATCH(MAX($N173:$W173),$N173:$W173,0)),"Score: ",""),Fields!$A$2:$A$50,0)))</f>
        <v/>
      </c>
      <c r="Y173" s="14" t="str">
        <f aca="true">IF(COUNTA(I173:L173)=0,"",IF(LARGE($N173:$W173,2)=0,"-",INDEX(Fields!$B$2:$B$50,MATCH(SUBSTITUTE(INDEX($N$1:$W$1,IF(LARGE($N173:$W173,2)=MAX($N173:$W173),MATCH(MAX($N173:$W173),OFFSET($N173:$W173,0,MATCH(MAX($N173:$W173),$N173:$W173,0),1,10-MATCH(MAX($N173:$W173),$N173:$W173,0)),0)+MATCH(MAX($N173:$W173),$N173:$W173,0),MATCH(LARGE($N173:$W173,2),$N173:$W173,0))),"Score: ",""),Fields!$A$2:$A$50,0))))</f>
        <v/>
      </c>
      <c r="Z173" s="14" t="str">
        <f aca="false">IF(M173="","",IFERROR(INDEX('3 Hazed Questions'!$O$2:$O$23,MATCH(1,INDEX(('3 Hazed Questions'!$A$2:$A$23="Q5")*('3 Hazed Questions'!$C$2:$C$23=M173),0),0))&amp;"",""))</f>
        <v/>
      </c>
      <c r="AA173" s="18"/>
      <c r="AB173" s="18"/>
      <c r="AC173" s="19"/>
      <c r="AD173" s="19"/>
      <c r="AE173" s="18"/>
      <c r="AF173" s="18"/>
      <c r="AG173" s="18"/>
    </row>
    <row r="174" customFormat="false" ht="15" hidden="false" customHeight="false" outlineLevel="0" collapsed="false">
      <c r="A174" s="18"/>
      <c r="B174" s="19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4" t="str">
        <f aca="false">IF(COUNTA(I174:L174)=0,"",SUMIFS('3 Hazed Questions'!$E$2:$E$23,'3 Hazed Questions'!$A$2:$A$23,"Q1",'3 Hazed Questions'!$C$2:$C$23,I174)+SUMIFS('3 Hazed Questions'!$E$2:$E$23,'3 Hazed Questions'!$A$2:$A$23,"Q2",'3 Hazed Questions'!$C$2:$C$23,J174)+SUMIFS('3 Hazed Questions'!$E$2:$E$23,'3 Hazed Questions'!$A$2:$A$23,"Q3",'3 Hazed Questions'!$C$2:$C$23,K174)+SUMIFS('3 Hazed Questions'!$E$2:$E$23,'3 Hazed Questions'!$A$2:$A$23,"Q4",'3 Hazed Questions'!$C$2:$C$23,L174))</f>
        <v/>
      </c>
      <c r="O174" s="14" t="str">
        <f aca="false">IF(COUNTA(I174:L174)=0,"",SUMIFS('3 Hazed Questions'!$F$2:$F$23,'3 Hazed Questions'!$A$2:$A$23,"Q1",'3 Hazed Questions'!$C$2:$C$23,I174)+SUMIFS('3 Hazed Questions'!$F$2:$F$23,'3 Hazed Questions'!$A$2:$A$23,"Q2",'3 Hazed Questions'!$C$2:$C$23,J174)+SUMIFS('3 Hazed Questions'!$F$2:$F$23,'3 Hazed Questions'!$A$2:$A$23,"Q3",'3 Hazed Questions'!$C$2:$C$23,K174)+SUMIFS('3 Hazed Questions'!$F$2:$F$23,'3 Hazed Questions'!$A$2:$A$23,"Q4",'3 Hazed Questions'!$C$2:$C$23,L174))</f>
        <v/>
      </c>
      <c r="P174" s="14" t="str">
        <f aca="false">IF(COUNTA(I174:L174)=0,"",SUMIFS('3 Hazed Questions'!$G$2:$G$23,'3 Hazed Questions'!$A$2:$A$23,"Q1",'3 Hazed Questions'!$C$2:$C$23,I174)+SUMIFS('3 Hazed Questions'!$G$2:$G$23,'3 Hazed Questions'!$A$2:$A$23,"Q2",'3 Hazed Questions'!$C$2:$C$23,J174)+SUMIFS('3 Hazed Questions'!$G$2:$G$23,'3 Hazed Questions'!$A$2:$A$23,"Q3",'3 Hazed Questions'!$C$2:$C$23,K174)+SUMIFS('3 Hazed Questions'!$G$2:$G$23,'3 Hazed Questions'!$A$2:$A$23,"Q4",'3 Hazed Questions'!$C$2:$C$23,L174))</f>
        <v/>
      </c>
      <c r="Q174" s="14" t="str">
        <f aca="false">IF(COUNTA(I174:L174)=0,"",SUMIFS('3 Hazed Questions'!$H$2:$H$23,'3 Hazed Questions'!$A$2:$A$23,"Q1",'3 Hazed Questions'!$C$2:$C$23,I174)+SUMIFS('3 Hazed Questions'!$H$2:$H$23,'3 Hazed Questions'!$A$2:$A$23,"Q2",'3 Hazed Questions'!$C$2:$C$23,J174)+SUMIFS('3 Hazed Questions'!$H$2:$H$23,'3 Hazed Questions'!$A$2:$A$23,"Q3",'3 Hazed Questions'!$C$2:$C$23,K174)+SUMIFS('3 Hazed Questions'!$H$2:$H$23,'3 Hazed Questions'!$A$2:$A$23,"Q4",'3 Hazed Questions'!$C$2:$C$23,L174))</f>
        <v/>
      </c>
      <c r="R174" s="14" t="str">
        <f aca="false">IF(COUNTA(I174:L174)=0,"",SUMIFS('3 Hazed Questions'!$I$2:$I$23,'3 Hazed Questions'!$A$2:$A$23,"Q1",'3 Hazed Questions'!$C$2:$C$23,I174)+SUMIFS('3 Hazed Questions'!$I$2:$I$23,'3 Hazed Questions'!$A$2:$A$23,"Q2",'3 Hazed Questions'!$C$2:$C$23,J174)+SUMIFS('3 Hazed Questions'!$I$2:$I$23,'3 Hazed Questions'!$A$2:$A$23,"Q3",'3 Hazed Questions'!$C$2:$C$23,K174)+SUMIFS('3 Hazed Questions'!$I$2:$I$23,'3 Hazed Questions'!$A$2:$A$23,"Q4",'3 Hazed Questions'!$C$2:$C$23,L174))</f>
        <v/>
      </c>
      <c r="S174" s="14" t="str">
        <f aca="false">IF(COUNTA(I174:L174)=0,"",SUMIFS('3 Hazed Questions'!$J$2:$J$23,'3 Hazed Questions'!$A$2:$A$23,"Q1",'3 Hazed Questions'!$C$2:$C$23,I174)+SUMIFS('3 Hazed Questions'!$J$2:$J$23,'3 Hazed Questions'!$A$2:$A$23,"Q2",'3 Hazed Questions'!$C$2:$C$23,J174)+SUMIFS('3 Hazed Questions'!$J$2:$J$23,'3 Hazed Questions'!$A$2:$A$23,"Q3",'3 Hazed Questions'!$C$2:$C$23,K174)+SUMIFS('3 Hazed Questions'!$J$2:$J$23,'3 Hazed Questions'!$A$2:$A$23,"Q4",'3 Hazed Questions'!$C$2:$C$23,L174))</f>
        <v/>
      </c>
      <c r="T174" s="14" t="str">
        <f aca="false">IF(COUNTA(I174:L174)=0,"",SUMIFS('3 Hazed Questions'!$K$2:$K$23,'3 Hazed Questions'!$A$2:$A$23,"Q1",'3 Hazed Questions'!$C$2:$C$23,I174)+SUMIFS('3 Hazed Questions'!$K$2:$K$23,'3 Hazed Questions'!$A$2:$A$23,"Q2",'3 Hazed Questions'!$C$2:$C$23,J174)+SUMIFS('3 Hazed Questions'!$K$2:$K$23,'3 Hazed Questions'!$A$2:$A$23,"Q3",'3 Hazed Questions'!$C$2:$C$23,K174)+SUMIFS('3 Hazed Questions'!$K$2:$K$23,'3 Hazed Questions'!$A$2:$A$23,"Q4",'3 Hazed Questions'!$C$2:$C$23,L174))</f>
        <v/>
      </c>
      <c r="U174" s="14" t="str">
        <f aca="false">IF(COUNTA(I174:L174)=0,"",SUMIFS('3 Hazed Questions'!$L$2:$L$23,'3 Hazed Questions'!$A$2:$A$23,"Q1",'3 Hazed Questions'!$C$2:$C$23,I174)+SUMIFS('3 Hazed Questions'!$L$2:$L$23,'3 Hazed Questions'!$A$2:$A$23,"Q2",'3 Hazed Questions'!$C$2:$C$23,J174)+SUMIFS('3 Hazed Questions'!$L$2:$L$23,'3 Hazed Questions'!$A$2:$A$23,"Q3",'3 Hazed Questions'!$C$2:$C$23,K174)+SUMIFS('3 Hazed Questions'!$L$2:$L$23,'3 Hazed Questions'!$A$2:$A$23,"Q4",'3 Hazed Questions'!$C$2:$C$23,L174))</f>
        <v/>
      </c>
      <c r="V174" s="14" t="str">
        <f aca="false">IF(COUNTA(I174:L174)=0,"",SUMIFS('3 Hazed Questions'!$M$2:$M$23,'3 Hazed Questions'!$A$2:$A$23,"Q1",'3 Hazed Questions'!$C$2:$C$23,I174)+SUMIFS('3 Hazed Questions'!$M$2:$M$23,'3 Hazed Questions'!$A$2:$A$23,"Q2",'3 Hazed Questions'!$C$2:$C$23,J174)+SUMIFS('3 Hazed Questions'!$M$2:$M$23,'3 Hazed Questions'!$A$2:$A$23,"Q3",'3 Hazed Questions'!$C$2:$C$23,K174)+SUMIFS('3 Hazed Questions'!$M$2:$M$23,'3 Hazed Questions'!$A$2:$A$23,"Q4",'3 Hazed Questions'!$C$2:$C$23,L174))</f>
        <v/>
      </c>
      <c r="W174" s="14" t="str">
        <f aca="false">IF(COUNTA(I174:L174)=0,"",SUMIFS('3 Hazed Questions'!$N$2:$N$23,'3 Hazed Questions'!$A$2:$A$23,"Q1",'3 Hazed Questions'!$C$2:$C$23,I174)+SUMIFS('3 Hazed Questions'!$N$2:$N$23,'3 Hazed Questions'!$A$2:$A$23,"Q2",'3 Hazed Questions'!$C$2:$C$23,J174)+SUMIFS('3 Hazed Questions'!$N$2:$N$23,'3 Hazed Questions'!$A$2:$A$23,"Q3",'3 Hazed Questions'!$C$2:$C$23,K174)+SUMIFS('3 Hazed Questions'!$N$2:$N$23,'3 Hazed Questions'!$A$2:$A$23,"Q4",'3 Hazed Questions'!$C$2:$C$23,L174))</f>
        <v/>
      </c>
      <c r="X174" s="14" t="str">
        <f aca="false">IF(COUNTA(I174:L174)=0,"",INDEX(Fields!$B$2:$B$50,MATCH(SUBSTITUTE(INDEX($N$1:$W$1,MATCH(MAX($N174:$W174),$N174:$W174,0)),"Score: ",""),Fields!$A$2:$A$50,0)))</f>
        <v/>
      </c>
      <c r="Y174" s="14" t="str">
        <f aca="true">IF(COUNTA(I174:L174)=0,"",IF(LARGE($N174:$W174,2)=0,"-",INDEX(Fields!$B$2:$B$50,MATCH(SUBSTITUTE(INDEX($N$1:$W$1,IF(LARGE($N174:$W174,2)=MAX($N174:$W174),MATCH(MAX($N174:$W174),OFFSET($N174:$W174,0,MATCH(MAX($N174:$W174),$N174:$W174,0),1,10-MATCH(MAX($N174:$W174),$N174:$W174,0)),0)+MATCH(MAX($N174:$W174),$N174:$W174,0),MATCH(LARGE($N174:$W174,2),$N174:$W174,0))),"Score: ",""),Fields!$A$2:$A$50,0))))</f>
        <v/>
      </c>
      <c r="Z174" s="14" t="str">
        <f aca="false">IF(M174="","",IFERROR(INDEX('3 Hazed Questions'!$O$2:$O$23,MATCH(1,INDEX(('3 Hazed Questions'!$A$2:$A$23="Q5")*('3 Hazed Questions'!$C$2:$C$23=M174),0),0))&amp;"",""))</f>
        <v/>
      </c>
      <c r="AA174" s="18"/>
      <c r="AB174" s="18"/>
      <c r="AC174" s="19"/>
      <c r="AD174" s="19"/>
      <c r="AE174" s="18"/>
      <c r="AF174" s="18"/>
      <c r="AG174" s="18"/>
    </row>
    <row r="175" customFormat="false" ht="15" hidden="false" customHeight="false" outlineLevel="0" collapsed="false">
      <c r="A175" s="18"/>
      <c r="B175" s="19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4" t="str">
        <f aca="false">IF(COUNTA(I175:L175)=0,"",SUMIFS('3 Hazed Questions'!$E$2:$E$23,'3 Hazed Questions'!$A$2:$A$23,"Q1",'3 Hazed Questions'!$C$2:$C$23,I175)+SUMIFS('3 Hazed Questions'!$E$2:$E$23,'3 Hazed Questions'!$A$2:$A$23,"Q2",'3 Hazed Questions'!$C$2:$C$23,J175)+SUMIFS('3 Hazed Questions'!$E$2:$E$23,'3 Hazed Questions'!$A$2:$A$23,"Q3",'3 Hazed Questions'!$C$2:$C$23,K175)+SUMIFS('3 Hazed Questions'!$E$2:$E$23,'3 Hazed Questions'!$A$2:$A$23,"Q4",'3 Hazed Questions'!$C$2:$C$23,L175))</f>
        <v/>
      </c>
      <c r="O175" s="14" t="str">
        <f aca="false">IF(COUNTA(I175:L175)=0,"",SUMIFS('3 Hazed Questions'!$F$2:$F$23,'3 Hazed Questions'!$A$2:$A$23,"Q1",'3 Hazed Questions'!$C$2:$C$23,I175)+SUMIFS('3 Hazed Questions'!$F$2:$F$23,'3 Hazed Questions'!$A$2:$A$23,"Q2",'3 Hazed Questions'!$C$2:$C$23,J175)+SUMIFS('3 Hazed Questions'!$F$2:$F$23,'3 Hazed Questions'!$A$2:$A$23,"Q3",'3 Hazed Questions'!$C$2:$C$23,K175)+SUMIFS('3 Hazed Questions'!$F$2:$F$23,'3 Hazed Questions'!$A$2:$A$23,"Q4",'3 Hazed Questions'!$C$2:$C$23,L175))</f>
        <v/>
      </c>
      <c r="P175" s="14" t="str">
        <f aca="false">IF(COUNTA(I175:L175)=0,"",SUMIFS('3 Hazed Questions'!$G$2:$G$23,'3 Hazed Questions'!$A$2:$A$23,"Q1",'3 Hazed Questions'!$C$2:$C$23,I175)+SUMIFS('3 Hazed Questions'!$G$2:$G$23,'3 Hazed Questions'!$A$2:$A$23,"Q2",'3 Hazed Questions'!$C$2:$C$23,J175)+SUMIFS('3 Hazed Questions'!$G$2:$G$23,'3 Hazed Questions'!$A$2:$A$23,"Q3",'3 Hazed Questions'!$C$2:$C$23,K175)+SUMIFS('3 Hazed Questions'!$G$2:$G$23,'3 Hazed Questions'!$A$2:$A$23,"Q4",'3 Hazed Questions'!$C$2:$C$23,L175))</f>
        <v/>
      </c>
      <c r="Q175" s="14" t="str">
        <f aca="false">IF(COUNTA(I175:L175)=0,"",SUMIFS('3 Hazed Questions'!$H$2:$H$23,'3 Hazed Questions'!$A$2:$A$23,"Q1",'3 Hazed Questions'!$C$2:$C$23,I175)+SUMIFS('3 Hazed Questions'!$H$2:$H$23,'3 Hazed Questions'!$A$2:$A$23,"Q2",'3 Hazed Questions'!$C$2:$C$23,J175)+SUMIFS('3 Hazed Questions'!$H$2:$H$23,'3 Hazed Questions'!$A$2:$A$23,"Q3",'3 Hazed Questions'!$C$2:$C$23,K175)+SUMIFS('3 Hazed Questions'!$H$2:$H$23,'3 Hazed Questions'!$A$2:$A$23,"Q4",'3 Hazed Questions'!$C$2:$C$23,L175))</f>
        <v/>
      </c>
      <c r="R175" s="14" t="str">
        <f aca="false">IF(COUNTA(I175:L175)=0,"",SUMIFS('3 Hazed Questions'!$I$2:$I$23,'3 Hazed Questions'!$A$2:$A$23,"Q1",'3 Hazed Questions'!$C$2:$C$23,I175)+SUMIFS('3 Hazed Questions'!$I$2:$I$23,'3 Hazed Questions'!$A$2:$A$23,"Q2",'3 Hazed Questions'!$C$2:$C$23,J175)+SUMIFS('3 Hazed Questions'!$I$2:$I$23,'3 Hazed Questions'!$A$2:$A$23,"Q3",'3 Hazed Questions'!$C$2:$C$23,K175)+SUMIFS('3 Hazed Questions'!$I$2:$I$23,'3 Hazed Questions'!$A$2:$A$23,"Q4",'3 Hazed Questions'!$C$2:$C$23,L175))</f>
        <v/>
      </c>
      <c r="S175" s="14" t="str">
        <f aca="false">IF(COUNTA(I175:L175)=0,"",SUMIFS('3 Hazed Questions'!$J$2:$J$23,'3 Hazed Questions'!$A$2:$A$23,"Q1",'3 Hazed Questions'!$C$2:$C$23,I175)+SUMIFS('3 Hazed Questions'!$J$2:$J$23,'3 Hazed Questions'!$A$2:$A$23,"Q2",'3 Hazed Questions'!$C$2:$C$23,J175)+SUMIFS('3 Hazed Questions'!$J$2:$J$23,'3 Hazed Questions'!$A$2:$A$23,"Q3",'3 Hazed Questions'!$C$2:$C$23,K175)+SUMIFS('3 Hazed Questions'!$J$2:$J$23,'3 Hazed Questions'!$A$2:$A$23,"Q4",'3 Hazed Questions'!$C$2:$C$23,L175))</f>
        <v/>
      </c>
      <c r="T175" s="14" t="str">
        <f aca="false">IF(COUNTA(I175:L175)=0,"",SUMIFS('3 Hazed Questions'!$K$2:$K$23,'3 Hazed Questions'!$A$2:$A$23,"Q1",'3 Hazed Questions'!$C$2:$C$23,I175)+SUMIFS('3 Hazed Questions'!$K$2:$K$23,'3 Hazed Questions'!$A$2:$A$23,"Q2",'3 Hazed Questions'!$C$2:$C$23,J175)+SUMIFS('3 Hazed Questions'!$K$2:$K$23,'3 Hazed Questions'!$A$2:$A$23,"Q3",'3 Hazed Questions'!$C$2:$C$23,K175)+SUMIFS('3 Hazed Questions'!$K$2:$K$23,'3 Hazed Questions'!$A$2:$A$23,"Q4",'3 Hazed Questions'!$C$2:$C$23,L175))</f>
        <v/>
      </c>
      <c r="U175" s="14" t="str">
        <f aca="false">IF(COUNTA(I175:L175)=0,"",SUMIFS('3 Hazed Questions'!$L$2:$L$23,'3 Hazed Questions'!$A$2:$A$23,"Q1",'3 Hazed Questions'!$C$2:$C$23,I175)+SUMIFS('3 Hazed Questions'!$L$2:$L$23,'3 Hazed Questions'!$A$2:$A$23,"Q2",'3 Hazed Questions'!$C$2:$C$23,J175)+SUMIFS('3 Hazed Questions'!$L$2:$L$23,'3 Hazed Questions'!$A$2:$A$23,"Q3",'3 Hazed Questions'!$C$2:$C$23,K175)+SUMIFS('3 Hazed Questions'!$L$2:$L$23,'3 Hazed Questions'!$A$2:$A$23,"Q4",'3 Hazed Questions'!$C$2:$C$23,L175))</f>
        <v/>
      </c>
      <c r="V175" s="14" t="str">
        <f aca="false">IF(COUNTA(I175:L175)=0,"",SUMIFS('3 Hazed Questions'!$M$2:$M$23,'3 Hazed Questions'!$A$2:$A$23,"Q1",'3 Hazed Questions'!$C$2:$C$23,I175)+SUMIFS('3 Hazed Questions'!$M$2:$M$23,'3 Hazed Questions'!$A$2:$A$23,"Q2",'3 Hazed Questions'!$C$2:$C$23,J175)+SUMIFS('3 Hazed Questions'!$M$2:$M$23,'3 Hazed Questions'!$A$2:$A$23,"Q3",'3 Hazed Questions'!$C$2:$C$23,K175)+SUMIFS('3 Hazed Questions'!$M$2:$M$23,'3 Hazed Questions'!$A$2:$A$23,"Q4",'3 Hazed Questions'!$C$2:$C$23,L175))</f>
        <v/>
      </c>
      <c r="W175" s="14" t="str">
        <f aca="false">IF(COUNTA(I175:L175)=0,"",SUMIFS('3 Hazed Questions'!$N$2:$N$23,'3 Hazed Questions'!$A$2:$A$23,"Q1",'3 Hazed Questions'!$C$2:$C$23,I175)+SUMIFS('3 Hazed Questions'!$N$2:$N$23,'3 Hazed Questions'!$A$2:$A$23,"Q2",'3 Hazed Questions'!$C$2:$C$23,J175)+SUMIFS('3 Hazed Questions'!$N$2:$N$23,'3 Hazed Questions'!$A$2:$A$23,"Q3",'3 Hazed Questions'!$C$2:$C$23,K175)+SUMIFS('3 Hazed Questions'!$N$2:$N$23,'3 Hazed Questions'!$A$2:$A$23,"Q4",'3 Hazed Questions'!$C$2:$C$23,L175))</f>
        <v/>
      </c>
      <c r="X175" s="14" t="str">
        <f aca="false">IF(COUNTA(I175:L175)=0,"",INDEX(Fields!$B$2:$B$50,MATCH(SUBSTITUTE(INDEX($N$1:$W$1,MATCH(MAX($N175:$W175),$N175:$W175,0)),"Score: ",""),Fields!$A$2:$A$50,0)))</f>
        <v/>
      </c>
      <c r="Y175" s="14" t="str">
        <f aca="true">IF(COUNTA(I175:L175)=0,"",IF(LARGE($N175:$W175,2)=0,"-",INDEX(Fields!$B$2:$B$50,MATCH(SUBSTITUTE(INDEX($N$1:$W$1,IF(LARGE($N175:$W175,2)=MAX($N175:$W175),MATCH(MAX($N175:$W175),OFFSET($N175:$W175,0,MATCH(MAX($N175:$W175),$N175:$W175,0),1,10-MATCH(MAX($N175:$W175),$N175:$W175,0)),0)+MATCH(MAX($N175:$W175),$N175:$W175,0),MATCH(LARGE($N175:$W175,2),$N175:$W175,0))),"Score: ",""),Fields!$A$2:$A$50,0))))</f>
        <v/>
      </c>
      <c r="Z175" s="14" t="str">
        <f aca="false">IF(M175="","",IFERROR(INDEX('3 Hazed Questions'!$O$2:$O$23,MATCH(1,INDEX(('3 Hazed Questions'!$A$2:$A$23="Q5")*('3 Hazed Questions'!$C$2:$C$23=M175),0),0))&amp;"",""))</f>
        <v/>
      </c>
      <c r="AA175" s="18"/>
      <c r="AB175" s="18"/>
      <c r="AC175" s="19"/>
      <c r="AD175" s="19"/>
      <c r="AE175" s="18"/>
      <c r="AF175" s="18"/>
      <c r="AG175" s="18"/>
    </row>
    <row r="176" customFormat="false" ht="15" hidden="false" customHeight="false" outlineLevel="0" collapsed="false">
      <c r="A176" s="18"/>
      <c r="B176" s="19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4" t="str">
        <f aca="false">IF(COUNTA(I176:L176)=0,"",SUMIFS('3 Hazed Questions'!$E$2:$E$23,'3 Hazed Questions'!$A$2:$A$23,"Q1",'3 Hazed Questions'!$C$2:$C$23,I176)+SUMIFS('3 Hazed Questions'!$E$2:$E$23,'3 Hazed Questions'!$A$2:$A$23,"Q2",'3 Hazed Questions'!$C$2:$C$23,J176)+SUMIFS('3 Hazed Questions'!$E$2:$E$23,'3 Hazed Questions'!$A$2:$A$23,"Q3",'3 Hazed Questions'!$C$2:$C$23,K176)+SUMIFS('3 Hazed Questions'!$E$2:$E$23,'3 Hazed Questions'!$A$2:$A$23,"Q4",'3 Hazed Questions'!$C$2:$C$23,L176))</f>
        <v/>
      </c>
      <c r="O176" s="14" t="str">
        <f aca="false">IF(COUNTA(I176:L176)=0,"",SUMIFS('3 Hazed Questions'!$F$2:$F$23,'3 Hazed Questions'!$A$2:$A$23,"Q1",'3 Hazed Questions'!$C$2:$C$23,I176)+SUMIFS('3 Hazed Questions'!$F$2:$F$23,'3 Hazed Questions'!$A$2:$A$23,"Q2",'3 Hazed Questions'!$C$2:$C$23,J176)+SUMIFS('3 Hazed Questions'!$F$2:$F$23,'3 Hazed Questions'!$A$2:$A$23,"Q3",'3 Hazed Questions'!$C$2:$C$23,K176)+SUMIFS('3 Hazed Questions'!$F$2:$F$23,'3 Hazed Questions'!$A$2:$A$23,"Q4",'3 Hazed Questions'!$C$2:$C$23,L176))</f>
        <v/>
      </c>
      <c r="P176" s="14" t="str">
        <f aca="false">IF(COUNTA(I176:L176)=0,"",SUMIFS('3 Hazed Questions'!$G$2:$G$23,'3 Hazed Questions'!$A$2:$A$23,"Q1",'3 Hazed Questions'!$C$2:$C$23,I176)+SUMIFS('3 Hazed Questions'!$G$2:$G$23,'3 Hazed Questions'!$A$2:$A$23,"Q2",'3 Hazed Questions'!$C$2:$C$23,J176)+SUMIFS('3 Hazed Questions'!$G$2:$G$23,'3 Hazed Questions'!$A$2:$A$23,"Q3",'3 Hazed Questions'!$C$2:$C$23,K176)+SUMIFS('3 Hazed Questions'!$G$2:$G$23,'3 Hazed Questions'!$A$2:$A$23,"Q4",'3 Hazed Questions'!$C$2:$C$23,L176))</f>
        <v/>
      </c>
      <c r="Q176" s="14" t="str">
        <f aca="false">IF(COUNTA(I176:L176)=0,"",SUMIFS('3 Hazed Questions'!$H$2:$H$23,'3 Hazed Questions'!$A$2:$A$23,"Q1",'3 Hazed Questions'!$C$2:$C$23,I176)+SUMIFS('3 Hazed Questions'!$H$2:$H$23,'3 Hazed Questions'!$A$2:$A$23,"Q2",'3 Hazed Questions'!$C$2:$C$23,J176)+SUMIFS('3 Hazed Questions'!$H$2:$H$23,'3 Hazed Questions'!$A$2:$A$23,"Q3",'3 Hazed Questions'!$C$2:$C$23,K176)+SUMIFS('3 Hazed Questions'!$H$2:$H$23,'3 Hazed Questions'!$A$2:$A$23,"Q4",'3 Hazed Questions'!$C$2:$C$23,L176))</f>
        <v/>
      </c>
      <c r="R176" s="14" t="str">
        <f aca="false">IF(COUNTA(I176:L176)=0,"",SUMIFS('3 Hazed Questions'!$I$2:$I$23,'3 Hazed Questions'!$A$2:$A$23,"Q1",'3 Hazed Questions'!$C$2:$C$23,I176)+SUMIFS('3 Hazed Questions'!$I$2:$I$23,'3 Hazed Questions'!$A$2:$A$23,"Q2",'3 Hazed Questions'!$C$2:$C$23,J176)+SUMIFS('3 Hazed Questions'!$I$2:$I$23,'3 Hazed Questions'!$A$2:$A$23,"Q3",'3 Hazed Questions'!$C$2:$C$23,K176)+SUMIFS('3 Hazed Questions'!$I$2:$I$23,'3 Hazed Questions'!$A$2:$A$23,"Q4",'3 Hazed Questions'!$C$2:$C$23,L176))</f>
        <v/>
      </c>
      <c r="S176" s="14" t="str">
        <f aca="false">IF(COUNTA(I176:L176)=0,"",SUMIFS('3 Hazed Questions'!$J$2:$J$23,'3 Hazed Questions'!$A$2:$A$23,"Q1",'3 Hazed Questions'!$C$2:$C$23,I176)+SUMIFS('3 Hazed Questions'!$J$2:$J$23,'3 Hazed Questions'!$A$2:$A$23,"Q2",'3 Hazed Questions'!$C$2:$C$23,J176)+SUMIFS('3 Hazed Questions'!$J$2:$J$23,'3 Hazed Questions'!$A$2:$A$23,"Q3",'3 Hazed Questions'!$C$2:$C$23,K176)+SUMIFS('3 Hazed Questions'!$J$2:$J$23,'3 Hazed Questions'!$A$2:$A$23,"Q4",'3 Hazed Questions'!$C$2:$C$23,L176))</f>
        <v/>
      </c>
      <c r="T176" s="14" t="str">
        <f aca="false">IF(COUNTA(I176:L176)=0,"",SUMIFS('3 Hazed Questions'!$K$2:$K$23,'3 Hazed Questions'!$A$2:$A$23,"Q1",'3 Hazed Questions'!$C$2:$C$23,I176)+SUMIFS('3 Hazed Questions'!$K$2:$K$23,'3 Hazed Questions'!$A$2:$A$23,"Q2",'3 Hazed Questions'!$C$2:$C$23,J176)+SUMIFS('3 Hazed Questions'!$K$2:$K$23,'3 Hazed Questions'!$A$2:$A$23,"Q3",'3 Hazed Questions'!$C$2:$C$23,K176)+SUMIFS('3 Hazed Questions'!$K$2:$K$23,'3 Hazed Questions'!$A$2:$A$23,"Q4",'3 Hazed Questions'!$C$2:$C$23,L176))</f>
        <v/>
      </c>
      <c r="U176" s="14" t="str">
        <f aca="false">IF(COUNTA(I176:L176)=0,"",SUMIFS('3 Hazed Questions'!$L$2:$L$23,'3 Hazed Questions'!$A$2:$A$23,"Q1",'3 Hazed Questions'!$C$2:$C$23,I176)+SUMIFS('3 Hazed Questions'!$L$2:$L$23,'3 Hazed Questions'!$A$2:$A$23,"Q2",'3 Hazed Questions'!$C$2:$C$23,J176)+SUMIFS('3 Hazed Questions'!$L$2:$L$23,'3 Hazed Questions'!$A$2:$A$23,"Q3",'3 Hazed Questions'!$C$2:$C$23,K176)+SUMIFS('3 Hazed Questions'!$L$2:$L$23,'3 Hazed Questions'!$A$2:$A$23,"Q4",'3 Hazed Questions'!$C$2:$C$23,L176))</f>
        <v/>
      </c>
      <c r="V176" s="14" t="str">
        <f aca="false">IF(COUNTA(I176:L176)=0,"",SUMIFS('3 Hazed Questions'!$M$2:$M$23,'3 Hazed Questions'!$A$2:$A$23,"Q1",'3 Hazed Questions'!$C$2:$C$23,I176)+SUMIFS('3 Hazed Questions'!$M$2:$M$23,'3 Hazed Questions'!$A$2:$A$23,"Q2",'3 Hazed Questions'!$C$2:$C$23,J176)+SUMIFS('3 Hazed Questions'!$M$2:$M$23,'3 Hazed Questions'!$A$2:$A$23,"Q3",'3 Hazed Questions'!$C$2:$C$23,K176)+SUMIFS('3 Hazed Questions'!$M$2:$M$23,'3 Hazed Questions'!$A$2:$A$23,"Q4",'3 Hazed Questions'!$C$2:$C$23,L176))</f>
        <v/>
      </c>
      <c r="W176" s="14" t="str">
        <f aca="false">IF(COUNTA(I176:L176)=0,"",SUMIFS('3 Hazed Questions'!$N$2:$N$23,'3 Hazed Questions'!$A$2:$A$23,"Q1",'3 Hazed Questions'!$C$2:$C$23,I176)+SUMIFS('3 Hazed Questions'!$N$2:$N$23,'3 Hazed Questions'!$A$2:$A$23,"Q2",'3 Hazed Questions'!$C$2:$C$23,J176)+SUMIFS('3 Hazed Questions'!$N$2:$N$23,'3 Hazed Questions'!$A$2:$A$23,"Q3",'3 Hazed Questions'!$C$2:$C$23,K176)+SUMIFS('3 Hazed Questions'!$N$2:$N$23,'3 Hazed Questions'!$A$2:$A$23,"Q4",'3 Hazed Questions'!$C$2:$C$23,L176))</f>
        <v/>
      </c>
      <c r="X176" s="14" t="str">
        <f aca="false">IF(COUNTA(I176:L176)=0,"",INDEX(Fields!$B$2:$B$50,MATCH(SUBSTITUTE(INDEX($N$1:$W$1,MATCH(MAX($N176:$W176),$N176:$W176,0)),"Score: ",""),Fields!$A$2:$A$50,0)))</f>
        <v/>
      </c>
      <c r="Y176" s="14" t="str">
        <f aca="true">IF(COUNTA(I176:L176)=0,"",IF(LARGE($N176:$W176,2)=0,"-",INDEX(Fields!$B$2:$B$50,MATCH(SUBSTITUTE(INDEX($N$1:$W$1,IF(LARGE($N176:$W176,2)=MAX($N176:$W176),MATCH(MAX($N176:$W176),OFFSET($N176:$W176,0,MATCH(MAX($N176:$W176),$N176:$W176,0),1,10-MATCH(MAX($N176:$W176),$N176:$W176,0)),0)+MATCH(MAX($N176:$W176),$N176:$W176,0),MATCH(LARGE($N176:$W176,2),$N176:$W176,0))),"Score: ",""),Fields!$A$2:$A$50,0))))</f>
        <v/>
      </c>
      <c r="Z176" s="14" t="str">
        <f aca="false">IF(M176="","",IFERROR(INDEX('3 Hazed Questions'!$O$2:$O$23,MATCH(1,INDEX(('3 Hazed Questions'!$A$2:$A$23="Q5")*('3 Hazed Questions'!$C$2:$C$23=M176),0),0))&amp;"",""))</f>
        <v/>
      </c>
      <c r="AA176" s="18"/>
      <c r="AB176" s="18"/>
      <c r="AC176" s="19"/>
      <c r="AD176" s="19"/>
      <c r="AE176" s="18"/>
      <c r="AF176" s="18"/>
      <c r="AG176" s="18"/>
    </row>
    <row r="177" customFormat="false" ht="15" hidden="false" customHeight="false" outlineLevel="0" collapsed="false">
      <c r="A177" s="18"/>
      <c r="B177" s="19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4" t="str">
        <f aca="false">IF(COUNTA(I177:L177)=0,"",SUMIFS('3 Hazed Questions'!$E$2:$E$23,'3 Hazed Questions'!$A$2:$A$23,"Q1",'3 Hazed Questions'!$C$2:$C$23,I177)+SUMIFS('3 Hazed Questions'!$E$2:$E$23,'3 Hazed Questions'!$A$2:$A$23,"Q2",'3 Hazed Questions'!$C$2:$C$23,J177)+SUMIFS('3 Hazed Questions'!$E$2:$E$23,'3 Hazed Questions'!$A$2:$A$23,"Q3",'3 Hazed Questions'!$C$2:$C$23,K177)+SUMIFS('3 Hazed Questions'!$E$2:$E$23,'3 Hazed Questions'!$A$2:$A$23,"Q4",'3 Hazed Questions'!$C$2:$C$23,L177))</f>
        <v/>
      </c>
      <c r="O177" s="14" t="str">
        <f aca="false">IF(COUNTA(I177:L177)=0,"",SUMIFS('3 Hazed Questions'!$F$2:$F$23,'3 Hazed Questions'!$A$2:$A$23,"Q1",'3 Hazed Questions'!$C$2:$C$23,I177)+SUMIFS('3 Hazed Questions'!$F$2:$F$23,'3 Hazed Questions'!$A$2:$A$23,"Q2",'3 Hazed Questions'!$C$2:$C$23,J177)+SUMIFS('3 Hazed Questions'!$F$2:$F$23,'3 Hazed Questions'!$A$2:$A$23,"Q3",'3 Hazed Questions'!$C$2:$C$23,K177)+SUMIFS('3 Hazed Questions'!$F$2:$F$23,'3 Hazed Questions'!$A$2:$A$23,"Q4",'3 Hazed Questions'!$C$2:$C$23,L177))</f>
        <v/>
      </c>
      <c r="P177" s="14" t="str">
        <f aca="false">IF(COUNTA(I177:L177)=0,"",SUMIFS('3 Hazed Questions'!$G$2:$G$23,'3 Hazed Questions'!$A$2:$A$23,"Q1",'3 Hazed Questions'!$C$2:$C$23,I177)+SUMIFS('3 Hazed Questions'!$G$2:$G$23,'3 Hazed Questions'!$A$2:$A$23,"Q2",'3 Hazed Questions'!$C$2:$C$23,J177)+SUMIFS('3 Hazed Questions'!$G$2:$G$23,'3 Hazed Questions'!$A$2:$A$23,"Q3",'3 Hazed Questions'!$C$2:$C$23,K177)+SUMIFS('3 Hazed Questions'!$G$2:$G$23,'3 Hazed Questions'!$A$2:$A$23,"Q4",'3 Hazed Questions'!$C$2:$C$23,L177))</f>
        <v/>
      </c>
      <c r="Q177" s="14" t="str">
        <f aca="false">IF(COUNTA(I177:L177)=0,"",SUMIFS('3 Hazed Questions'!$H$2:$H$23,'3 Hazed Questions'!$A$2:$A$23,"Q1",'3 Hazed Questions'!$C$2:$C$23,I177)+SUMIFS('3 Hazed Questions'!$H$2:$H$23,'3 Hazed Questions'!$A$2:$A$23,"Q2",'3 Hazed Questions'!$C$2:$C$23,J177)+SUMIFS('3 Hazed Questions'!$H$2:$H$23,'3 Hazed Questions'!$A$2:$A$23,"Q3",'3 Hazed Questions'!$C$2:$C$23,K177)+SUMIFS('3 Hazed Questions'!$H$2:$H$23,'3 Hazed Questions'!$A$2:$A$23,"Q4",'3 Hazed Questions'!$C$2:$C$23,L177))</f>
        <v/>
      </c>
      <c r="R177" s="14" t="str">
        <f aca="false">IF(COUNTA(I177:L177)=0,"",SUMIFS('3 Hazed Questions'!$I$2:$I$23,'3 Hazed Questions'!$A$2:$A$23,"Q1",'3 Hazed Questions'!$C$2:$C$23,I177)+SUMIFS('3 Hazed Questions'!$I$2:$I$23,'3 Hazed Questions'!$A$2:$A$23,"Q2",'3 Hazed Questions'!$C$2:$C$23,J177)+SUMIFS('3 Hazed Questions'!$I$2:$I$23,'3 Hazed Questions'!$A$2:$A$23,"Q3",'3 Hazed Questions'!$C$2:$C$23,K177)+SUMIFS('3 Hazed Questions'!$I$2:$I$23,'3 Hazed Questions'!$A$2:$A$23,"Q4",'3 Hazed Questions'!$C$2:$C$23,L177))</f>
        <v/>
      </c>
      <c r="S177" s="14" t="str">
        <f aca="false">IF(COUNTA(I177:L177)=0,"",SUMIFS('3 Hazed Questions'!$J$2:$J$23,'3 Hazed Questions'!$A$2:$A$23,"Q1",'3 Hazed Questions'!$C$2:$C$23,I177)+SUMIFS('3 Hazed Questions'!$J$2:$J$23,'3 Hazed Questions'!$A$2:$A$23,"Q2",'3 Hazed Questions'!$C$2:$C$23,J177)+SUMIFS('3 Hazed Questions'!$J$2:$J$23,'3 Hazed Questions'!$A$2:$A$23,"Q3",'3 Hazed Questions'!$C$2:$C$23,K177)+SUMIFS('3 Hazed Questions'!$J$2:$J$23,'3 Hazed Questions'!$A$2:$A$23,"Q4",'3 Hazed Questions'!$C$2:$C$23,L177))</f>
        <v/>
      </c>
      <c r="T177" s="14" t="str">
        <f aca="false">IF(COUNTA(I177:L177)=0,"",SUMIFS('3 Hazed Questions'!$K$2:$K$23,'3 Hazed Questions'!$A$2:$A$23,"Q1",'3 Hazed Questions'!$C$2:$C$23,I177)+SUMIFS('3 Hazed Questions'!$K$2:$K$23,'3 Hazed Questions'!$A$2:$A$23,"Q2",'3 Hazed Questions'!$C$2:$C$23,J177)+SUMIFS('3 Hazed Questions'!$K$2:$K$23,'3 Hazed Questions'!$A$2:$A$23,"Q3",'3 Hazed Questions'!$C$2:$C$23,K177)+SUMIFS('3 Hazed Questions'!$K$2:$K$23,'3 Hazed Questions'!$A$2:$A$23,"Q4",'3 Hazed Questions'!$C$2:$C$23,L177))</f>
        <v/>
      </c>
      <c r="U177" s="14" t="str">
        <f aca="false">IF(COUNTA(I177:L177)=0,"",SUMIFS('3 Hazed Questions'!$L$2:$L$23,'3 Hazed Questions'!$A$2:$A$23,"Q1",'3 Hazed Questions'!$C$2:$C$23,I177)+SUMIFS('3 Hazed Questions'!$L$2:$L$23,'3 Hazed Questions'!$A$2:$A$23,"Q2",'3 Hazed Questions'!$C$2:$C$23,J177)+SUMIFS('3 Hazed Questions'!$L$2:$L$23,'3 Hazed Questions'!$A$2:$A$23,"Q3",'3 Hazed Questions'!$C$2:$C$23,K177)+SUMIFS('3 Hazed Questions'!$L$2:$L$23,'3 Hazed Questions'!$A$2:$A$23,"Q4",'3 Hazed Questions'!$C$2:$C$23,L177))</f>
        <v/>
      </c>
      <c r="V177" s="14" t="str">
        <f aca="false">IF(COUNTA(I177:L177)=0,"",SUMIFS('3 Hazed Questions'!$M$2:$M$23,'3 Hazed Questions'!$A$2:$A$23,"Q1",'3 Hazed Questions'!$C$2:$C$23,I177)+SUMIFS('3 Hazed Questions'!$M$2:$M$23,'3 Hazed Questions'!$A$2:$A$23,"Q2",'3 Hazed Questions'!$C$2:$C$23,J177)+SUMIFS('3 Hazed Questions'!$M$2:$M$23,'3 Hazed Questions'!$A$2:$A$23,"Q3",'3 Hazed Questions'!$C$2:$C$23,K177)+SUMIFS('3 Hazed Questions'!$M$2:$M$23,'3 Hazed Questions'!$A$2:$A$23,"Q4",'3 Hazed Questions'!$C$2:$C$23,L177))</f>
        <v/>
      </c>
      <c r="W177" s="14" t="str">
        <f aca="false">IF(COUNTA(I177:L177)=0,"",SUMIFS('3 Hazed Questions'!$N$2:$N$23,'3 Hazed Questions'!$A$2:$A$23,"Q1",'3 Hazed Questions'!$C$2:$C$23,I177)+SUMIFS('3 Hazed Questions'!$N$2:$N$23,'3 Hazed Questions'!$A$2:$A$23,"Q2",'3 Hazed Questions'!$C$2:$C$23,J177)+SUMIFS('3 Hazed Questions'!$N$2:$N$23,'3 Hazed Questions'!$A$2:$A$23,"Q3",'3 Hazed Questions'!$C$2:$C$23,K177)+SUMIFS('3 Hazed Questions'!$N$2:$N$23,'3 Hazed Questions'!$A$2:$A$23,"Q4",'3 Hazed Questions'!$C$2:$C$23,L177))</f>
        <v/>
      </c>
      <c r="X177" s="14" t="str">
        <f aca="false">IF(COUNTA(I177:L177)=0,"",INDEX(Fields!$B$2:$B$50,MATCH(SUBSTITUTE(INDEX($N$1:$W$1,MATCH(MAX($N177:$W177),$N177:$W177,0)),"Score: ",""),Fields!$A$2:$A$50,0)))</f>
        <v/>
      </c>
      <c r="Y177" s="14" t="str">
        <f aca="true">IF(COUNTA(I177:L177)=0,"",IF(LARGE($N177:$W177,2)=0,"-",INDEX(Fields!$B$2:$B$50,MATCH(SUBSTITUTE(INDEX($N$1:$W$1,IF(LARGE($N177:$W177,2)=MAX($N177:$W177),MATCH(MAX($N177:$W177),OFFSET($N177:$W177,0,MATCH(MAX($N177:$W177),$N177:$W177,0),1,10-MATCH(MAX($N177:$W177),$N177:$W177,0)),0)+MATCH(MAX($N177:$W177),$N177:$W177,0),MATCH(LARGE($N177:$W177,2),$N177:$W177,0))),"Score: ",""),Fields!$A$2:$A$50,0))))</f>
        <v/>
      </c>
      <c r="Z177" s="14" t="str">
        <f aca="false">IF(M177="","",IFERROR(INDEX('3 Hazed Questions'!$O$2:$O$23,MATCH(1,INDEX(('3 Hazed Questions'!$A$2:$A$23="Q5")*('3 Hazed Questions'!$C$2:$C$23=M177),0),0))&amp;"",""))</f>
        <v/>
      </c>
      <c r="AA177" s="18"/>
      <c r="AB177" s="18"/>
      <c r="AC177" s="19"/>
      <c r="AD177" s="19"/>
      <c r="AE177" s="18"/>
      <c r="AF177" s="18"/>
      <c r="AG177" s="18"/>
    </row>
    <row r="178" customFormat="false" ht="15" hidden="false" customHeight="false" outlineLevel="0" collapsed="false">
      <c r="A178" s="18"/>
      <c r="B178" s="19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4" t="str">
        <f aca="false">IF(COUNTA(I178:L178)=0,"",SUMIFS('3 Hazed Questions'!$E$2:$E$23,'3 Hazed Questions'!$A$2:$A$23,"Q1",'3 Hazed Questions'!$C$2:$C$23,I178)+SUMIFS('3 Hazed Questions'!$E$2:$E$23,'3 Hazed Questions'!$A$2:$A$23,"Q2",'3 Hazed Questions'!$C$2:$C$23,J178)+SUMIFS('3 Hazed Questions'!$E$2:$E$23,'3 Hazed Questions'!$A$2:$A$23,"Q3",'3 Hazed Questions'!$C$2:$C$23,K178)+SUMIFS('3 Hazed Questions'!$E$2:$E$23,'3 Hazed Questions'!$A$2:$A$23,"Q4",'3 Hazed Questions'!$C$2:$C$23,L178))</f>
        <v/>
      </c>
      <c r="O178" s="14" t="str">
        <f aca="false">IF(COUNTA(I178:L178)=0,"",SUMIFS('3 Hazed Questions'!$F$2:$F$23,'3 Hazed Questions'!$A$2:$A$23,"Q1",'3 Hazed Questions'!$C$2:$C$23,I178)+SUMIFS('3 Hazed Questions'!$F$2:$F$23,'3 Hazed Questions'!$A$2:$A$23,"Q2",'3 Hazed Questions'!$C$2:$C$23,J178)+SUMIFS('3 Hazed Questions'!$F$2:$F$23,'3 Hazed Questions'!$A$2:$A$23,"Q3",'3 Hazed Questions'!$C$2:$C$23,K178)+SUMIFS('3 Hazed Questions'!$F$2:$F$23,'3 Hazed Questions'!$A$2:$A$23,"Q4",'3 Hazed Questions'!$C$2:$C$23,L178))</f>
        <v/>
      </c>
      <c r="P178" s="14" t="str">
        <f aca="false">IF(COUNTA(I178:L178)=0,"",SUMIFS('3 Hazed Questions'!$G$2:$G$23,'3 Hazed Questions'!$A$2:$A$23,"Q1",'3 Hazed Questions'!$C$2:$C$23,I178)+SUMIFS('3 Hazed Questions'!$G$2:$G$23,'3 Hazed Questions'!$A$2:$A$23,"Q2",'3 Hazed Questions'!$C$2:$C$23,J178)+SUMIFS('3 Hazed Questions'!$G$2:$G$23,'3 Hazed Questions'!$A$2:$A$23,"Q3",'3 Hazed Questions'!$C$2:$C$23,K178)+SUMIFS('3 Hazed Questions'!$G$2:$G$23,'3 Hazed Questions'!$A$2:$A$23,"Q4",'3 Hazed Questions'!$C$2:$C$23,L178))</f>
        <v/>
      </c>
      <c r="Q178" s="14" t="str">
        <f aca="false">IF(COUNTA(I178:L178)=0,"",SUMIFS('3 Hazed Questions'!$H$2:$H$23,'3 Hazed Questions'!$A$2:$A$23,"Q1",'3 Hazed Questions'!$C$2:$C$23,I178)+SUMIFS('3 Hazed Questions'!$H$2:$H$23,'3 Hazed Questions'!$A$2:$A$23,"Q2",'3 Hazed Questions'!$C$2:$C$23,J178)+SUMIFS('3 Hazed Questions'!$H$2:$H$23,'3 Hazed Questions'!$A$2:$A$23,"Q3",'3 Hazed Questions'!$C$2:$C$23,K178)+SUMIFS('3 Hazed Questions'!$H$2:$H$23,'3 Hazed Questions'!$A$2:$A$23,"Q4",'3 Hazed Questions'!$C$2:$C$23,L178))</f>
        <v/>
      </c>
      <c r="R178" s="14" t="str">
        <f aca="false">IF(COUNTA(I178:L178)=0,"",SUMIFS('3 Hazed Questions'!$I$2:$I$23,'3 Hazed Questions'!$A$2:$A$23,"Q1",'3 Hazed Questions'!$C$2:$C$23,I178)+SUMIFS('3 Hazed Questions'!$I$2:$I$23,'3 Hazed Questions'!$A$2:$A$23,"Q2",'3 Hazed Questions'!$C$2:$C$23,J178)+SUMIFS('3 Hazed Questions'!$I$2:$I$23,'3 Hazed Questions'!$A$2:$A$23,"Q3",'3 Hazed Questions'!$C$2:$C$23,K178)+SUMIFS('3 Hazed Questions'!$I$2:$I$23,'3 Hazed Questions'!$A$2:$A$23,"Q4",'3 Hazed Questions'!$C$2:$C$23,L178))</f>
        <v/>
      </c>
      <c r="S178" s="14" t="str">
        <f aca="false">IF(COUNTA(I178:L178)=0,"",SUMIFS('3 Hazed Questions'!$J$2:$J$23,'3 Hazed Questions'!$A$2:$A$23,"Q1",'3 Hazed Questions'!$C$2:$C$23,I178)+SUMIFS('3 Hazed Questions'!$J$2:$J$23,'3 Hazed Questions'!$A$2:$A$23,"Q2",'3 Hazed Questions'!$C$2:$C$23,J178)+SUMIFS('3 Hazed Questions'!$J$2:$J$23,'3 Hazed Questions'!$A$2:$A$23,"Q3",'3 Hazed Questions'!$C$2:$C$23,K178)+SUMIFS('3 Hazed Questions'!$J$2:$J$23,'3 Hazed Questions'!$A$2:$A$23,"Q4",'3 Hazed Questions'!$C$2:$C$23,L178))</f>
        <v/>
      </c>
      <c r="T178" s="14" t="str">
        <f aca="false">IF(COUNTA(I178:L178)=0,"",SUMIFS('3 Hazed Questions'!$K$2:$K$23,'3 Hazed Questions'!$A$2:$A$23,"Q1",'3 Hazed Questions'!$C$2:$C$23,I178)+SUMIFS('3 Hazed Questions'!$K$2:$K$23,'3 Hazed Questions'!$A$2:$A$23,"Q2",'3 Hazed Questions'!$C$2:$C$23,J178)+SUMIFS('3 Hazed Questions'!$K$2:$K$23,'3 Hazed Questions'!$A$2:$A$23,"Q3",'3 Hazed Questions'!$C$2:$C$23,K178)+SUMIFS('3 Hazed Questions'!$K$2:$K$23,'3 Hazed Questions'!$A$2:$A$23,"Q4",'3 Hazed Questions'!$C$2:$C$23,L178))</f>
        <v/>
      </c>
      <c r="U178" s="14" t="str">
        <f aca="false">IF(COUNTA(I178:L178)=0,"",SUMIFS('3 Hazed Questions'!$L$2:$L$23,'3 Hazed Questions'!$A$2:$A$23,"Q1",'3 Hazed Questions'!$C$2:$C$23,I178)+SUMIFS('3 Hazed Questions'!$L$2:$L$23,'3 Hazed Questions'!$A$2:$A$23,"Q2",'3 Hazed Questions'!$C$2:$C$23,J178)+SUMIFS('3 Hazed Questions'!$L$2:$L$23,'3 Hazed Questions'!$A$2:$A$23,"Q3",'3 Hazed Questions'!$C$2:$C$23,K178)+SUMIFS('3 Hazed Questions'!$L$2:$L$23,'3 Hazed Questions'!$A$2:$A$23,"Q4",'3 Hazed Questions'!$C$2:$C$23,L178))</f>
        <v/>
      </c>
      <c r="V178" s="14" t="str">
        <f aca="false">IF(COUNTA(I178:L178)=0,"",SUMIFS('3 Hazed Questions'!$M$2:$M$23,'3 Hazed Questions'!$A$2:$A$23,"Q1",'3 Hazed Questions'!$C$2:$C$23,I178)+SUMIFS('3 Hazed Questions'!$M$2:$M$23,'3 Hazed Questions'!$A$2:$A$23,"Q2",'3 Hazed Questions'!$C$2:$C$23,J178)+SUMIFS('3 Hazed Questions'!$M$2:$M$23,'3 Hazed Questions'!$A$2:$A$23,"Q3",'3 Hazed Questions'!$C$2:$C$23,K178)+SUMIFS('3 Hazed Questions'!$M$2:$M$23,'3 Hazed Questions'!$A$2:$A$23,"Q4",'3 Hazed Questions'!$C$2:$C$23,L178))</f>
        <v/>
      </c>
      <c r="W178" s="14" t="str">
        <f aca="false">IF(COUNTA(I178:L178)=0,"",SUMIFS('3 Hazed Questions'!$N$2:$N$23,'3 Hazed Questions'!$A$2:$A$23,"Q1",'3 Hazed Questions'!$C$2:$C$23,I178)+SUMIFS('3 Hazed Questions'!$N$2:$N$23,'3 Hazed Questions'!$A$2:$A$23,"Q2",'3 Hazed Questions'!$C$2:$C$23,J178)+SUMIFS('3 Hazed Questions'!$N$2:$N$23,'3 Hazed Questions'!$A$2:$A$23,"Q3",'3 Hazed Questions'!$C$2:$C$23,K178)+SUMIFS('3 Hazed Questions'!$N$2:$N$23,'3 Hazed Questions'!$A$2:$A$23,"Q4",'3 Hazed Questions'!$C$2:$C$23,L178))</f>
        <v/>
      </c>
      <c r="X178" s="14" t="str">
        <f aca="false">IF(COUNTA(I178:L178)=0,"",INDEX(Fields!$B$2:$B$50,MATCH(SUBSTITUTE(INDEX($N$1:$W$1,MATCH(MAX($N178:$W178),$N178:$W178,0)),"Score: ",""),Fields!$A$2:$A$50,0)))</f>
        <v/>
      </c>
      <c r="Y178" s="14" t="str">
        <f aca="true">IF(COUNTA(I178:L178)=0,"",IF(LARGE($N178:$W178,2)=0,"-",INDEX(Fields!$B$2:$B$50,MATCH(SUBSTITUTE(INDEX($N$1:$W$1,IF(LARGE($N178:$W178,2)=MAX($N178:$W178),MATCH(MAX($N178:$W178),OFFSET($N178:$W178,0,MATCH(MAX($N178:$W178),$N178:$W178,0),1,10-MATCH(MAX($N178:$W178),$N178:$W178,0)),0)+MATCH(MAX($N178:$W178),$N178:$W178,0),MATCH(LARGE($N178:$W178,2),$N178:$W178,0))),"Score: ",""),Fields!$A$2:$A$50,0))))</f>
        <v/>
      </c>
      <c r="Z178" s="14" t="str">
        <f aca="false">IF(M178="","",IFERROR(INDEX('3 Hazed Questions'!$O$2:$O$23,MATCH(1,INDEX(('3 Hazed Questions'!$A$2:$A$23="Q5")*('3 Hazed Questions'!$C$2:$C$23=M178),0),0))&amp;"",""))</f>
        <v/>
      </c>
      <c r="AA178" s="18"/>
      <c r="AB178" s="18"/>
      <c r="AC178" s="19"/>
      <c r="AD178" s="19"/>
      <c r="AE178" s="18"/>
      <c r="AF178" s="18"/>
      <c r="AG178" s="18"/>
    </row>
    <row r="179" customFormat="false" ht="15" hidden="false" customHeight="false" outlineLevel="0" collapsed="false">
      <c r="A179" s="18"/>
      <c r="B179" s="19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4" t="str">
        <f aca="false">IF(COUNTA(I179:L179)=0,"",SUMIFS('3 Hazed Questions'!$E$2:$E$23,'3 Hazed Questions'!$A$2:$A$23,"Q1",'3 Hazed Questions'!$C$2:$C$23,I179)+SUMIFS('3 Hazed Questions'!$E$2:$E$23,'3 Hazed Questions'!$A$2:$A$23,"Q2",'3 Hazed Questions'!$C$2:$C$23,J179)+SUMIFS('3 Hazed Questions'!$E$2:$E$23,'3 Hazed Questions'!$A$2:$A$23,"Q3",'3 Hazed Questions'!$C$2:$C$23,K179)+SUMIFS('3 Hazed Questions'!$E$2:$E$23,'3 Hazed Questions'!$A$2:$A$23,"Q4",'3 Hazed Questions'!$C$2:$C$23,L179))</f>
        <v/>
      </c>
      <c r="O179" s="14" t="str">
        <f aca="false">IF(COUNTA(I179:L179)=0,"",SUMIFS('3 Hazed Questions'!$F$2:$F$23,'3 Hazed Questions'!$A$2:$A$23,"Q1",'3 Hazed Questions'!$C$2:$C$23,I179)+SUMIFS('3 Hazed Questions'!$F$2:$F$23,'3 Hazed Questions'!$A$2:$A$23,"Q2",'3 Hazed Questions'!$C$2:$C$23,J179)+SUMIFS('3 Hazed Questions'!$F$2:$F$23,'3 Hazed Questions'!$A$2:$A$23,"Q3",'3 Hazed Questions'!$C$2:$C$23,K179)+SUMIFS('3 Hazed Questions'!$F$2:$F$23,'3 Hazed Questions'!$A$2:$A$23,"Q4",'3 Hazed Questions'!$C$2:$C$23,L179))</f>
        <v/>
      </c>
      <c r="P179" s="14" t="str">
        <f aca="false">IF(COUNTA(I179:L179)=0,"",SUMIFS('3 Hazed Questions'!$G$2:$G$23,'3 Hazed Questions'!$A$2:$A$23,"Q1",'3 Hazed Questions'!$C$2:$C$23,I179)+SUMIFS('3 Hazed Questions'!$G$2:$G$23,'3 Hazed Questions'!$A$2:$A$23,"Q2",'3 Hazed Questions'!$C$2:$C$23,J179)+SUMIFS('3 Hazed Questions'!$G$2:$G$23,'3 Hazed Questions'!$A$2:$A$23,"Q3",'3 Hazed Questions'!$C$2:$C$23,K179)+SUMIFS('3 Hazed Questions'!$G$2:$G$23,'3 Hazed Questions'!$A$2:$A$23,"Q4",'3 Hazed Questions'!$C$2:$C$23,L179))</f>
        <v/>
      </c>
      <c r="Q179" s="14" t="str">
        <f aca="false">IF(COUNTA(I179:L179)=0,"",SUMIFS('3 Hazed Questions'!$H$2:$H$23,'3 Hazed Questions'!$A$2:$A$23,"Q1",'3 Hazed Questions'!$C$2:$C$23,I179)+SUMIFS('3 Hazed Questions'!$H$2:$H$23,'3 Hazed Questions'!$A$2:$A$23,"Q2",'3 Hazed Questions'!$C$2:$C$23,J179)+SUMIFS('3 Hazed Questions'!$H$2:$H$23,'3 Hazed Questions'!$A$2:$A$23,"Q3",'3 Hazed Questions'!$C$2:$C$23,K179)+SUMIFS('3 Hazed Questions'!$H$2:$H$23,'3 Hazed Questions'!$A$2:$A$23,"Q4",'3 Hazed Questions'!$C$2:$C$23,L179))</f>
        <v/>
      </c>
      <c r="R179" s="14" t="str">
        <f aca="false">IF(COUNTA(I179:L179)=0,"",SUMIFS('3 Hazed Questions'!$I$2:$I$23,'3 Hazed Questions'!$A$2:$A$23,"Q1",'3 Hazed Questions'!$C$2:$C$23,I179)+SUMIFS('3 Hazed Questions'!$I$2:$I$23,'3 Hazed Questions'!$A$2:$A$23,"Q2",'3 Hazed Questions'!$C$2:$C$23,J179)+SUMIFS('3 Hazed Questions'!$I$2:$I$23,'3 Hazed Questions'!$A$2:$A$23,"Q3",'3 Hazed Questions'!$C$2:$C$23,K179)+SUMIFS('3 Hazed Questions'!$I$2:$I$23,'3 Hazed Questions'!$A$2:$A$23,"Q4",'3 Hazed Questions'!$C$2:$C$23,L179))</f>
        <v/>
      </c>
      <c r="S179" s="14" t="str">
        <f aca="false">IF(COUNTA(I179:L179)=0,"",SUMIFS('3 Hazed Questions'!$J$2:$J$23,'3 Hazed Questions'!$A$2:$A$23,"Q1",'3 Hazed Questions'!$C$2:$C$23,I179)+SUMIFS('3 Hazed Questions'!$J$2:$J$23,'3 Hazed Questions'!$A$2:$A$23,"Q2",'3 Hazed Questions'!$C$2:$C$23,J179)+SUMIFS('3 Hazed Questions'!$J$2:$J$23,'3 Hazed Questions'!$A$2:$A$23,"Q3",'3 Hazed Questions'!$C$2:$C$23,K179)+SUMIFS('3 Hazed Questions'!$J$2:$J$23,'3 Hazed Questions'!$A$2:$A$23,"Q4",'3 Hazed Questions'!$C$2:$C$23,L179))</f>
        <v/>
      </c>
      <c r="T179" s="14" t="str">
        <f aca="false">IF(COUNTA(I179:L179)=0,"",SUMIFS('3 Hazed Questions'!$K$2:$K$23,'3 Hazed Questions'!$A$2:$A$23,"Q1",'3 Hazed Questions'!$C$2:$C$23,I179)+SUMIFS('3 Hazed Questions'!$K$2:$K$23,'3 Hazed Questions'!$A$2:$A$23,"Q2",'3 Hazed Questions'!$C$2:$C$23,J179)+SUMIFS('3 Hazed Questions'!$K$2:$K$23,'3 Hazed Questions'!$A$2:$A$23,"Q3",'3 Hazed Questions'!$C$2:$C$23,K179)+SUMIFS('3 Hazed Questions'!$K$2:$K$23,'3 Hazed Questions'!$A$2:$A$23,"Q4",'3 Hazed Questions'!$C$2:$C$23,L179))</f>
        <v/>
      </c>
      <c r="U179" s="14" t="str">
        <f aca="false">IF(COUNTA(I179:L179)=0,"",SUMIFS('3 Hazed Questions'!$L$2:$L$23,'3 Hazed Questions'!$A$2:$A$23,"Q1",'3 Hazed Questions'!$C$2:$C$23,I179)+SUMIFS('3 Hazed Questions'!$L$2:$L$23,'3 Hazed Questions'!$A$2:$A$23,"Q2",'3 Hazed Questions'!$C$2:$C$23,J179)+SUMIFS('3 Hazed Questions'!$L$2:$L$23,'3 Hazed Questions'!$A$2:$A$23,"Q3",'3 Hazed Questions'!$C$2:$C$23,K179)+SUMIFS('3 Hazed Questions'!$L$2:$L$23,'3 Hazed Questions'!$A$2:$A$23,"Q4",'3 Hazed Questions'!$C$2:$C$23,L179))</f>
        <v/>
      </c>
      <c r="V179" s="14" t="str">
        <f aca="false">IF(COUNTA(I179:L179)=0,"",SUMIFS('3 Hazed Questions'!$M$2:$M$23,'3 Hazed Questions'!$A$2:$A$23,"Q1",'3 Hazed Questions'!$C$2:$C$23,I179)+SUMIFS('3 Hazed Questions'!$M$2:$M$23,'3 Hazed Questions'!$A$2:$A$23,"Q2",'3 Hazed Questions'!$C$2:$C$23,J179)+SUMIFS('3 Hazed Questions'!$M$2:$M$23,'3 Hazed Questions'!$A$2:$A$23,"Q3",'3 Hazed Questions'!$C$2:$C$23,K179)+SUMIFS('3 Hazed Questions'!$M$2:$M$23,'3 Hazed Questions'!$A$2:$A$23,"Q4",'3 Hazed Questions'!$C$2:$C$23,L179))</f>
        <v/>
      </c>
      <c r="W179" s="14" t="str">
        <f aca="false">IF(COUNTA(I179:L179)=0,"",SUMIFS('3 Hazed Questions'!$N$2:$N$23,'3 Hazed Questions'!$A$2:$A$23,"Q1",'3 Hazed Questions'!$C$2:$C$23,I179)+SUMIFS('3 Hazed Questions'!$N$2:$N$23,'3 Hazed Questions'!$A$2:$A$23,"Q2",'3 Hazed Questions'!$C$2:$C$23,J179)+SUMIFS('3 Hazed Questions'!$N$2:$N$23,'3 Hazed Questions'!$A$2:$A$23,"Q3",'3 Hazed Questions'!$C$2:$C$23,K179)+SUMIFS('3 Hazed Questions'!$N$2:$N$23,'3 Hazed Questions'!$A$2:$A$23,"Q4",'3 Hazed Questions'!$C$2:$C$23,L179))</f>
        <v/>
      </c>
      <c r="X179" s="14" t="str">
        <f aca="false">IF(COUNTA(I179:L179)=0,"",INDEX(Fields!$B$2:$B$50,MATCH(SUBSTITUTE(INDEX($N$1:$W$1,MATCH(MAX($N179:$W179),$N179:$W179,0)),"Score: ",""),Fields!$A$2:$A$50,0)))</f>
        <v/>
      </c>
      <c r="Y179" s="14" t="str">
        <f aca="true">IF(COUNTA(I179:L179)=0,"",IF(LARGE($N179:$W179,2)=0,"-",INDEX(Fields!$B$2:$B$50,MATCH(SUBSTITUTE(INDEX($N$1:$W$1,IF(LARGE($N179:$W179,2)=MAX($N179:$W179),MATCH(MAX($N179:$W179),OFFSET($N179:$W179,0,MATCH(MAX($N179:$W179),$N179:$W179,0),1,10-MATCH(MAX($N179:$W179),$N179:$W179,0)),0)+MATCH(MAX($N179:$W179),$N179:$W179,0),MATCH(LARGE($N179:$W179,2),$N179:$W179,0))),"Score: ",""),Fields!$A$2:$A$50,0))))</f>
        <v/>
      </c>
      <c r="Z179" s="14" t="str">
        <f aca="false">IF(M179="","",IFERROR(INDEX('3 Hazed Questions'!$O$2:$O$23,MATCH(1,INDEX(('3 Hazed Questions'!$A$2:$A$23="Q5")*('3 Hazed Questions'!$C$2:$C$23=M179),0),0))&amp;"",""))</f>
        <v/>
      </c>
      <c r="AA179" s="18"/>
      <c r="AB179" s="18"/>
      <c r="AC179" s="19"/>
      <c r="AD179" s="19"/>
      <c r="AE179" s="18"/>
      <c r="AF179" s="18"/>
      <c r="AG179" s="18"/>
    </row>
    <row r="180" customFormat="false" ht="15" hidden="false" customHeight="false" outlineLevel="0" collapsed="false">
      <c r="A180" s="18"/>
      <c r="B180" s="19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4" t="str">
        <f aca="false">IF(COUNTA(I180:L180)=0,"",SUMIFS('3 Hazed Questions'!$E$2:$E$23,'3 Hazed Questions'!$A$2:$A$23,"Q1",'3 Hazed Questions'!$C$2:$C$23,I180)+SUMIFS('3 Hazed Questions'!$E$2:$E$23,'3 Hazed Questions'!$A$2:$A$23,"Q2",'3 Hazed Questions'!$C$2:$C$23,J180)+SUMIFS('3 Hazed Questions'!$E$2:$E$23,'3 Hazed Questions'!$A$2:$A$23,"Q3",'3 Hazed Questions'!$C$2:$C$23,K180)+SUMIFS('3 Hazed Questions'!$E$2:$E$23,'3 Hazed Questions'!$A$2:$A$23,"Q4",'3 Hazed Questions'!$C$2:$C$23,L180))</f>
        <v/>
      </c>
      <c r="O180" s="14" t="str">
        <f aca="false">IF(COUNTA(I180:L180)=0,"",SUMIFS('3 Hazed Questions'!$F$2:$F$23,'3 Hazed Questions'!$A$2:$A$23,"Q1",'3 Hazed Questions'!$C$2:$C$23,I180)+SUMIFS('3 Hazed Questions'!$F$2:$F$23,'3 Hazed Questions'!$A$2:$A$23,"Q2",'3 Hazed Questions'!$C$2:$C$23,J180)+SUMIFS('3 Hazed Questions'!$F$2:$F$23,'3 Hazed Questions'!$A$2:$A$23,"Q3",'3 Hazed Questions'!$C$2:$C$23,K180)+SUMIFS('3 Hazed Questions'!$F$2:$F$23,'3 Hazed Questions'!$A$2:$A$23,"Q4",'3 Hazed Questions'!$C$2:$C$23,L180))</f>
        <v/>
      </c>
      <c r="P180" s="14" t="str">
        <f aca="false">IF(COUNTA(I180:L180)=0,"",SUMIFS('3 Hazed Questions'!$G$2:$G$23,'3 Hazed Questions'!$A$2:$A$23,"Q1",'3 Hazed Questions'!$C$2:$C$23,I180)+SUMIFS('3 Hazed Questions'!$G$2:$G$23,'3 Hazed Questions'!$A$2:$A$23,"Q2",'3 Hazed Questions'!$C$2:$C$23,J180)+SUMIFS('3 Hazed Questions'!$G$2:$G$23,'3 Hazed Questions'!$A$2:$A$23,"Q3",'3 Hazed Questions'!$C$2:$C$23,K180)+SUMIFS('3 Hazed Questions'!$G$2:$G$23,'3 Hazed Questions'!$A$2:$A$23,"Q4",'3 Hazed Questions'!$C$2:$C$23,L180))</f>
        <v/>
      </c>
      <c r="Q180" s="14" t="str">
        <f aca="false">IF(COUNTA(I180:L180)=0,"",SUMIFS('3 Hazed Questions'!$H$2:$H$23,'3 Hazed Questions'!$A$2:$A$23,"Q1",'3 Hazed Questions'!$C$2:$C$23,I180)+SUMIFS('3 Hazed Questions'!$H$2:$H$23,'3 Hazed Questions'!$A$2:$A$23,"Q2",'3 Hazed Questions'!$C$2:$C$23,J180)+SUMIFS('3 Hazed Questions'!$H$2:$H$23,'3 Hazed Questions'!$A$2:$A$23,"Q3",'3 Hazed Questions'!$C$2:$C$23,K180)+SUMIFS('3 Hazed Questions'!$H$2:$H$23,'3 Hazed Questions'!$A$2:$A$23,"Q4",'3 Hazed Questions'!$C$2:$C$23,L180))</f>
        <v/>
      </c>
      <c r="R180" s="14" t="str">
        <f aca="false">IF(COUNTA(I180:L180)=0,"",SUMIFS('3 Hazed Questions'!$I$2:$I$23,'3 Hazed Questions'!$A$2:$A$23,"Q1",'3 Hazed Questions'!$C$2:$C$23,I180)+SUMIFS('3 Hazed Questions'!$I$2:$I$23,'3 Hazed Questions'!$A$2:$A$23,"Q2",'3 Hazed Questions'!$C$2:$C$23,J180)+SUMIFS('3 Hazed Questions'!$I$2:$I$23,'3 Hazed Questions'!$A$2:$A$23,"Q3",'3 Hazed Questions'!$C$2:$C$23,K180)+SUMIFS('3 Hazed Questions'!$I$2:$I$23,'3 Hazed Questions'!$A$2:$A$23,"Q4",'3 Hazed Questions'!$C$2:$C$23,L180))</f>
        <v/>
      </c>
      <c r="S180" s="14" t="str">
        <f aca="false">IF(COUNTA(I180:L180)=0,"",SUMIFS('3 Hazed Questions'!$J$2:$J$23,'3 Hazed Questions'!$A$2:$A$23,"Q1",'3 Hazed Questions'!$C$2:$C$23,I180)+SUMIFS('3 Hazed Questions'!$J$2:$J$23,'3 Hazed Questions'!$A$2:$A$23,"Q2",'3 Hazed Questions'!$C$2:$C$23,J180)+SUMIFS('3 Hazed Questions'!$J$2:$J$23,'3 Hazed Questions'!$A$2:$A$23,"Q3",'3 Hazed Questions'!$C$2:$C$23,K180)+SUMIFS('3 Hazed Questions'!$J$2:$J$23,'3 Hazed Questions'!$A$2:$A$23,"Q4",'3 Hazed Questions'!$C$2:$C$23,L180))</f>
        <v/>
      </c>
      <c r="T180" s="14" t="str">
        <f aca="false">IF(COUNTA(I180:L180)=0,"",SUMIFS('3 Hazed Questions'!$K$2:$K$23,'3 Hazed Questions'!$A$2:$A$23,"Q1",'3 Hazed Questions'!$C$2:$C$23,I180)+SUMIFS('3 Hazed Questions'!$K$2:$K$23,'3 Hazed Questions'!$A$2:$A$23,"Q2",'3 Hazed Questions'!$C$2:$C$23,J180)+SUMIFS('3 Hazed Questions'!$K$2:$K$23,'3 Hazed Questions'!$A$2:$A$23,"Q3",'3 Hazed Questions'!$C$2:$C$23,K180)+SUMIFS('3 Hazed Questions'!$K$2:$K$23,'3 Hazed Questions'!$A$2:$A$23,"Q4",'3 Hazed Questions'!$C$2:$C$23,L180))</f>
        <v/>
      </c>
      <c r="U180" s="14" t="str">
        <f aca="false">IF(COUNTA(I180:L180)=0,"",SUMIFS('3 Hazed Questions'!$L$2:$L$23,'3 Hazed Questions'!$A$2:$A$23,"Q1",'3 Hazed Questions'!$C$2:$C$23,I180)+SUMIFS('3 Hazed Questions'!$L$2:$L$23,'3 Hazed Questions'!$A$2:$A$23,"Q2",'3 Hazed Questions'!$C$2:$C$23,J180)+SUMIFS('3 Hazed Questions'!$L$2:$L$23,'3 Hazed Questions'!$A$2:$A$23,"Q3",'3 Hazed Questions'!$C$2:$C$23,K180)+SUMIFS('3 Hazed Questions'!$L$2:$L$23,'3 Hazed Questions'!$A$2:$A$23,"Q4",'3 Hazed Questions'!$C$2:$C$23,L180))</f>
        <v/>
      </c>
      <c r="V180" s="14" t="str">
        <f aca="false">IF(COUNTA(I180:L180)=0,"",SUMIFS('3 Hazed Questions'!$M$2:$M$23,'3 Hazed Questions'!$A$2:$A$23,"Q1",'3 Hazed Questions'!$C$2:$C$23,I180)+SUMIFS('3 Hazed Questions'!$M$2:$M$23,'3 Hazed Questions'!$A$2:$A$23,"Q2",'3 Hazed Questions'!$C$2:$C$23,J180)+SUMIFS('3 Hazed Questions'!$M$2:$M$23,'3 Hazed Questions'!$A$2:$A$23,"Q3",'3 Hazed Questions'!$C$2:$C$23,K180)+SUMIFS('3 Hazed Questions'!$M$2:$M$23,'3 Hazed Questions'!$A$2:$A$23,"Q4",'3 Hazed Questions'!$C$2:$C$23,L180))</f>
        <v/>
      </c>
      <c r="W180" s="14" t="str">
        <f aca="false">IF(COUNTA(I180:L180)=0,"",SUMIFS('3 Hazed Questions'!$N$2:$N$23,'3 Hazed Questions'!$A$2:$A$23,"Q1",'3 Hazed Questions'!$C$2:$C$23,I180)+SUMIFS('3 Hazed Questions'!$N$2:$N$23,'3 Hazed Questions'!$A$2:$A$23,"Q2",'3 Hazed Questions'!$C$2:$C$23,J180)+SUMIFS('3 Hazed Questions'!$N$2:$N$23,'3 Hazed Questions'!$A$2:$A$23,"Q3",'3 Hazed Questions'!$C$2:$C$23,K180)+SUMIFS('3 Hazed Questions'!$N$2:$N$23,'3 Hazed Questions'!$A$2:$A$23,"Q4",'3 Hazed Questions'!$C$2:$C$23,L180))</f>
        <v/>
      </c>
      <c r="X180" s="14" t="str">
        <f aca="false">IF(COUNTA(I180:L180)=0,"",INDEX(Fields!$B$2:$B$50,MATCH(SUBSTITUTE(INDEX($N$1:$W$1,MATCH(MAX($N180:$W180),$N180:$W180,0)),"Score: ",""),Fields!$A$2:$A$50,0)))</f>
        <v/>
      </c>
      <c r="Y180" s="14" t="str">
        <f aca="true">IF(COUNTA(I180:L180)=0,"",IF(LARGE($N180:$W180,2)=0,"-",INDEX(Fields!$B$2:$B$50,MATCH(SUBSTITUTE(INDEX($N$1:$W$1,IF(LARGE($N180:$W180,2)=MAX($N180:$W180),MATCH(MAX($N180:$W180),OFFSET($N180:$W180,0,MATCH(MAX($N180:$W180),$N180:$W180,0),1,10-MATCH(MAX($N180:$W180),$N180:$W180,0)),0)+MATCH(MAX($N180:$W180),$N180:$W180,0),MATCH(LARGE($N180:$W180,2),$N180:$W180,0))),"Score: ",""),Fields!$A$2:$A$50,0))))</f>
        <v/>
      </c>
      <c r="Z180" s="14" t="str">
        <f aca="false">IF(M180="","",IFERROR(INDEX('3 Hazed Questions'!$O$2:$O$23,MATCH(1,INDEX(('3 Hazed Questions'!$A$2:$A$23="Q5")*('3 Hazed Questions'!$C$2:$C$23=M180),0),0))&amp;"",""))</f>
        <v/>
      </c>
      <c r="AA180" s="18"/>
      <c r="AB180" s="18"/>
      <c r="AC180" s="19"/>
      <c r="AD180" s="19"/>
      <c r="AE180" s="18"/>
      <c r="AF180" s="18"/>
      <c r="AG180" s="18"/>
    </row>
    <row r="181" customFormat="false" ht="15" hidden="false" customHeight="false" outlineLevel="0" collapsed="false">
      <c r="A181" s="18"/>
      <c r="B181" s="19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4" t="str">
        <f aca="false">IF(COUNTA(I181:L181)=0,"",SUMIFS('3 Hazed Questions'!$E$2:$E$23,'3 Hazed Questions'!$A$2:$A$23,"Q1",'3 Hazed Questions'!$C$2:$C$23,I181)+SUMIFS('3 Hazed Questions'!$E$2:$E$23,'3 Hazed Questions'!$A$2:$A$23,"Q2",'3 Hazed Questions'!$C$2:$C$23,J181)+SUMIFS('3 Hazed Questions'!$E$2:$E$23,'3 Hazed Questions'!$A$2:$A$23,"Q3",'3 Hazed Questions'!$C$2:$C$23,K181)+SUMIFS('3 Hazed Questions'!$E$2:$E$23,'3 Hazed Questions'!$A$2:$A$23,"Q4",'3 Hazed Questions'!$C$2:$C$23,L181))</f>
        <v/>
      </c>
      <c r="O181" s="14" t="str">
        <f aca="false">IF(COUNTA(I181:L181)=0,"",SUMIFS('3 Hazed Questions'!$F$2:$F$23,'3 Hazed Questions'!$A$2:$A$23,"Q1",'3 Hazed Questions'!$C$2:$C$23,I181)+SUMIFS('3 Hazed Questions'!$F$2:$F$23,'3 Hazed Questions'!$A$2:$A$23,"Q2",'3 Hazed Questions'!$C$2:$C$23,J181)+SUMIFS('3 Hazed Questions'!$F$2:$F$23,'3 Hazed Questions'!$A$2:$A$23,"Q3",'3 Hazed Questions'!$C$2:$C$23,K181)+SUMIFS('3 Hazed Questions'!$F$2:$F$23,'3 Hazed Questions'!$A$2:$A$23,"Q4",'3 Hazed Questions'!$C$2:$C$23,L181))</f>
        <v/>
      </c>
      <c r="P181" s="14" t="str">
        <f aca="false">IF(COUNTA(I181:L181)=0,"",SUMIFS('3 Hazed Questions'!$G$2:$G$23,'3 Hazed Questions'!$A$2:$A$23,"Q1",'3 Hazed Questions'!$C$2:$C$23,I181)+SUMIFS('3 Hazed Questions'!$G$2:$G$23,'3 Hazed Questions'!$A$2:$A$23,"Q2",'3 Hazed Questions'!$C$2:$C$23,J181)+SUMIFS('3 Hazed Questions'!$G$2:$G$23,'3 Hazed Questions'!$A$2:$A$23,"Q3",'3 Hazed Questions'!$C$2:$C$23,K181)+SUMIFS('3 Hazed Questions'!$G$2:$G$23,'3 Hazed Questions'!$A$2:$A$23,"Q4",'3 Hazed Questions'!$C$2:$C$23,L181))</f>
        <v/>
      </c>
      <c r="Q181" s="14" t="str">
        <f aca="false">IF(COUNTA(I181:L181)=0,"",SUMIFS('3 Hazed Questions'!$H$2:$H$23,'3 Hazed Questions'!$A$2:$A$23,"Q1",'3 Hazed Questions'!$C$2:$C$23,I181)+SUMIFS('3 Hazed Questions'!$H$2:$H$23,'3 Hazed Questions'!$A$2:$A$23,"Q2",'3 Hazed Questions'!$C$2:$C$23,J181)+SUMIFS('3 Hazed Questions'!$H$2:$H$23,'3 Hazed Questions'!$A$2:$A$23,"Q3",'3 Hazed Questions'!$C$2:$C$23,K181)+SUMIFS('3 Hazed Questions'!$H$2:$H$23,'3 Hazed Questions'!$A$2:$A$23,"Q4",'3 Hazed Questions'!$C$2:$C$23,L181))</f>
        <v/>
      </c>
      <c r="R181" s="14" t="str">
        <f aca="false">IF(COUNTA(I181:L181)=0,"",SUMIFS('3 Hazed Questions'!$I$2:$I$23,'3 Hazed Questions'!$A$2:$A$23,"Q1",'3 Hazed Questions'!$C$2:$C$23,I181)+SUMIFS('3 Hazed Questions'!$I$2:$I$23,'3 Hazed Questions'!$A$2:$A$23,"Q2",'3 Hazed Questions'!$C$2:$C$23,J181)+SUMIFS('3 Hazed Questions'!$I$2:$I$23,'3 Hazed Questions'!$A$2:$A$23,"Q3",'3 Hazed Questions'!$C$2:$C$23,K181)+SUMIFS('3 Hazed Questions'!$I$2:$I$23,'3 Hazed Questions'!$A$2:$A$23,"Q4",'3 Hazed Questions'!$C$2:$C$23,L181))</f>
        <v/>
      </c>
      <c r="S181" s="14" t="str">
        <f aca="false">IF(COUNTA(I181:L181)=0,"",SUMIFS('3 Hazed Questions'!$J$2:$J$23,'3 Hazed Questions'!$A$2:$A$23,"Q1",'3 Hazed Questions'!$C$2:$C$23,I181)+SUMIFS('3 Hazed Questions'!$J$2:$J$23,'3 Hazed Questions'!$A$2:$A$23,"Q2",'3 Hazed Questions'!$C$2:$C$23,J181)+SUMIFS('3 Hazed Questions'!$J$2:$J$23,'3 Hazed Questions'!$A$2:$A$23,"Q3",'3 Hazed Questions'!$C$2:$C$23,K181)+SUMIFS('3 Hazed Questions'!$J$2:$J$23,'3 Hazed Questions'!$A$2:$A$23,"Q4",'3 Hazed Questions'!$C$2:$C$23,L181))</f>
        <v/>
      </c>
      <c r="T181" s="14" t="str">
        <f aca="false">IF(COUNTA(I181:L181)=0,"",SUMIFS('3 Hazed Questions'!$K$2:$K$23,'3 Hazed Questions'!$A$2:$A$23,"Q1",'3 Hazed Questions'!$C$2:$C$23,I181)+SUMIFS('3 Hazed Questions'!$K$2:$K$23,'3 Hazed Questions'!$A$2:$A$23,"Q2",'3 Hazed Questions'!$C$2:$C$23,J181)+SUMIFS('3 Hazed Questions'!$K$2:$K$23,'3 Hazed Questions'!$A$2:$A$23,"Q3",'3 Hazed Questions'!$C$2:$C$23,K181)+SUMIFS('3 Hazed Questions'!$K$2:$K$23,'3 Hazed Questions'!$A$2:$A$23,"Q4",'3 Hazed Questions'!$C$2:$C$23,L181))</f>
        <v/>
      </c>
      <c r="U181" s="14" t="str">
        <f aca="false">IF(COUNTA(I181:L181)=0,"",SUMIFS('3 Hazed Questions'!$L$2:$L$23,'3 Hazed Questions'!$A$2:$A$23,"Q1",'3 Hazed Questions'!$C$2:$C$23,I181)+SUMIFS('3 Hazed Questions'!$L$2:$L$23,'3 Hazed Questions'!$A$2:$A$23,"Q2",'3 Hazed Questions'!$C$2:$C$23,J181)+SUMIFS('3 Hazed Questions'!$L$2:$L$23,'3 Hazed Questions'!$A$2:$A$23,"Q3",'3 Hazed Questions'!$C$2:$C$23,K181)+SUMIFS('3 Hazed Questions'!$L$2:$L$23,'3 Hazed Questions'!$A$2:$A$23,"Q4",'3 Hazed Questions'!$C$2:$C$23,L181))</f>
        <v/>
      </c>
      <c r="V181" s="14" t="str">
        <f aca="false">IF(COUNTA(I181:L181)=0,"",SUMIFS('3 Hazed Questions'!$M$2:$M$23,'3 Hazed Questions'!$A$2:$A$23,"Q1",'3 Hazed Questions'!$C$2:$C$23,I181)+SUMIFS('3 Hazed Questions'!$M$2:$M$23,'3 Hazed Questions'!$A$2:$A$23,"Q2",'3 Hazed Questions'!$C$2:$C$23,J181)+SUMIFS('3 Hazed Questions'!$M$2:$M$23,'3 Hazed Questions'!$A$2:$A$23,"Q3",'3 Hazed Questions'!$C$2:$C$23,K181)+SUMIFS('3 Hazed Questions'!$M$2:$M$23,'3 Hazed Questions'!$A$2:$A$23,"Q4",'3 Hazed Questions'!$C$2:$C$23,L181))</f>
        <v/>
      </c>
      <c r="W181" s="14" t="str">
        <f aca="false">IF(COUNTA(I181:L181)=0,"",SUMIFS('3 Hazed Questions'!$N$2:$N$23,'3 Hazed Questions'!$A$2:$A$23,"Q1",'3 Hazed Questions'!$C$2:$C$23,I181)+SUMIFS('3 Hazed Questions'!$N$2:$N$23,'3 Hazed Questions'!$A$2:$A$23,"Q2",'3 Hazed Questions'!$C$2:$C$23,J181)+SUMIFS('3 Hazed Questions'!$N$2:$N$23,'3 Hazed Questions'!$A$2:$A$23,"Q3",'3 Hazed Questions'!$C$2:$C$23,K181)+SUMIFS('3 Hazed Questions'!$N$2:$N$23,'3 Hazed Questions'!$A$2:$A$23,"Q4",'3 Hazed Questions'!$C$2:$C$23,L181))</f>
        <v/>
      </c>
      <c r="X181" s="14" t="str">
        <f aca="false">IF(COUNTA(I181:L181)=0,"",INDEX(Fields!$B$2:$B$50,MATCH(SUBSTITUTE(INDEX($N$1:$W$1,MATCH(MAX($N181:$W181),$N181:$W181,0)),"Score: ",""),Fields!$A$2:$A$50,0)))</f>
        <v/>
      </c>
      <c r="Y181" s="14" t="str">
        <f aca="true">IF(COUNTA(I181:L181)=0,"",IF(LARGE($N181:$W181,2)=0,"-",INDEX(Fields!$B$2:$B$50,MATCH(SUBSTITUTE(INDEX($N$1:$W$1,IF(LARGE($N181:$W181,2)=MAX($N181:$W181),MATCH(MAX($N181:$W181),OFFSET($N181:$W181,0,MATCH(MAX($N181:$W181),$N181:$W181,0),1,10-MATCH(MAX($N181:$W181),$N181:$W181,0)),0)+MATCH(MAX($N181:$W181),$N181:$W181,0),MATCH(LARGE($N181:$W181,2),$N181:$W181,0))),"Score: ",""),Fields!$A$2:$A$50,0))))</f>
        <v/>
      </c>
      <c r="Z181" s="14" t="str">
        <f aca="false">IF(M181="","",IFERROR(INDEX('3 Hazed Questions'!$O$2:$O$23,MATCH(1,INDEX(('3 Hazed Questions'!$A$2:$A$23="Q5")*('3 Hazed Questions'!$C$2:$C$23=M181),0),0))&amp;"",""))</f>
        <v/>
      </c>
      <c r="AA181" s="18"/>
      <c r="AB181" s="18"/>
      <c r="AC181" s="19"/>
      <c r="AD181" s="19"/>
      <c r="AE181" s="18"/>
      <c r="AF181" s="18"/>
      <c r="AG181" s="18"/>
    </row>
    <row r="182" customFormat="false" ht="15" hidden="false" customHeight="false" outlineLevel="0" collapsed="false">
      <c r="A182" s="18"/>
      <c r="B182" s="19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4" t="str">
        <f aca="false">IF(COUNTA(I182:L182)=0,"",SUMIFS('3 Hazed Questions'!$E$2:$E$23,'3 Hazed Questions'!$A$2:$A$23,"Q1",'3 Hazed Questions'!$C$2:$C$23,I182)+SUMIFS('3 Hazed Questions'!$E$2:$E$23,'3 Hazed Questions'!$A$2:$A$23,"Q2",'3 Hazed Questions'!$C$2:$C$23,J182)+SUMIFS('3 Hazed Questions'!$E$2:$E$23,'3 Hazed Questions'!$A$2:$A$23,"Q3",'3 Hazed Questions'!$C$2:$C$23,K182)+SUMIFS('3 Hazed Questions'!$E$2:$E$23,'3 Hazed Questions'!$A$2:$A$23,"Q4",'3 Hazed Questions'!$C$2:$C$23,L182))</f>
        <v/>
      </c>
      <c r="O182" s="14" t="str">
        <f aca="false">IF(COUNTA(I182:L182)=0,"",SUMIFS('3 Hazed Questions'!$F$2:$F$23,'3 Hazed Questions'!$A$2:$A$23,"Q1",'3 Hazed Questions'!$C$2:$C$23,I182)+SUMIFS('3 Hazed Questions'!$F$2:$F$23,'3 Hazed Questions'!$A$2:$A$23,"Q2",'3 Hazed Questions'!$C$2:$C$23,J182)+SUMIFS('3 Hazed Questions'!$F$2:$F$23,'3 Hazed Questions'!$A$2:$A$23,"Q3",'3 Hazed Questions'!$C$2:$C$23,K182)+SUMIFS('3 Hazed Questions'!$F$2:$F$23,'3 Hazed Questions'!$A$2:$A$23,"Q4",'3 Hazed Questions'!$C$2:$C$23,L182))</f>
        <v/>
      </c>
      <c r="P182" s="14" t="str">
        <f aca="false">IF(COUNTA(I182:L182)=0,"",SUMIFS('3 Hazed Questions'!$G$2:$G$23,'3 Hazed Questions'!$A$2:$A$23,"Q1",'3 Hazed Questions'!$C$2:$C$23,I182)+SUMIFS('3 Hazed Questions'!$G$2:$G$23,'3 Hazed Questions'!$A$2:$A$23,"Q2",'3 Hazed Questions'!$C$2:$C$23,J182)+SUMIFS('3 Hazed Questions'!$G$2:$G$23,'3 Hazed Questions'!$A$2:$A$23,"Q3",'3 Hazed Questions'!$C$2:$C$23,K182)+SUMIFS('3 Hazed Questions'!$G$2:$G$23,'3 Hazed Questions'!$A$2:$A$23,"Q4",'3 Hazed Questions'!$C$2:$C$23,L182))</f>
        <v/>
      </c>
      <c r="Q182" s="14" t="str">
        <f aca="false">IF(COUNTA(I182:L182)=0,"",SUMIFS('3 Hazed Questions'!$H$2:$H$23,'3 Hazed Questions'!$A$2:$A$23,"Q1",'3 Hazed Questions'!$C$2:$C$23,I182)+SUMIFS('3 Hazed Questions'!$H$2:$H$23,'3 Hazed Questions'!$A$2:$A$23,"Q2",'3 Hazed Questions'!$C$2:$C$23,J182)+SUMIFS('3 Hazed Questions'!$H$2:$H$23,'3 Hazed Questions'!$A$2:$A$23,"Q3",'3 Hazed Questions'!$C$2:$C$23,K182)+SUMIFS('3 Hazed Questions'!$H$2:$H$23,'3 Hazed Questions'!$A$2:$A$23,"Q4",'3 Hazed Questions'!$C$2:$C$23,L182))</f>
        <v/>
      </c>
      <c r="R182" s="14" t="str">
        <f aca="false">IF(COUNTA(I182:L182)=0,"",SUMIFS('3 Hazed Questions'!$I$2:$I$23,'3 Hazed Questions'!$A$2:$A$23,"Q1",'3 Hazed Questions'!$C$2:$C$23,I182)+SUMIFS('3 Hazed Questions'!$I$2:$I$23,'3 Hazed Questions'!$A$2:$A$23,"Q2",'3 Hazed Questions'!$C$2:$C$23,J182)+SUMIFS('3 Hazed Questions'!$I$2:$I$23,'3 Hazed Questions'!$A$2:$A$23,"Q3",'3 Hazed Questions'!$C$2:$C$23,K182)+SUMIFS('3 Hazed Questions'!$I$2:$I$23,'3 Hazed Questions'!$A$2:$A$23,"Q4",'3 Hazed Questions'!$C$2:$C$23,L182))</f>
        <v/>
      </c>
      <c r="S182" s="14" t="str">
        <f aca="false">IF(COUNTA(I182:L182)=0,"",SUMIFS('3 Hazed Questions'!$J$2:$J$23,'3 Hazed Questions'!$A$2:$A$23,"Q1",'3 Hazed Questions'!$C$2:$C$23,I182)+SUMIFS('3 Hazed Questions'!$J$2:$J$23,'3 Hazed Questions'!$A$2:$A$23,"Q2",'3 Hazed Questions'!$C$2:$C$23,J182)+SUMIFS('3 Hazed Questions'!$J$2:$J$23,'3 Hazed Questions'!$A$2:$A$23,"Q3",'3 Hazed Questions'!$C$2:$C$23,K182)+SUMIFS('3 Hazed Questions'!$J$2:$J$23,'3 Hazed Questions'!$A$2:$A$23,"Q4",'3 Hazed Questions'!$C$2:$C$23,L182))</f>
        <v/>
      </c>
      <c r="T182" s="14" t="str">
        <f aca="false">IF(COUNTA(I182:L182)=0,"",SUMIFS('3 Hazed Questions'!$K$2:$K$23,'3 Hazed Questions'!$A$2:$A$23,"Q1",'3 Hazed Questions'!$C$2:$C$23,I182)+SUMIFS('3 Hazed Questions'!$K$2:$K$23,'3 Hazed Questions'!$A$2:$A$23,"Q2",'3 Hazed Questions'!$C$2:$C$23,J182)+SUMIFS('3 Hazed Questions'!$K$2:$K$23,'3 Hazed Questions'!$A$2:$A$23,"Q3",'3 Hazed Questions'!$C$2:$C$23,K182)+SUMIFS('3 Hazed Questions'!$K$2:$K$23,'3 Hazed Questions'!$A$2:$A$23,"Q4",'3 Hazed Questions'!$C$2:$C$23,L182))</f>
        <v/>
      </c>
      <c r="U182" s="14" t="str">
        <f aca="false">IF(COUNTA(I182:L182)=0,"",SUMIFS('3 Hazed Questions'!$L$2:$L$23,'3 Hazed Questions'!$A$2:$A$23,"Q1",'3 Hazed Questions'!$C$2:$C$23,I182)+SUMIFS('3 Hazed Questions'!$L$2:$L$23,'3 Hazed Questions'!$A$2:$A$23,"Q2",'3 Hazed Questions'!$C$2:$C$23,J182)+SUMIFS('3 Hazed Questions'!$L$2:$L$23,'3 Hazed Questions'!$A$2:$A$23,"Q3",'3 Hazed Questions'!$C$2:$C$23,K182)+SUMIFS('3 Hazed Questions'!$L$2:$L$23,'3 Hazed Questions'!$A$2:$A$23,"Q4",'3 Hazed Questions'!$C$2:$C$23,L182))</f>
        <v/>
      </c>
      <c r="V182" s="14" t="str">
        <f aca="false">IF(COUNTA(I182:L182)=0,"",SUMIFS('3 Hazed Questions'!$M$2:$M$23,'3 Hazed Questions'!$A$2:$A$23,"Q1",'3 Hazed Questions'!$C$2:$C$23,I182)+SUMIFS('3 Hazed Questions'!$M$2:$M$23,'3 Hazed Questions'!$A$2:$A$23,"Q2",'3 Hazed Questions'!$C$2:$C$23,J182)+SUMIFS('3 Hazed Questions'!$M$2:$M$23,'3 Hazed Questions'!$A$2:$A$23,"Q3",'3 Hazed Questions'!$C$2:$C$23,K182)+SUMIFS('3 Hazed Questions'!$M$2:$M$23,'3 Hazed Questions'!$A$2:$A$23,"Q4",'3 Hazed Questions'!$C$2:$C$23,L182))</f>
        <v/>
      </c>
      <c r="W182" s="14" t="str">
        <f aca="false">IF(COUNTA(I182:L182)=0,"",SUMIFS('3 Hazed Questions'!$N$2:$N$23,'3 Hazed Questions'!$A$2:$A$23,"Q1",'3 Hazed Questions'!$C$2:$C$23,I182)+SUMIFS('3 Hazed Questions'!$N$2:$N$23,'3 Hazed Questions'!$A$2:$A$23,"Q2",'3 Hazed Questions'!$C$2:$C$23,J182)+SUMIFS('3 Hazed Questions'!$N$2:$N$23,'3 Hazed Questions'!$A$2:$A$23,"Q3",'3 Hazed Questions'!$C$2:$C$23,K182)+SUMIFS('3 Hazed Questions'!$N$2:$N$23,'3 Hazed Questions'!$A$2:$A$23,"Q4",'3 Hazed Questions'!$C$2:$C$23,L182))</f>
        <v/>
      </c>
      <c r="X182" s="14" t="str">
        <f aca="false">IF(COUNTA(I182:L182)=0,"",INDEX(Fields!$B$2:$B$50,MATCH(SUBSTITUTE(INDEX($N$1:$W$1,MATCH(MAX($N182:$W182),$N182:$W182,0)),"Score: ",""),Fields!$A$2:$A$50,0)))</f>
        <v/>
      </c>
      <c r="Y182" s="14" t="str">
        <f aca="true">IF(COUNTA(I182:L182)=0,"",IF(LARGE($N182:$W182,2)=0,"-",INDEX(Fields!$B$2:$B$50,MATCH(SUBSTITUTE(INDEX($N$1:$W$1,IF(LARGE($N182:$W182,2)=MAX($N182:$W182),MATCH(MAX($N182:$W182),OFFSET($N182:$W182,0,MATCH(MAX($N182:$W182),$N182:$W182,0),1,10-MATCH(MAX($N182:$W182),$N182:$W182,0)),0)+MATCH(MAX($N182:$W182),$N182:$W182,0),MATCH(LARGE($N182:$W182,2),$N182:$W182,0))),"Score: ",""),Fields!$A$2:$A$50,0))))</f>
        <v/>
      </c>
      <c r="Z182" s="14" t="str">
        <f aca="false">IF(M182="","",IFERROR(INDEX('3 Hazed Questions'!$O$2:$O$23,MATCH(1,INDEX(('3 Hazed Questions'!$A$2:$A$23="Q5")*('3 Hazed Questions'!$C$2:$C$23=M182),0),0))&amp;"",""))</f>
        <v/>
      </c>
      <c r="AA182" s="18"/>
      <c r="AB182" s="18"/>
      <c r="AC182" s="19"/>
      <c r="AD182" s="19"/>
      <c r="AE182" s="18"/>
      <c r="AF182" s="18"/>
      <c r="AG182" s="18"/>
    </row>
    <row r="183" customFormat="false" ht="15" hidden="false" customHeight="false" outlineLevel="0" collapsed="false">
      <c r="A183" s="18"/>
      <c r="B183" s="19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4" t="str">
        <f aca="false">IF(COUNTA(I183:L183)=0,"",SUMIFS('3 Hazed Questions'!$E$2:$E$23,'3 Hazed Questions'!$A$2:$A$23,"Q1",'3 Hazed Questions'!$C$2:$C$23,I183)+SUMIFS('3 Hazed Questions'!$E$2:$E$23,'3 Hazed Questions'!$A$2:$A$23,"Q2",'3 Hazed Questions'!$C$2:$C$23,J183)+SUMIFS('3 Hazed Questions'!$E$2:$E$23,'3 Hazed Questions'!$A$2:$A$23,"Q3",'3 Hazed Questions'!$C$2:$C$23,K183)+SUMIFS('3 Hazed Questions'!$E$2:$E$23,'3 Hazed Questions'!$A$2:$A$23,"Q4",'3 Hazed Questions'!$C$2:$C$23,L183))</f>
        <v/>
      </c>
      <c r="O183" s="14" t="str">
        <f aca="false">IF(COUNTA(I183:L183)=0,"",SUMIFS('3 Hazed Questions'!$F$2:$F$23,'3 Hazed Questions'!$A$2:$A$23,"Q1",'3 Hazed Questions'!$C$2:$C$23,I183)+SUMIFS('3 Hazed Questions'!$F$2:$F$23,'3 Hazed Questions'!$A$2:$A$23,"Q2",'3 Hazed Questions'!$C$2:$C$23,J183)+SUMIFS('3 Hazed Questions'!$F$2:$F$23,'3 Hazed Questions'!$A$2:$A$23,"Q3",'3 Hazed Questions'!$C$2:$C$23,K183)+SUMIFS('3 Hazed Questions'!$F$2:$F$23,'3 Hazed Questions'!$A$2:$A$23,"Q4",'3 Hazed Questions'!$C$2:$C$23,L183))</f>
        <v/>
      </c>
      <c r="P183" s="14" t="str">
        <f aca="false">IF(COUNTA(I183:L183)=0,"",SUMIFS('3 Hazed Questions'!$G$2:$G$23,'3 Hazed Questions'!$A$2:$A$23,"Q1",'3 Hazed Questions'!$C$2:$C$23,I183)+SUMIFS('3 Hazed Questions'!$G$2:$G$23,'3 Hazed Questions'!$A$2:$A$23,"Q2",'3 Hazed Questions'!$C$2:$C$23,J183)+SUMIFS('3 Hazed Questions'!$G$2:$G$23,'3 Hazed Questions'!$A$2:$A$23,"Q3",'3 Hazed Questions'!$C$2:$C$23,K183)+SUMIFS('3 Hazed Questions'!$G$2:$G$23,'3 Hazed Questions'!$A$2:$A$23,"Q4",'3 Hazed Questions'!$C$2:$C$23,L183))</f>
        <v/>
      </c>
      <c r="Q183" s="14" t="str">
        <f aca="false">IF(COUNTA(I183:L183)=0,"",SUMIFS('3 Hazed Questions'!$H$2:$H$23,'3 Hazed Questions'!$A$2:$A$23,"Q1",'3 Hazed Questions'!$C$2:$C$23,I183)+SUMIFS('3 Hazed Questions'!$H$2:$H$23,'3 Hazed Questions'!$A$2:$A$23,"Q2",'3 Hazed Questions'!$C$2:$C$23,J183)+SUMIFS('3 Hazed Questions'!$H$2:$H$23,'3 Hazed Questions'!$A$2:$A$23,"Q3",'3 Hazed Questions'!$C$2:$C$23,K183)+SUMIFS('3 Hazed Questions'!$H$2:$H$23,'3 Hazed Questions'!$A$2:$A$23,"Q4",'3 Hazed Questions'!$C$2:$C$23,L183))</f>
        <v/>
      </c>
      <c r="R183" s="14" t="str">
        <f aca="false">IF(COUNTA(I183:L183)=0,"",SUMIFS('3 Hazed Questions'!$I$2:$I$23,'3 Hazed Questions'!$A$2:$A$23,"Q1",'3 Hazed Questions'!$C$2:$C$23,I183)+SUMIFS('3 Hazed Questions'!$I$2:$I$23,'3 Hazed Questions'!$A$2:$A$23,"Q2",'3 Hazed Questions'!$C$2:$C$23,J183)+SUMIFS('3 Hazed Questions'!$I$2:$I$23,'3 Hazed Questions'!$A$2:$A$23,"Q3",'3 Hazed Questions'!$C$2:$C$23,K183)+SUMIFS('3 Hazed Questions'!$I$2:$I$23,'3 Hazed Questions'!$A$2:$A$23,"Q4",'3 Hazed Questions'!$C$2:$C$23,L183))</f>
        <v/>
      </c>
      <c r="S183" s="14" t="str">
        <f aca="false">IF(COUNTA(I183:L183)=0,"",SUMIFS('3 Hazed Questions'!$J$2:$J$23,'3 Hazed Questions'!$A$2:$A$23,"Q1",'3 Hazed Questions'!$C$2:$C$23,I183)+SUMIFS('3 Hazed Questions'!$J$2:$J$23,'3 Hazed Questions'!$A$2:$A$23,"Q2",'3 Hazed Questions'!$C$2:$C$23,J183)+SUMIFS('3 Hazed Questions'!$J$2:$J$23,'3 Hazed Questions'!$A$2:$A$23,"Q3",'3 Hazed Questions'!$C$2:$C$23,K183)+SUMIFS('3 Hazed Questions'!$J$2:$J$23,'3 Hazed Questions'!$A$2:$A$23,"Q4",'3 Hazed Questions'!$C$2:$C$23,L183))</f>
        <v/>
      </c>
      <c r="T183" s="14" t="str">
        <f aca="false">IF(COUNTA(I183:L183)=0,"",SUMIFS('3 Hazed Questions'!$K$2:$K$23,'3 Hazed Questions'!$A$2:$A$23,"Q1",'3 Hazed Questions'!$C$2:$C$23,I183)+SUMIFS('3 Hazed Questions'!$K$2:$K$23,'3 Hazed Questions'!$A$2:$A$23,"Q2",'3 Hazed Questions'!$C$2:$C$23,J183)+SUMIFS('3 Hazed Questions'!$K$2:$K$23,'3 Hazed Questions'!$A$2:$A$23,"Q3",'3 Hazed Questions'!$C$2:$C$23,K183)+SUMIFS('3 Hazed Questions'!$K$2:$K$23,'3 Hazed Questions'!$A$2:$A$23,"Q4",'3 Hazed Questions'!$C$2:$C$23,L183))</f>
        <v/>
      </c>
      <c r="U183" s="14" t="str">
        <f aca="false">IF(COUNTA(I183:L183)=0,"",SUMIFS('3 Hazed Questions'!$L$2:$L$23,'3 Hazed Questions'!$A$2:$A$23,"Q1",'3 Hazed Questions'!$C$2:$C$23,I183)+SUMIFS('3 Hazed Questions'!$L$2:$L$23,'3 Hazed Questions'!$A$2:$A$23,"Q2",'3 Hazed Questions'!$C$2:$C$23,J183)+SUMIFS('3 Hazed Questions'!$L$2:$L$23,'3 Hazed Questions'!$A$2:$A$23,"Q3",'3 Hazed Questions'!$C$2:$C$23,K183)+SUMIFS('3 Hazed Questions'!$L$2:$L$23,'3 Hazed Questions'!$A$2:$A$23,"Q4",'3 Hazed Questions'!$C$2:$C$23,L183))</f>
        <v/>
      </c>
      <c r="V183" s="14" t="str">
        <f aca="false">IF(COUNTA(I183:L183)=0,"",SUMIFS('3 Hazed Questions'!$M$2:$M$23,'3 Hazed Questions'!$A$2:$A$23,"Q1",'3 Hazed Questions'!$C$2:$C$23,I183)+SUMIFS('3 Hazed Questions'!$M$2:$M$23,'3 Hazed Questions'!$A$2:$A$23,"Q2",'3 Hazed Questions'!$C$2:$C$23,J183)+SUMIFS('3 Hazed Questions'!$M$2:$M$23,'3 Hazed Questions'!$A$2:$A$23,"Q3",'3 Hazed Questions'!$C$2:$C$23,K183)+SUMIFS('3 Hazed Questions'!$M$2:$M$23,'3 Hazed Questions'!$A$2:$A$23,"Q4",'3 Hazed Questions'!$C$2:$C$23,L183))</f>
        <v/>
      </c>
      <c r="W183" s="14" t="str">
        <f aca="false">IF(COUNTA(I183:L183)=0,"",SUMIFS('3 Hazed Questions'!$N$2:$N$23,'3 Hazed Questions'!$A$2:$A$23,"Q1",'3 Hazed Questions'!$C$2:$C$23,I183)+SUMIFS('3 Hazed Questions'!$N$2:$N$23,'3 Hazed Questions'!$A$2:$A$23,"Q2",'3 Hazed Questions'!$C$2:$C$23,J183)+SUMIFS('3 Hazed Questions'!$N$2:$N$23,'3 Hazed Questions'!$A$2:$A$23,"Q3",'3 Hazed Questions'!$C$2:$C$23,K183)+SUMIFS('3 Hazed Questions'!$N$2:$N$23,'3 Hazed Questions'!$A$2:$A$23,"Q4",'3 Hazed Questions'!$C$2:$C$23,L183))</f>
        <v/>
      </c>
      <c r="X183" s="14" t="str">
        <f aca="false">IF(COUNTA(I183:L183)=0,"",INDEX(Fields!$B$2:$B$50,MATCH(SUBSTITUTE(INDEX($N$1:$W$1,MATCH(MAX($N183:$W183),$N183:$W183,0)),"Score: ",""),Fields!$A$2:$A$50,0)))</f>
        <v/>
      </c>
      <c r="Y183" s="14" t="str">
        <f aca="true">IF(COUNTA(I183:L183)=0,"",IF(LARGE($N183:$W183,2)=0,"-",INDEX(Fields!$B$2:$B$50,MATCH(SUBSTITUTE(INDEX($N$1:$W$1,IF(LARGE($N183:$W183,2)=MAX($N183:$W183),MATCH(MAX($N183:$W183),OFFSET($N183:$W183,0,MATCH(MAX($N183:$W183),$N183:$W183,0),1,10-MATCH(MAX($N183:$W183),$N183:$W183,0)),0)+MATCH(MAX($N183:$W183),$N183:$W183,0),MATCH(LARGE($N183:$W183,2),$N183:$W183,0))),"Score: ",""),Fields!$A$2:$A$50,0))))</f>
        <v/>
      </c>
      <c r="Z183" s="14" t="str">
        <f aca="false">IF(M183="","",IFERROR(INDEX('3 Hazed Questions'!$O$2:$O$23,MATCH(1,INDEX(('3 Hazed Questions'!$A$2:$A$23="Q5")*('3 Hazed Questions'!$C$2:$C$23=M183),0),0))&amp;"",""))</f>
        <v/>
      </c>
      <c r="AA183" s="18"/>
      <c r="AB183" s="18"/>
      <c r="AC183" s="19"/>
      <c r="AD183" s="19"/>
      <c r="AE183" s="18"/>
      <c r="AF183" s="18"/>
      <c r="AG183" s="18"/>
    </row>
    <row r="184" customFormat="false" ht="15" hidden="false" customHeight="false" outlineLevel="0" collapsed="false">
      <c r="A184" s="18"/>
      <c r="B184" s="19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4" t="str">
        <f aca="false">IF(COUNTA(I184:L184)=0,"",SUMIFS('3 Hazed Questions'!$E$2:$E$23,'3 Hazed Questions'!$A$2:$A$23,"Q1",'3 Hazed Questions'!$C$2:$C$23,I184)+SUMIFS('3 Hazed Questions'!$E$2:$E$23,'3 Hazed Questions'!$A$2:$A$23,"Q2",'3 Hazed Questions'!$C$2:$C$23,J184)+SUMIFS('3 Hazed Questions'!$E$2:$E$23,'3 Hazed Questions'!$A$2:$A$23,"Q3",'3 Hazed Questions'!$C$2:$C$23,K184)+SUMIFS('3 Hazed Questions'!$E$2:$E$23,'3 Hazed Questions'!$A$2:$A$23,"Q4",'3 Hazed Questions'!$C$2:$C$23,L184))</f>
        <v/>
      </c>
      <c r="O184" s="14" t="str">
        <f aca="false">IF(COUNTA(I184:L184)=0,"",SUMIFS('3 Hazed Questions'!$F$2:$F$23,'3 Hazed Questions'!$A$2:$A$23,"Q1",'3 Hazed Questions'!$C$2:$C$23,I184)+SUMIFS('3 Hazed Questions'!$F$2:$F$23,'3 Hazed Questions'!$A$2:$A$23,"Q2",'3 Hazed Questions'!$C$2:$C$23,J184)+SUMIFS('3 Hazed Questions'!$F$2:$F$23,'3 Hazed Questions'!$A$2:$A$23,"Q3",'3 Hazed Questions'!$C$2:$C$23,K184)+SUMIFS('3 Hazed Questions'!$F$2:$F$23,'3 Hazed Questions'!$A$2:$A$23,"Q4",'3 Hazed Questions'!$C$2:$C$23,L184))</f>
        <v/>
      </c>
      <c r="P184" s="14" t="str">
        <f aca="false">IF(COUNTA(I184:L184)=0,"",SUMIFS('3 Hazed Questions'!$G$2:$G$23,'3 Hazed Questions'!$A$2:$A$23,"Q1",'3 Hazed Questions'!$C$2:$C$23,I184)+SUMIFS('3 Hazed Questions'!$G$2:$G$23,'3 Hazed Questions'!$A$2:$A$23,"Q2",'3 Hazed Questions'!$C$2:$C$23,J184)+SUMIFS('3 Hazed Questions'!$G$2:$G$23,'3 Hazed Questions'!$A$2:$A$23,"Q3",'3 Hazed Questions'!$C$2:$C$23,K184)+SUMIFS('3 Hazed Questions'!$G$2:$G$23,'3 Hazed Questions'!$A$2:$A$23,"Q4",'3 Hazed Questions'!$C$2:$C$23,L184))</f>
        <v/>
      </c>
      <c r="Q184" s="14" t="str">
        <f aca="false">IF(COUNTA(I184:L184)=0,"",SUMIFS('3 Hazed Questions'!$H$2:$H$23,'3 Hazed Questions'!$A$2:$A$23,"Q1",'3 Hazed Questions'!$C$2:$C$23,I184)+SUMIFS('3 Hazed Questions'!$H$2:$H$23,'3 Hazed Questions'!$A$2:$A$23,"Q2",'3 Hazed Questions'!$C$2:$C$23,J184)+SUMIFS('3 Hazed Questions'!$H$2:$H$23,'3 Hazed Questions'!$A$2:$A$23,"Q3",'3 Hazed Questions'!$C$2:$C$23,K184)+SUMIFS('3 Hazed Questions'!$H$2:$H$23,'3 Hazed Questions'!$A$2:$A$23,"Q4",'3 Hazed Questions'!$C$2:$C$23,L184))</f>
        <v/>
      </c>
      <c r="R184" s="14" t="str">
        <f aca="false">IF(COUNTA(I184:L184)=0,"",SUMIFS('3 Hazed Questions'!$I$2:$I$23,'3 Hazed Questions'!$A$2:$A$23,"Q1",'3 Hazed Questions'!$C$2:$C$23,I184)+SUMIFS('3 Hazed Questions'!$I$2:$I$23,'3 Hazed Questions'!$A$2:$A$23,"Q2",'3 Hazed Questions'!$C$2:$C$23,J184)+SUMIFS('3 Hazed Questions'!$I$2:$I$23,'3 Hazed Questions'!$A$2:$A$23,"Q3",'3 Hazed Questions'!$C$2:$C$23,K184)+SUMIFS('3 Hazed Questions'!$I$2:$I$23,'3 Hazed Questions'!$A$2:$A$23,"Q4",'3 Hazed Questions'!$C$2:$C$23,L184))</f>
        <v/>
      </c>
      <c r="S184" s="14" t="str">
        <f aca="false">IF(COUNTA(I184:L184)=0,"",SUMIFS('3 Hazed Questions'!$J$2:$J$23,'3 Hazed Questions'!$A$2:$A$23,"Q1",'3 Hazed Questions'!$C$2:$C$23,I184)+SUMIFS('3 Hazed Questions'!$J$2:$J$23,'3 Hazed Questions'!$A$2:$A$23,"Q2",'3 Hazed Questions'!$C$2:$C$23,J184)+SUMIFS('3 Hazed Questions'!$J$2:$J$23,'3 Hazed Questions'!$A$2:$A$23,"Q3",'3 Hazed Questions'!$C$2:$C$23,K184)+SUMIFS('3 Hazed Questions'!$J$2:$J$23,'3 Hazed Questions'!$A$2:$A$23,"Q4",'3 Hazed Questions'!$C$2:$C$23,L184))</f>
        <v/>
      </c>
      <c r="T184" s="14" t="str">
        <f aca="false">IF(COUNTA(I184:L184)=0,"",SUMIFS('3 Hazed Questions'!$K$2:$K$23,'3 Hazed Questions'!$A$2:$A$23,"Q1",'3 Hazed Questions'!$C$2:$C$23,I184)+SUMIFS('3 Hazed Questions'!$K$2:$K$23,'3 Hazed Questions'!$A$2:$A$23,"Q2",'3 Hazed Questions'!$C$2:$C$23,J184)+SUMIFS('3 Hazed Questions'!$K$2:$K$23,'3 Hazed Questions'!$A$2:$A$23,"Q3",'3 Hazed Questions'!$C$2:$C$23,K184)+SUMIFS('3 Hazed Questions'!$K$2:$K$23,'3 Hazed Questions'!$A$2:$A$23,"Q4",'3 Hazed Questions'!$C$2:$C$23,L184))</f>
        <v/>
      </c>
      <c r="U184" s="14" t="str">
        <f aca="false">IF(COUNTA(I184:L184)=0,"",SUMIFS('3 Hazed Questions'!$L$2:$L$23,'3 Hazed Questions'!$A$2:$A$23,"Q1",'3 Hazed Questions'!$C$2:$C$23,I184)+SUMIFS('3 Hazed Questions'!$L$2:$L$23,'3 Hazed Questions'!$A$2:$A$23,"Q2",'3 Hazed Questions'!$C$2:$C$23,J184)+SUMIFS('3 Hazed Questions'!$L$2:$L$23,'3 Hazed Questions'!$A$2:$A$23,"Q3",'3 Hazed Questions'!$C$2:$C$23,K184)+SUMIFS('3 Hazed Questions'!$L$2:$L$23,'3 Hazed Questions'!$A$2:$A$23,"Q4",'3 Hazed Questions'!$C$2:$C$23,L184))</f>
        <v/>
      </c>
      <c r="V184" s="14" t="str">
        <f aca="false">IF(COUNTA(I184:L184)=0,"",SUMIFS('3 Hazed Questions'!$M$2:$M$23,'3 Hazed Questions'!$A$2:$A$23,"Q1",'3 Hazed Questions'!$C$2:$C$23,I184)+SUMIFS('3 Hazed Questions'!$M$2:$M$23,'3 Hazed Questions'!$A$2:$A$23,"Q2",'3 Hazed Questions'!$C$2:$C$23,J184)+SUMIFS('3 Hazed Questions'!$M$2:$M$23,'3 Hazed Questions'!$A$2:$A$23,"Q3",'3 Hazed Questions'!$C$2:$C$23,K184)+SUMIFS('3 Hazed Questions'!$M$2:$M$23,'3 Hazed Questions'!$A$2:$A$23,"Q4",'3 Hazed Questions'!$C$2:$C$23,L184))</f>
        <v/>
      </c>
      <c r="W184" s="14" t="str">
        <f aca="false">IF(COUNTA(I184:L184)=0,"",SUMIFS('3 Hazed Questions'!$N$2:$N$23,'3 Hazed Questions'!$A$2:$A$23,"Q1",'3 Hazed Questions'!$C$2:$C$23,I184)+SUMIFS('3 Hazed Questions'!$N$2:$N$23,'3 Hazed Questions'!$A$2:$A$23,"Q2",'3 Hazed Questions'!$C$2:$C$23,J184)+SUMIFS('3 Hazed Questions'!$N$2:$N$23,'3 Hazed Questions'!$A$2:$A$23,"Q3",'3 Hazed Questions'!$C$2:$C$23,K184)+SUMIFS('3 Hazed Questions'!$N$2:$N$23,'3 Hazed Questions'!$A$2:$A$23,"Q4",'3 Hazed Questions'!$C$2:$C$23,L184))</f>
        <v/>
      </c>
      <c r="X184" s="14" t="str">
        <f aca="false">IF(COUNTA(I184:L184)=0,"",INDEX(Fields!$B$2:$B$50,MATCH(SUBSTITUTE(INDEX($N$1:$W$1,MATCH(MAX($N184:$W184),$N184:$W184,0)),"Score: ",""),Fields!$A$2:$A$50,0)))</f>
        <v/>
      </c>
      <c r="Y184" s="14" t="str">
        <f aca="true">IF(COUNTA(I184:L184)=0,"",IF(LARGE($N184:$W184,2)=0,"-",INDEX(Fields!$B$2:$B$50,MATCH(SUBSTITUTE(INDEX($N$1:$W$1,IF(LARGE($N184:$W184,2)=MAX($N184:$W184),MATCH(MAX($N184:$W184),OFFSET($N184:$W184,0,MATCH(MAX($N184:$W184),$N184:$W184,0),1,10-MATCH(MAX($N184:$W184),$N184:$W184,0)),0)+MATCH(MAX($N184:$W184),$N184:$W184,0),MATCH(LARGE($N184:$W184,2),$N184:$W184,0))),"Score: ",""),Fields!$A$2:$A$50,0))))</f>
        <v/>
      </c>
      <c r="Z184" s="14" t="str">
        <f aca="false">IF(M184="","",IFERROR(INDEX('3 Hazed Questions'!$O$2:$O$23,MATCH(1,INDEX(('3 Hazed Questions'!$A$2:$A$23="Q5")*('3 Hazed Questions'!$C$2:$C$23=M184),0),0))&amp;"",""))</f>
        <v/>
      </c>
      <c r="AA184" s="18"/>
      <c r="AB184" s="18"/>
      <c r="AC184" s="19"/>
      <c r="AD184" s="19"/>
      <c r="AE184" s="18"/>
      <c r="AF184" s="18"/>
      <c r="AG184" s="18"/>
    </row>
    <row r="185" customFormat="false" ht="15" hidden="false" customHeight="false" outlineLevel="0" collapsed="false">
      <c r="A185" s="18"/>
      <c r="B185" s="19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4" t="str">
        <f aca="false">IF(COUNTA(I185:L185)=0,"",SUMIFS('3 Hazed Questions'!$E$2:$E$23,'3 Hazed Questions'!$A$2:$A$23,"Q1",'3 Hazed Questions'!$C$2:$C$23,I185)+SUMIFS('3 Hazed Questions'!$E$2:$E$23,'3 Hazed Questions'!$A$2:$A$23,"Q2",'3 Hazed Questions'!$C$2:$C$23,J185)+SUMIFS('3 Hazed Questions'!$E$2:$E$23,'3 Hazed Questions'!$A$2:$A$23,"Q3",'3 Hazed Questions'!$C$2:$C$23,K185)+SUMIFS('3 Hazed Questions'!$E$2:$E$23,'3 Hazed Questions'!$A$2:$A$23,"Q4",'3 Hazed Questions'!$C$2:$C$23,L185))</f>
        <v/>
      </c>
      <c r="O185" s="14" t="str">
        <f aca="false">IF(COUNTA(I185:L185)=0,"",SUMIFS('3 Hazed Questions'!$F$2:$F$23,'3 Hazed Questions'!$A$2:$A$23,"Q1",'3 Hazed Questions'!$C$2:$C$23,I185)+SUMIFS('3 Hazed Questions'!$F$2:$F$23,'3 Hazed Questions'!$A$2:$A$23,"Q2",'3 Hazed Questions'!$C$2:$C$23,J185)+SUMIFS('3 Hazed Questions'!$F$2:$F$23,'3 Hazed Questions'!$A$2:$A$23,"Q3",'3 Hazed Questions'!$C$2:$C$23,K185)+SUMIFS('3 Hazed Questions'!$F$2:$F$23,'3 Hazed Questions'!$A$2:$A$23,"Q4",'3 Hazed Questions'!$C$2:$C$23,L185))</f>
        <v/>
      </c>
      <c r="P185" s="14" t="str">
        <f aca="false">IF(COUNTA(I185:L185)=0,"",SUMIFS('3 Hazed Questions'!$G$2:$G$23,'3 Hazed Questions'!$A$2:$A$23,"Q1",'3 Hazed Questions'!$C$2:$C$23,I185)+SUMIFS('3 Hazed Questions'!$G$2:$G$23,'3 Hazed Questions'!$A$2:$A$23,"Q2",'3 Hazed Questions'!$C$2:$C$23,J185)+SUMIFS('3 Hazed Questions'!$G$2:$G$23,'3 Hazed Questions'!$A$2:$A$23,"Q3",'3 Hazed Questions'!$C$2:$C$23,K185)+SUMIFS('3 Hazed Questions'!$G$2:$G$23,'3 Hazed Questions'!$A$2:$A$23,"Q4",'3 Hazed Questions'!$C$2:$C$23,L185))</f>
        <v/>
      </c>
      <c r="Q185" s="14" t="str">
        <f aca="false">IF(COUNTA(I185:L185)=0,"",SUMIFS('3 Hazed Questions'!$H$2:$H$23,'3 Hazed Questions'!$A$2:$A$23,"Q1",'3 Hazed Questions'!$C$2:$C$23,I185)+SUMIFS('3 Hazed Questions'!$H$2:$H$23,'3 Hazed Questions'!$A$2:$A$23,"Q2",'3 Hazed Questions'!$C$2:$C$23,J185)+SUMIFS('3 Hazed Questions'!$H$2:$H$23,'3 Hazed Questions'!$A$2:$A$23,"Q3",'3 Hazed Questions'!$C$2:$C$23,K185)+SUMIFS('3 Hazed Questions'!$H$2:$H$23,'3 Hazed Questions'!$A$2:$A$23,"Q4",'3 Hazed Questions'!$C$2:$C$23,L185))</f>
        <v/>
      </c>
      <c r="R185" s="14" t="str">
        <f aca="false">IF(COUNTA(I185:L185)=0,"",SUMIFS('3 Hazed Questions'!$I$2:$I$23,'3 Hazed Questions'!$A$2:$A$23,"Q1",'3 Hazed Questions'!$C$2:$C$23,I185)+SUMIFS('3 Hazed Questions'!$I$2:$I$23,'3 Hazed Questions'!$A$2:$A$23,"Q2",'3 Hazed Questions'!$C$2:$C$23,J185)+SUMIFS('3 Hazed Questions'!$I$2:$I$23,'3 Hazed Questions'!$A$2:$A$23,"Q3",'3 Hazed Questions'!$C$2:$C$23,K185)+SUMIFS('3 Hazed Questions'!$I$2:$I$23,'3 Hazed Questions'!$A$2:$A$23,"Q4",'3 Hazed Questions'!$C$2:$C$23,L185))</f>
        <v/>
      </c>
      <c r="S185" s="14" t="str">
        <f aca="false">IF(COUNTA(I185:L185)=0,"",SUMIFS('3 Hazed Questions'!$J$2:$J$23,'3 Hazed Questions'!$A$2:$A$23,"Q1",'3 Hazed Questions'!$C$2:$C$23,I185)+SUMIFS('3 Hazed Questions'!$J$2:$J$23,'3 Hazed Questions'!$A$2:$A$23,"Q2",'3 Hazed Questions'!$C$2:$C$23,J185)+SUMIFS('3 Hazed Questions'!$J$2:$J$23,'3 Hazed Questions'!$A$2:$A$23,"Q3",'3 Hazed Questions'!$C$2:$C$23,K185)+SUMIFS('3 Hazed Questions'!$J$2:$J$23,'3 Hazed Questions'!$A$2:$A$23,"Q4",'3 Hazed Questions'!$C$2:$C$23,L185))</f>
        <v/>
      </c>
      <c r="T185" s="14" t="str">
        <f aca="false">IF(COUNTA(I185:L185)=0,"",SUMIFS('3 Hazed Questions'!$K$2:$K$23,'3 Hazed Questions'!$A$2:$A$23,"Q1",'3 Hazed Questions'!$C$2:$C$23,I185)+SUMIFS('3 Hazed Questions'!$K$2:$K$23,'3 Hazed Questions'!$A$2:$A$23,"Q2",'3 Hazed Questions'!$C$2:$C$23,J185)+SUMIFS('3 Hazed Questions'!$K$2:$K$23,'3 Hazed Questions'!$A$2:$A$23,"Q3",'3 Hazed Questions'!$C$2:$C$23,K185)+SUMIFS('3 Hazed Questions'!$K$2:$K$23,'3 Hazed Questions'!$A$2:$A$23,"Q4",'3 Hazed Questions'!$C$2:$C$23,L185))</f>
        <v/>
      </c>
      <c r="U185" s="14" t="str">
        <f aca="false">IF(COUNTA(I185:L185)=0,"",SUMIFS('3 Hazed Questions'!$L$2:$L$23,'3 Hazed Questions'!$A$2:$A$23,"Q1",'3 Hazed Questions'!$C$2:$C$23,I185)+SUMIFS('3 Hazed Questions'!$L$2:$L$23,'3 Hazed Questions'!$A$2:$A$23,"Q2",'3 Hazed Questions'!$C$2:$C$23,J185)+SUMIFS('3 Hazed Questions'!$L$2:$L$23,'3 Hazed Questions'!$A$2:$A$23,"Q3",'3 Hazed Questions'!$C$2:$C$23,K185)+SUMIFS('3 Hazed Questions'!$L$2:$L$23,'3 Hazed Questions'!$A$2:$A$23,"Q4",'3 Hazed Questions'!$C$2:$C$23,L185))</f>
        <v/>
      </c>
      <c r="V185" s="14" t="str">
        <f aca="false">IF(COUNTA(I185:L185)=0,"",SUMIFS('3 Hazed Questions'!$M$2:$M$23,'3 Hazed Questions'!$A$2:$A$23,"Q1",'3 Hazed Questions'!$C$2:$C$23,I185)+SUMIFS('3 Hazed Questions'!$M$2:$M$23,'3 Hazed Questions'!$A$2:$A$23,"Q2",'3 Hazed Questions'!$C$2:$C$23,J185)+SUMIFS('3 Hazed Questions'!$M$2:$M$23,'3 Hazed Questions'!$A$2:$A$23,"Q3",'3 Hazed Questions'!$C$2:$C$23,K185)+SUMIFS('3 Hazed Questions'!$M$2:$M$23,'3 Hazed Questions'!$A$2:$A$23,"Q4",'3 Hazed Questions'!$C$2:$C$23,L185))</f>
        <v/>
      </c>
      <c r="W185" s="14" t="str">
        <f aca="false">IF(COUNTA(I185:L185)=0,"",SUMIFS('3 Hazed Questions'!$N$2:$N$23,'3 Hazed Questions'!$A$2:$A$23,"Q1",'3 Hazed Questions'!$C$2:$C$23,I185)+SUMIFS('3 Hazed Questions'!$N$2:$N$23,'3 Hazed Questions'!$A$2:$A$23,"Q2",'3 Hazed Questions'!$C$2:$C$23,J185)+SUMIFS('3 Hazed Questions'!$N$2:$N$23,'3 Hazed Questions'!$A$2:$A$23,"Q3",'3 Hazed Questions'!$C$2:$C$23,K185)+SUMIFS('3 Hazed Questions'!$N$2:$N$23,'3 Hazed Questions'!$A$2:$A$23,"Q4",'3 Hazed Questions'!$C$2:$C$23,L185))</f>
        <v/>
      </c>
      <c r="X185" s="14" t="str">
        <f aca="false">IF(COUNTA(I185:L185)=0,"",INDEX(Fields!$B$2:$B$50,MATCH(SUBSTITUTE(INDEX($N$1:$W$1,MATCH(MAX($N185:$W185),$N185:$W185,0)),"Score: ",""),Fields!$A$2:$A$50,0)))</f>
        <v/>
      </c>
      <c r="Y185" s="14" t="str">
        <f aca="true">IF(COUNTA(I185:L185)=0,"",IF(LARGE($N185:$W185,2)=0,"-",INDEX(Fields!$B$2:$B$50,MATCH(SUBSTITUTE(INDEX($N$1:$W$1,IF(LARGE($N185:$W185,2)=MAX($N185:$W185),MATCH(MAX($N185:$W185),OFFSET($N185:$W185,0,MATCH(MAX($N185:$W185),$N185:$W185,0),1,10-MATCH(MAX($N185:$W185),$N185:$W185,0)),0)+MATCH(MAX($N185:$W185),$N185:$W185,0),MATCH(LARGE($N185:$W185,2),$N185:$W185,0))),"Score: ",""),Fields!$A$2:$A$50,0))))</f>
        <v/>
      </c>
      <c r="Z185" s="14" t="str">
        <f aca="false">IF(M185="","",IFERROR(INDEX('3 Hazed Questions'!$O$2:$O$23,MATCH(1,INDEX(('3 Hazed Questions'!$A$2:$A$23="Q5")*('3 Hazed Questions'!$C$2:$C$23=M185),0),0))&amp;"",""))</f>
        <v/>
      </c>
      <c r="AA185" s="18"/>
      <c r="AB185" s="18"/>
      <c r="AC185" s="19"/>
      <c r="AD185" s="19"/>
      <c r="AE185" s="18"/>
      <c r="AF185" s="18"/>
      <c r="AG185" s="18"/>
    </row>
    <row r="186" customFormat="false" ht="15" hidden="false" customHeight="false" outlineLevel="0" collapsed="false">
      <c r="A186" s="18"/>
      <c r="B186" s="19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4" t="str">
        <f aca="false">IF(COUNTA(I186:L186)=0,"",SUMIFS('3 Hazed Questions'!$E$2:$E$23,'3 Hazed Questions'!$A$2:$A$23,"Q1",'3 Hazed Questions'!$C$2:$C$23,I186)+SUMIFS('3 Hazed Questions'!$E$2:$E$23,'3 Hazed Questions'!$A$2:$A$23,"Q2",'3 Hazed Questions'!$C$2:$C$23,J186)+SUMIFS('3 Hazed Questions'!$E$2:$E$23,'3 Hazed Questions'!$A$2:$A$23,"Q3",'3 Hazed Questions'!$C$2:$C$23,K186)+SUMIFS('3 Hazed Questions'!$E$2:$E$23,'3 Hazed Questions'!$A$2:$A$23,"Q4",'3 Hazed Questions'!$C$2:$C$23,L186))</f>
        <v/>
      </c>
      <c r="O186" s="14" t="str">
        <f aca="false">IF(COUNTA(I186:L186)=0,"",SUMIFS('3 Hazed Questions'!$F$2:$F$23,'3 Hazed Questions'!$A$2:$A$23,"Q1",'3 Hazed Questions'!$C$2:$C$23,I186)+SUMIFS('3 Hazed Questions'!$F$2:$F$23,'3 Hazed Questions'!$A$2:$A$23,"Q2",'3 Hazed Questions'!$C$2:$C$23,J186)+SUMIFS('3 Hazed Questions'!$F$2:$F$23,'3 Hazed Questions'!$A$2:$A$23,"Q3",'3 Hazed Questions'!$C$2:$C$23,K186)+SUMIFS('3 Hazed Questions'!$F$2:$F$23,'3 Hazed Questions'!$A$2:$A$23,"Q4",'3 Hazed Questions'!$C$2:$C$23,L186))</f>
        <v/>
      </c>
      <c r="P186" s="14" t="str">
        <f aca="false">IF(COUNTA(I186:L186)=0,"",SUMIFS('3 Hazed Questions'!$G$2:$G$23,'3 Hazed Questions'!$A$2:$A$23,"Q1",'3 Hazed Questions'!$C$2:$C$23,I186)+SUMIFS('3 Hazed Questions'!$G$2:$G$23,'3 Hazed Questions'!$A$2:$A$23,"Q2",'3 Hazed Questions'!$C$2:$C$23,J186)+SUMIFS('3 Hazed Questions'!$G$2:$G$23,'3 Hazed Questions'!$A$2:$A$23,"Q3",'3 Hazed Questions'!$C$2:$C$23,K186)+SUMIFS('3 Hazed Questions'!$G$2:$G$23,'3 Hazed Questions'!$A$2:$A$23,"Q4",'3 Hazed Questions'!$C$2:$C$23,L186))</f>
        <v/>
      </c>
      <c r="Q186" s="14" t="str">
        <f aca="false">IF(COUNTA(I186:L186)=0,"",SUMIFS('3 Hazed Questions'!$H$2:$H$23,'3 Hazed Questions'!$A$2:$A$23,"Q1",'3 Hazed Questions'!$C$2:$C$23,I186)+SUMIFS('3 Hazed Questions'!$H$2:$H$23,'3 Hazed Questions'!$A$2:$A$23,"Q2",'3 Hazed Questions'!$C$2:$C$23,J186)+SUMIFS('3 Hazed Questions'!$H$2:$H$23,'3 Hazed Questions'!$A$2:$A$23,"Q3",'3 Hazed Questions'!$C$2:$C$23,K186)+SUMIFS('3 Hazed Questions'!$H$2:$H$23,'3 Hazed Questions'!$A$2:$A$23,"Q4",'3 Hazed Questions'!$C$2:$C$23,L186))</f>
        <v/>
      </c>
      <c r="R186" s="14" t="str">
        <f aca="false">IF(COUNTA(I186:L186)=0,"",SUMIFS('3 Hazed Questions'!$I$2:$I$23,'3 Hazed Questions'!$A$2:$A$23,"Q1",'3 Hazed Questions'!$C$2:$C$23,I186)+SUMIFS('3 Hazed Questions'!$I$2:$I$23,'3 Hazed Questions'!$A$2:$A$23,"Q2",'3 Hazed Questions'!$C$2:$C$23,J186)+SUMIFS('3 Hazed Questions'!$I$2:$I$23,'3 Hazed Questions'!$A$2:$A$23,"Q3",'3 Hazed Questions'!$C$2:$C$23,K186)+SUMIFS('3 Hazed Questions'!$I$2:$I$23,'3 Hazed Questions'!$A$2:$A$23,"Q4",'3 Hazed Questions'!$C$2:$C$23,L186))</f>
        <v/>
      </c>
      <c r="S186" s="14" t="str">
        <f aca="false">IF(COUNTA(I186:L186)=0,"",SUMIFS('3 Hazed Questions'!$J$2:$J$23,'3 Hazed Questions'!$A$2:$A$23,"Q1",'3 Hazed Questions'!$C$2:$C$23,I186)+SUMIFS('3 Hazed Questions'!$J$2:$J$23,'3 Hazed Questions'!$A$2:$A$23,"Q2",'3 Hazed Questions'!$C$2:$C$23,J186)+SUMIFS('3 Hazed Questions'!$J$2:$J$23,'3 Hazed Questions'!$A$2:$A$23,"Q3",'3 Hazed Questions'!$C$2:$C$23,K186)+SUMIFS('3 Hazed Questions'!$J$2:$J$23,'3 Hazed Questions'!$A$2:$A$23,"Q4",'3 Hazed Questions'!$C$2:$C$23,L186))</f>
        <v/>
      </c>
      <c r="T186" s="14" t="str">
        <f aca="false">IF(COUNTA(I186:L186)=0,"",SUMIFS('3 Hazed Questions'!$K$2:$K$23,'3 Hazed Questions'!$A$2:$A$23,"Q1",'3 Hazed Questions'!$C$2:$C$23,I186)+SUMIFS('3 Hazed Questions'!$K$2:$K$23,'3 Hazed Questions'!$A$2:$A$23,"Q2",'3 Hazed Questions'!$C$2:$C$23,J186)+SUMIFS('3 Hazed Questions'!$K$2:$K$23,'3 Hazed Questions'!$A$2:$A$23,"Q3",'3 Hazed Questions'!$C$2:$C$23,K186)+SUMIFS('3 Hazed Questions'!$K$2:$K$23,'3 Hazed Questions'!$A$2:$A$23,"Q4",'3 Hazed Questions'!$C$2:$C$23,L186))</f>
        <v/>
      </c>
      <c r="U186" s="14" t="str">
        <f aca="false">IF(COUNTA(I186:L186)=0,"",SUMIFS('3 Hazed Questions'!$L$2:$L$23,'3 Hazed Questions'!$A$2:$A$23,"Q1",'3 Hazed Questions'!$C$2:$C$23,I186)+SUMIFS('3 Hazed Questions'!$L$2:$L$23,'3 Hazed Questions'!$A$2:$A$23,"Q2",'3 Hazed Questions'!$C$2:$C$23,J186)+SUMIFS('3 Hazed Questions'!$L$2:$L$23,'3 Hazed Questions'!$A$2:$A$23,"Q3",'3 Hazed Questions'!$C$2:$C$23,K186)+SUMIFS('3 Hazed Questions'!$L$2:$L$23,'3 Hazed Questions'!$A$2:$A$23,"Q4",'3 Hazed Questions'!$C$2:$C$23,L186))</f>
        <v/>
      </c>
      <c r="V186" s="14" t="str">
        <f aca="false">IF(COUNTA(I186:L186)=0,"",SUMIFS('3 Hazed Questions'!$M$2:$M$23,'3 Hazed Questions'!$A$2:$A$23,"Q1",'3 Hazed Questions'!$C$2:$C$23,I186)+SUMIFS('3 Hazed Questions'!$M$2:$M$23,'3 Hazed Questions'!$A$2:$A$23,"Q2",'3 Hazed Questions'!$C$2:$C$23,J186)+SUMIFS('3 Hazed Questions'!$M$2:$M$23,'3 Hazed Questions'!$A$2:$A$23,"Q3",'3 Hazed Questions'!$C$2:$C$23,K186)+SUMIFS('3 Hazed Questions'!$M$2:$M$23,'3 Hazed Questions'!$A$2:$A$23,"Q4",'3 Hazed Questions'!$C$2:$C$23,L186))</f>
        <v/>
      </c>
      <c r="W186" s="14" t="str">
        <f aca="false">IF(COUNTA(I186:L186)=0,"",SUMIFS('3 Hazed Questions'!$N$2:$N$23,'3 Hazed Questions'!$A$2:$A$23,"Q1",'3 Hazed Questions'!$C$2:$C$23,I186)+SUMIFS('3 Hazed Questions'!$N$2:$N$23,'3 Hazed Questions'!$A$2:$A$23,"Q2",'3 Hazed Questions'!$C$2:$C$23,J186)+SUMIFS('3 Hazed Questions'!$N$2:$N$23,'3 Hazed Questions'!$A$2:$A$23,"Q3",'3 Hazed Questions'!$C$2:$C$23,K186)+SUMIFS('3 Hazed Questions'!$N$2:$N$23,'3 Hazed Questions'!$A$2:$A$23,"Q4",'3 Hazed Questions'!$C$2:$C$23,L186))</f>
        <v/>
      </c>
      <c r="X186" s="14" t="str">
        <f aca="false">IF(COUNTA(I186:L186)=0,"",INDEX(Fields!$B$2:$B$50,MATCH(SUBSTITUTE(INDEX($N$1:$W$1,MATCH(MAX($N186:$W186),$N186:$W186,0)),"Score: ",""),Fields!$A$2:$A$50,0)))</f>
        <v/>
      </c>
      <c r="Y186" s="14" t="str">
        <f aca="true">IF(COUNTA(I186:L186)=0,"",IF(LARGE($N186:$W186,2)=0,"-",INDEX(Fields!$B$2:$B$50,MATCH(SUBSTITUTE(INDEX($N$1:$W$1,IF(LARGE($N186:$W186,2)=MAX($N186:$W186),MATCH(MAX($N186:$W186),OFFSET($N186:$W186,0,MATCH(MAX($N186:$W186),$N186:$W186,0),1,10-MATCH(MAX($N186:$W186),$N186:$W186,0)),0)+MATCH(MAX($N186:$W186),$N186:$W186,0),MATCH(LARGE($N186:$W186,2),$N186:$W186,0))),"Score: ",""),Fields!$A$2:$A$50,0))))</f>
        <v/>
      </c>
      <c r="Z186" s="14" t="str">
        <f aca="false">IF(M186="","",IFERROR(INDEX('3 Hazed Questions'!$O$2:$O$23,MATCH(1,INDEX(('3 Hazed Questions'!$A$2:$A$23="Q5")*('3 Hazed Questions'!$C$2:$C$23=M186),0),0))&amp;"",""))</f>
        <v/>
      </c>
      <c r="AA186" s="18"/>
      <c r="AB186" s="18"/>
      <c r="AC186" s="19"/>
      <c r="AD186" s="19"/>
      <c r="AE186" s="18"/>
      <c r="AF186" s="18"/>
      <c r="AG186" s="18"/>
    </row>
    <row r="187" customFormat="false" ht="15" hidden="false" customHeight="false" outlineLevel="0" collapsed="false">
      <c r="A187" s="18"/>
      <c r="B187" s="19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4" t="str">
        <f aca="false">IF(COUNTA(I187:L187)=0,"",SUMIFS('3 Hazed Questions'!$E$2:$E$23,'3 Hazed Questions'!$A$2:$A$23,"Q1",'3 Hazed Questions'!$C$2:$C$23,I187)+SUMIFS('3 Hazed Questions'!$E$2:$E$23,'3 Hazed Questions'!$A$2:$A$23,"Q2",'3 Hazed Questions'!$C$2:$C$23,J187)+SUMIFS('3 Hazed Questions'!$E$2:$E$23,'3 Hazed Questions'!$A$2:$A$23,"Q3",'3 Hazed Questions'!$C$2:$C$23,K187)+SUMIFS('3 Hazed Questions'!$E$2:$E$23,'3 Hazed Questions'!$A$2:$A$23,"Q4",'3 Hazed Questions'!$C$2:$C$23,L187))</f>
        <v/>
      </c>
      <c r="O187" s="14" t="str">
        <f aca="false">IF(COUNTA(I187:L187)=0,"",SUMIFS('3 Hazed Questions'!$F$2:$F$23,'3 Hazed Questions'!$A$2:$A$23,"Q1",'3 Hazed Questions'!$C$2:$C$23,I187)+SUMIFS('3 Hazed Questions'!$F$2:$F$23,'3 Hazed Questions'!$A$2:$A$23,"Q2",'3 Hazed Questions'!$C$2:$C$23,J187)+SUMIFS('3 Hazed Questions'!$F$2:$F$23,'3 Hazed Questions'!$A$2:$A$23,"Q3",'3 Hazed Questions'!$C$2:$C$23,K187)+SUMIFS('3 Hazed Questions'!$F$2:$F$23,'3 Hazed Questions'!$A$2:$A$23,"Q4",'3 Hazed Questions'!$C$2:$C$23,L187))</f>
        <v/>
      </c>
      <c r="P187" s="14" t="str">
        <f aca="false">IF(COUNTA(I187:L187)=0,"",SUMIFS('3 Hazed Questions'!$G$2:$G$23,'3 Hazed Questions'!$A$2:$A$23,"Q1",'3 Hazed Questions'!$C$2:$C$23,I187)+SUMIFS('3 Hazed Questions'!$G$2:$G$23,'3 Hazed Questions'!$A$2:$A$23,"Q2",'3 Hazed Questions'!$C$2:$C$23,J187)+SUMIFS('3 Hazed Questions'!$G$2:$G$23,'3 Hazed Questions'!$A$2:$A$23,"Q3",'3 Hazed Questions'!$C$2:$C$23,K187)+SUMIFS('3 Hazed Questions'!$G$2:$G$23,'3 Hazed Questions'!$A$2:$A$23,"Q4",'3 Hazed Questions'!$C$2:$C$23,L187))</f>
        <v/>
      </c>
      <c r="Q187" s="14" t="str">
        <f aca="false">IF(COUNTA(I187:L187)=0,"",SUMIFS('3 Hazed Questions'!$H$2:$H$23,'3 Hazed Questions'!$A$2:$A$23,"Q1",'3 Hazed Questions'!$C$2:$C$23,I187)+SUMIFS('3 Hazed Questions'!$H$2:$H$23,'3 Hazed Questions'!$A$2:$A$23,"Q2",'3 Hazed Questions'!$C$2:$C$23,J187)+SUMIFS('3 Hazed Questions'!$H$2:$H$23,'3 Hazed Questions'!$A$2:$A$23,"Q3",'3 Hazed Questions'!$C$2:$C$23,K187)+SUMIFS('3 Hazed Questions'!$H$2:$H$23,'3 Hazed Questions'!$A$2:$A$23,"Q4",'3 Hazed Questions'!$C$2:$C$23,L187))</f>
        <v/>
      </c>
      <c r="R187" s="14" t="str">
        <f aca="false">IF(COUNTA(I187:L187)=0,"",SUMIFS('3 Hazed Questions'!$I$2:$I$23,'3 Hazed Questions'!$A$2:$A$23,"Q1",'3 Hazed Questions'!$C$2:$C$23,I187)+SUMIFS('3 Hazed Questions'!$I$2:$I$23,'3 Hazed Questions'!$A$2:$A$23,"Q2",'3 Hazed Questions'!$C$2:$C$23,J187)+SUMIFS('3 Hazed Questions'!$I$2:$I$23,'3 Hazed Questions'!$A$2:$A$23,"Q3",'3 Hazed Questions'!$C$2:$C$23,K187)+SUMIFS('3 Hazed Questions'!$I$2:$I$23,'3 Hazed Questions'!$A$2:$A$23,"Q4",'3 Hazed Questions'!$C$2:$C$23,L187))</f>
        <v/>
      </c>
      <c r="S187" s="14" t="str">
        <f aca="false">IF(COUNTA(I187:L187)=0,"",SUMIFS('3 Hazed Questions'!$J$2:$J$23,'3 Hazed Questions'!$A$2:$A$23,"Q1",'3 Hazed Questions'!$C$2:$C$23,I187)+SUMIFS('3 Hazed Questions'!$J$2:$J$23,'3 Hazed Questions'!$A$2:$A$23,"Q2",'3 Hazed Questions'!$C$2:$C$23,J187)+SUMIFS('3 Hazed Questions'!$J$2:$J$23,'3 Hazed Questions'!$A$2:$A$23,"Q3",'3 Hazed Questions'!$C$2:$C$23,K187)+SUMIFS('3 Hazed Questions'!$J$2:$J$23,'3 Hazed Questions'!$A$2:$A$23,"Q4",'3 Hazed Questions'!$C$2:$C$23,L187))</f>
        <v/>
      </c>
      <c r="T187" s="14" t="str">
        <f aca="false">IF(COUNTA(I187:L187)=0,"",SUMIFS('3 Hazed Questions'!$K$2:$K$23,'3 Hazed Questions'!$A$2:$A$23,"Q1",'3 Hazed Questions'!$C$2:$C$23,I187)+SUMIFS('3 Hazed Questions'!$K$2:$K$23,'3 Hazed Questions'!$A$2:$A$23,"Q2",'3 Hazed Questions'!$C$2:$C$23,J187)+SUMIFS('3 Hazed Questions'!$K$2:$K$23,'3 Hazed Questions'!$A$2:$A$23,"Q3",'3 Hazed Questions'!$C$2:$C$23,K187)+SUMIFS('3 Hazed Questions'!$K$2:$K$23,'3 Hazed Questions'!$A$2:$A$23,"Q4",'3 Hazed Questions'!$C$2:$C$23,L187))</f>
        <v/>
      </c>
      <c r="U187" s="14" t="str">
        <f aca="false">IF(COUNTA(I187:L187)=0,"",SUMIFS('3 Hazed Questions'!$L$2:$L$23,'3 Hazed Questions'!$A$2:$A$23,"Q1",'3 Hazed Questions'!$C$2:$C$23,I187)+SUMIFS('3 Hazed Questions'!$L$2:$L$23,'3 Hazed Questions'!$A$2:$A$23,"Q2",'3 Hazed Questions'!$C$2:$C$23,J187)+SUMIFS('3 Hazed Questions'!$L$2:$L$23,'3 Hazed Questions'!$A$2:$A$23,"Q3",'3 Hazed Questions'!$C$2:$C$23,K187)+SUMIFS('3 Hazed Questions'!$L$2:$L$23,'3 Hazed Questions'!$A$2:$A$23,"Q4",'3 Hazed Questions'!$C$2:$C$23,L187))</f>
        <v/>
      </c>
      <c r="V187" s="14" t="str">
        <f aca="false">IF(COUNTA(I187:L187)=0,"",SUMIFS('3 Hazed Questions'!$M$2:$M$23,'3 Hazed Questions'!$A$2:$A$23,"Q1",'3 Hazed Questions'!$C$2:$C$23,I187)+SUMIFS('3 Hazed Questions'!$M$2:$M$23,'3 Hazed Questions'!$A$2:$A$23,"Q2",'3 Hazed Questions'!$C$2:$C$23,J187)+SUMIFS('3 Hazed Questions'!$M$2:$M$23,'3 Hazed Questions'!$A$2:$A$23,"Q3",'3 Hazed Questions'!$C$2:$C$23,K187)+SUMIFS('3 Hazed Questions'!$M$2:$M$23,'3 Hazed Questions'!$A$2:$A$23,"Q4",'3 Hazed Questions'!$C$2:$C$23,L187))</f>
        <v/>
      </c>
      <c r="W187" s="14" t="str">
        <f aca="false">IF(COUNTA(I187:L187)=0,"",SUMIFS('3 Hazed Questions'!$N$2:$N$23,'3 Hazed Questions'!$A$2:$A$23,"Q1",'3 Hazed Questions'!$C$2:$C$23,I187)+SUMIFS('3 Hazed Questions'!$N$2:$N$23,'3 Hazed Questions'!$A$2:$A$23,"Q2",'3 Hazed Questions'!$C$2:$C$23,J187)+SUMIFS('3 Hazed Questions'!$N$2:$N$23,'3 Hazed Questions'!$A$2:$A$23,"Q3",'3 Hazed Questions'!$C$2:$C$23,K187)+SUMIFS('3 Hazed Questions'!$N$2:$N$23,'3 Hazed Questions'!$A$2:$A$23,"Q4",'3 Hazed Questions'!$C$2:$C$23,L187))</f>
        <v/>
      </c>
      <c r="X187" s="14" t="str">
        <f aca="false">IF(COUNTA(I187:L187)=0,"",INDEX(Fields!$B$2:$B$50,MATCH(SUBSTITUTE(INDEX($N$1:$W$1,MATCH(MAX($N187:$W187),$N187:$W187,0)),"Score: ",""),Fields!$A$2:$A$50,0)))</f>
        <v/>
      </c>
      <c r="Y187" s="14" t="str">
        <f aca="true">IF(COUNTA(I187:L187)=0,"",IF(LARGE($N187:$W187,2)=0,"-",INDEX(Fields!$B$2:$B$50,MATCH(SUBSTITUTE(INDEX($N$1:$W$1,IF(LARGE($N187:$W187,2)=MAX($N187:$W187),MATCH(MAX($N187:$W187),OFFSET($N187:$W187,0,MATCH(MAX($N187:$W187),$N187:$W187,0),1,10-MATCH(MAX($N187:$W187),$N187:$W187,0)),0)+MATCH(MAX($N187:$W187),$N187:$W187,0),MATCH(LARGE($N187:$W187,2),$N187:$W187,0))),"Score: ",""),Fields!$A$2:$A$50,0))))</f>
        <v/>
      </c>
      <c r="Z187" s="14" t="str">
        <f aca="false">IF(M187="","",IFERROR(INDEX('3 Hazed Questions'!$O$2:$O$23,MATCH(1,INDEX(('3 Hazed Questions'!$A$2:$A$23="Q5")*('3 Hazed Questions'!$C$2:$C$23=M187),0),0))&amp;"",""))</f>
        <v/>
      </c>
      <c r="AA187" s="18"/>
      <c r="AB187" s="18"/>
      <c r="AC187" s="19"/>
      <c r="AD187" s="19"/>
      <c r="AE187" s="18"/>
      <c r="AF187" s="18"/>
      <c r="AG187" s="18"/>
    </row>
    <row r="188" customFormat="false" ht="15" hidden="false" customHeight="false" outlineLevel="0" collapsed="false">
      <c r="A188" s="18"/>
      <c r="B188" s="19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4" t="str">
        <f aca="false">IF(COUNTA(I188:L188)=0,"",SUMIFS('3 Hazed Questions'!$E$2:$E$23,'3 Hazed Questions'!$A$2:$A$23,"Q1",'3 Hazed Questions'!$C$2:$C$23,I188)+SUMIFS('3 Hazed Questions'!$E$2:$E$23,'3 Hazed Questions'!$A$2:$A$23,"Q2",'3 Hazed Questions'!$C$2:$C$23,J188)+SUMIFS('3 Hazed Questions'!$E$2:$E$23,'3 Hazed Questions'!$A$2:$A$23,"Q3",'3 Hazed Questions'!$C$2:$C$23,K188)+SUMIFS('3 Hazed Questions'!$E$2:$E$23,'3 Hazed Questions'!$A$2:$A$23,"Q4",'3 Hazed Questions'!$C$2:$C$23,L188))</f>
        <v/>
      </c>
      <c r="O188" s="14" t="str">
        <f aca="false">IF(COUNTA(I188:L188)=0,"",SUMIFS('3 Hazed Questions'!$F$2:$F$23,'3 Hazed Questions'!$A$2:$A$23,"Q1",'3 Hazed Questions'!$C$2:$C$23,I188)+SUMIFS('3 Hazed Questions'!$F$2:$F$23,'3 Hazed Questions'!$A$2:$A$23,"Q2",'3 Hazed Questions'!$C$2:$C$23,J188)+SUMIFS('3 Hazed Questions'!$F$2:$F$23,'3 Hazed Questions'!$A$2:$A$23,"Q3",'3 Hazed Questions'!$C$2:$C$23,K188)+SUMIFS('3 Hazed Questions'!$F$2:$F$23,'3 Hazed Questions'!$A$2:$A$23,"Q4",'3 Hazed Questions'!$C$2:$C$23,L188))</f>
        <v/>
      </c>
      <c r="P188" s="14" t="str">
        <f aca="false">IF(COUNTA(I188:L188)=0,"",SUMIFS('3 Hazed Questions'!$G$2:$G$23,'3 Hazed Questions'!$A$2:$A$23,"Q1",'3 Hazed Questions'!$C$2:$C$23,I188)+SUMIFS('3 Hazed Questions'!$G$2:$G$23,'3 Hazed Questions'!$A$2:$A$23,"Q2",'3 Hazed Questions'!$C$2:$C$23,J188)+SUMIFS('3 Hazed Questions'!$G$2:$G$23,'3 Hazed Questions'!$A$2:$A$23,"Q3",'3 Hazed Questions'!$C$2:$C$23,K188)+SUMIFS('3 Hazed Questions'!$G$2:$G$23,'3 Hazed Questions'!$A$2:$A$23,"Q4",'3 Hazed Questions'!$C$2:$C$23,L188))</f>
        <v/>
      </c>
      <c r="Q188" s="14" t="str">
        <f aca="false">IF(COUNTA(I188:L188)=0,"",SUMIFS('3 Hazed Questions'!$H$2:$H$23,'3 Hazed Questions'!$A$2:$A$23,"Q1",'3 Hazed Questions'!$C$2:$C$23,I188)+SUMIFS('3 Hazed Questions'!$H$2:$H$23,'3 Hazed Questions'!$A$2:$A$23,"Q2",'3 Hazed Questions'!$C$2:$C$23,J188)+SUMIFS('3 Hazed Questions'!$H$2:$H$23,'3 Hazed Questions'!$A$2:$A$23,"Q3",'3 Hazed Questions'!$C$2:$C$23,K188)+SUMIFS('3 Hazed Questions'!$H$2:$H$23,'3 Hazed Questions'!$A$2:$A$23,"Q4",'3 Hazed Questions'!$C$2:$C$23,L188))</f>
        <v/>
      </c>
      <c r="R188" s="14" t="str">
        <f aca="false">IF(COUNTA(I188:L188)=0,"",SUMIFS('3 Hazed Questions'!$I$2:$I$23,'3 Hazed Questions'!$A$2:$A$23,"Q1",'3 Hazed Questions'!$C$2:$C$23,I188)+SUMIFS('3 Hazed Questions'!$I$2:$I$23,'3 Hazed Questions'!$A$2:$A$23,"Q2",'3 Hazed Questions'!$C$2:$C$23,J188)+SUMIFS('3 Hazed Questions'!$I$2:$I$23,'3 Hazed Questions'!$A$2:$A$23,"Q3",'3 Hazed Questions'!$C$2:$C$23,K188)+SUMIFS('3 Hazed Questions'!$I$2:$I$23,'3 Hazed Questions'!$A$2:$A$23,"Q4",'3 Hazed Questions'!$C$2:$C$23,L188))</f>
        <v/>
      </c>
      <c r="S188" s="14" t="str">
        <f aca="false">IF(COUNTA(I188:L188)=0,"",SUMIFS('3 Hazed Questions'!$J$2:$J$23,'3 Hazed Questions'!$A$2:$A$23,"Q1",'3 Hazed Questions'!$C$2:$C$23,I188)+SUMIFS('3 Hazed Questions'!$J$2:$J$23,'3 Hazed Questions'!$A$2:$A$23,"Q2",'3 Hazed Questions'!$C$2:$C$23,J188)+SUMIFS('3 Hazed Questions'!$J$2:$J$23,'3 Hazed Questions'!$A$2:$A$23,"Q3",'3 Hazed Questions'!$C$2:$C$23,K188)+SUMIFS('3 Hazed Questions'!$J$2:$J$23,'3 Hazed Questions'!$A$2:$A$23,"Q4",'3 Hazed Questions'!$C$2:$C$23,L188))</f>
        <v/>
      </c>
      <c r="T188" s="14" t="str">
        <f aca="false">IF(COUNTA(I188:L188)=0,"",SUMIFS('3 Hazed Questions'!$K$2:$K$23,'3 Hazed Questions'!$A$2:$A$23,"Q1",'3 Hazed Questions'!$C$2:$C$23,I188)+SUMIFS('3 Hazed Questions'!$K$2:$K$23,'3 Hazed Questions'!$A$2:$A$23,"Q2",'3 Hazed Questions'!$C$2:$C$23,J188)+SUMIFS('3 Hazed Questions'!$K$2:$K$23,'3 Hazed Questions'!$A$2:$A$23,"Q3",'3 Hazed Questions'!$C$2:$C$23,K188)+SUMIFS('3 Hazed Questions'!$K$2:$K$23,'3 Hazed Questions'!$A$2:$A$23,"Q4",'3 Hazed Questions'!$C$2:$C$23,L188))</f>
        <v/>
      </c>
      <c r="U188" s="14" t="str">
        <f aca="false">IF(COUNTA(I188:L188)=0,"",SUMIFS('3 Hazed Questions'!$L$2:$L$23,'3 Hazed Questions'!$A$2:$A$23,"Q1",'3 Hazed Questions'!$C$2:$C$23,I188)+SUMIFS('3 Hazed Questions'!$L$2:$L$23,'3 Hazed Questions'!$A$2:$A$23,"Q2",'3 Hazed Questions'!$C$2:$C$23,J188)+SUMIFS('3 Hazed Questions'!$L$2:$L$23,'3 Hazed Questions'!$A$2:$A$23,"Q3",'3 Hazed Questions'!$C$2:$C$23,K188)+SUMIFS('3 Hazed Questions'!$L$2:$L$23,'3 Hazed Questions'!$A$2:$A$23,"Q4",'3 Hazed Questions'!$C$2:$C$23,L188))</f>
        <v/>
      </c>
      <c r="V188" s="14" t="str">
        <f aca="false">IF(COUNTA(I188:L188)=0,"",SUMIFS('3 Hazed Questions'!$M$2:$M$23,'3 Hazed Questions'!$A$2:$A$23,"Q1",'3 Hazed Questions'!$C$2:$C$23,I188)+SUMIFS('3 Hazed Questions'!$M$2:$M$23,'3 Hazed Questions'!$A$2:$A$23,"Q2",'3 Hazed Questions'!$C$2:$C$23,J188)+SUMIFS('3 Hazed Questions'!$M$2:$M$23,'3 Hazed Questions'!$A$2:$A$23,"Q3",'3 Hazed Questions'!$C$2:$C$23,K188)+SUMIFS('3 Hazed Questions'!$M$2:$M$23,'3 Hazed Questions'!$A$2:$A$23,"Q4",'3 Hazed Questions'!$C$2:$C$23,L188))</f>
        <v/>
      </c>
      <c r="W188" s="14" t="str">
        <f aca="false">IF(COUNTA(I188:L188)=0,"",SUMIFS('3 Hazed Questions'!$N$2:$N$23,'3 Hazed Questions'!$A$2:$A$23,"Q1",'3 Hazed Questions'!$C$2:$C$23,I188)+SUMIFS('3 Hazed Questions'!$N$2:$N$23,'3 Hazed Questions'!$A$2:$A$23,"Q2",'3 Hazed Questions'!$C$2:$C$23,J188)+SUMIFS('3 Hazed Questions'!$N$2:$N$23,'3 Hazed Questions'!$A$2:$A$23,"Q3",'3 Hazed Questions'!$C$2:$C$23,K188)+SUMIFS('3 Hazed Questions'!$N$2:$N$23,'3 Hazed Questions'!$A$2:$A$23,"Q4",'3 Hazed Questions'!$C$2:$C$23,L188))</f>
        <v/>
      </c>
      <c r="X188" s="14" t="str">
        <f aca="false">IF(COUNTA(I188:L188)=0,"",INDEX(Fields!$B$2:$B$50,MATCH(SUBSTITUTE(INDEX($N$1:$W$1,MATCH(MAX($N188:$W188),$N188:$W188,0)),"Score: ",""),Fields!$A$2:$A$50,0)))</f>
        <v/>
      </c>
      <c r="Y188" s="14" t="str">
        <f aca="true">IF(COUNTA(I188:L188)=0,"",IF(LARGE($N188:$W188,2)=0,"-",INDEX(Fields!$B$2:$B$50,MATCH(SUBSTITUTE(INDEX($N$1:$W$1,IF(LARGE($N188:$W188,2)=MAX($N188:$W188),MATCH(MAX($N188:$W188),OFFSET($N188:$W188,0,MATCH(MAX($N188:$W188),$N188:$W188,0),1,10-MATCH(MAX($N188:$W188),$N188:$W188,0)),0)+MATCH(MAX($N188:$W188),$N188:$W188,0),MATCH(LARGE($N188:$W188,2),$N188:$W188,0))),"Score: ",""),Fields!$A$2:$A$50,0))))</f>
        <v/>
      </c>
      <c r="Z188" s="14" t="str">
        <f aca="false">IF(M188="","",IFERROR(INDEX('3 Hazed Questions'!$O$2:$O$23,MATCH(1,INDEX(('3 Hazed Questions'!$A$2:$A$23="Q5")*('3 Hazed Questions'!$C$2:$C$23=M188),0),0))&amp;"",""))</f>
        <v/>
      </c>
      <c r="AA188" s="18"/>
      <c r="AB188" s="18"/>
      <c r="AC188" s="19"/>
      <c r="AD188" s="19"/>
      <c r="AE188" s="18"/>
      <c r="AF188" s="18"/>
      <c r="AG188" s="18"/>
    </row>
    <row r="189" customFormat="false" ht="15" hidden="false" customHeight="false" outlineLevel="0" collapsed="false">
      <c r="A189" s="18"/>
      <c r="B189" s="19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4" t="str">
        <f aca="false">IF(COUNTA(I189:L189)=0,"",SUMIFS('3 Hazed Questions'!$E$2:$E$23,'3 Hazed Questions'!$A$2:$A$23,"Q1",'3 Hazed Questions'!$C$2:$C$23,I189)+SUMIFS('3 Hazed Questions'!$E$2:$E$23,'3 Hazed Questions'!$A$2:$A$23,"Q2",'3 Hazed Questions'!$C$2:$C$23,J189)+SUMIFS('3 Hazed Questions'!$E$2:$E$23,'3 Hazed Questions'!$A$2:$A$23,"Q3",'3 Hazed Questions'!$C$2:$C$23,K189)+SUMIFS('3 Hazed Questions'!$E$2:$E$23,'3 Hazed Questions'!$A$2:$A$23,"Q4",'3 Hazed Questions'!$C$2:$C$23,L189))</f>
        <v/>
      </c>
      <c r="O189" s="14" t="str">
        <f aca="false">IF(COUNTA(I189:L189)=0,"",SUMIFS('3 Hazed Questions'!$F$2:$F$23,'3 Hazed Questions'!$A$2:$A$23,"Q1",'3 Hazed Questions'!$C$2:$C$23,I189)+SUMIFS('3 Hazed Questions'!$F$2:$F$23,'3 Hazed Questions'!$A$2:$A$23,"Q2",'3 Hazed Questions'!$C$2:$C$23,J189)+SUMIFS('3 Hazed Questions'!$F$2:$F$23,'3 Hazed Questions'!$A$2:$A$23,"Q3",'3 Hazed Questions'!$C$2:$C$23,K189)+SUMIFS('3 Hazed Questions'!$F$2:$F$23,'3 Hazed Questions'!$A$2:$A$23,"Q4",'3 Hazed Questions'!$C$2:$C$23,L189))</f>
        <v/>
      </c>
      <c r="P189" s="14" t="str">
        <f aca="false">IF(COUNTA(I189:L189)=0,"",SUMIFS('3 Hazed Questions'!$G$2:$G$23,'3 Hazed Questions'!$A$2:$A$23,"Q1",'3 Hazed Questions'!$C$2:$C$23,I189)+SUMIFS('3 Hazed Questions'!$G$2:$G$23,'3 Hazed Questions'!$A$2:$A$23,"Q2",'3 Hazed Questions'!$C$2:$C$23,J189)+SUMIFS('3 Hazed Questions'!$G$2:$G$23,'3 Hazed Questions'!$A$2:$A$23,"Q3",'3 Hazed Questions'!$C$2:$C$23,K189)+SUMIFS('3 Hazed Questions'!$G$2:$G$23,'3 Hazed Questions'!$A$2:$A$23,"Q4",'3 Hazed Questions'!$C$2:$C$23,L189))</f>
        <v/>
      </c>
      <c r="Q189" s="14" t="str">
        <f aca="false">IF(COUNTA(I189:L189)=0,"",SUMIFS('3 Hazed Questions'!$H$2:$H$23,'3 Hazed Questions'!$A$2:$A$23,"Q1",'3 Hazed Questions'!$C$2:$C$23,I189)+SUMIFS('3 Hazed Questions'!$H$2:$H$23,'3 Hazed Questions'!$A$2:$A$23,"Q2",'3 Hazed Questions'!$C$2:$C$23,J189)+SUMIFS('3 Hazed Questions'!$H$2:$H$23,'3 Hazed Questions'!$A$2:$A$23,"Q3",'3 Hazed Questions'!$C$2:$C$23,K189)+SUMIFS('3 Hazed Questions'!$H$2:$H$23,'3 Hazed Questions'!$A$2:$A$23,"Q4",'3 Hazed Questions'!$C$2:$C$23,L189))</f>
        <v/>
      </c>
      <c r="R189" s="14" t="str">
        <f aca="false">IF(COUNTA(I189:L189)=0,"",SUMIFS('3 Hazed Questions'!$I$2:$I$23,'3 Hazed Questions'!$A$2:$A$23,"Q1",'3 Hazed Questions'!$C$2:$C$23,I189)+SUMIFS('3 Hazed Questions'!$I$2:$I$23,'3 Hazed Questions'!$A$2:$A$23,"Q2",'3 Hazed Questions'!$C$2:$C$23,J189)+SUMIFS('3 Hazed Questions'!$I$2:$I$23,'3 Hazed Questions'!$A$2:$A$23,"Q3",'3 Hazed Questions'!$C$2:$C$23,K189)+SUMIFS('3 Hazed Questions'!$I$2:$I$23,'3 Hazed Questions'!$A$2:$A$23,"Q4",'3 Hazed Questions'!$C$2:$C$23,L189))</f>
        <v/>
      </c>
      <c r="S189" s="14" t="str">
        <f aca="false">IF(COUNTA(I189:L189)=0,"",SUMIFS('3 Hazed Questions'!$J$2:$J$23,'3 Hazed Questions'!$A$2:$A$23,"Q1",'3 Hazed Questions'!$C$2:$C$23,I189)+SUMIFS('3 Hazed Questions'!$J$2:$J$23,'3 Hazed Questions'!$A$2:$A$23,"Q2",'3 Hazed Questions'!$C$2:$C$23,J189)+SUMIFS('3 Hazed Questions'!$J$2:$J$23,'3 Hazed Questions'!$A$2:$A$23,"Q3",'3 Hazed Questions'!$C$2:$C$23,K189)+SUMIFS('3 Hazed Questions'!$J$2:$J$23,'3 Hazed Questions'!$A$2:$A$23,"Q4",'3 Hazed Questions'!$C$2:$C$23,L189))</f>
        <v/>
      </c>
      <c r="T189" s="14" t="str">
        <f aca="false">IF(COUNTA(I189:L189)=0,"",SUMIFS('3 Hazed Questions'!$K$2:$K$23,'3 Hazed Questions'!$A$2:$A$23,"Q1",'3 Hazed Questions'!$C$2:$C$23,I189)+SUMIFS('3 Hazed Questions'!$K$2:$K$23,'3 Hazed Questions'!$A$2:$A$23,"Q2",'3 Hazed Questions'!$C$2:$C$23,J189)+SUMIFS('3 Hazed Questions'!$K$2:$K$23,'3 Hazed Questions'!$A$2:$A$23,"Q3",'3 Hazed Questions'!$C$2:$C$23,K189)+SUMIFS('3 Hazed Questions'!$K$2:$K$23,'3 Hazed Questions'!$A$2:$A$23,"Q4",'3 Hazed Questions'!$C$2:$C$23,L189))</f>
        <v/>
      </c>
      <c r="U189" s="14" t="str">
        <f aca="false">IF(COUNTA(I189:L189)=0,"",SUMIFS('3 Hazed Questions'!$L$2:$L$23,'3 Hazed Questions'!$A$2:$A$23,"Q1",'3 Hazed Questions'!$C$2:$C$23,I189)+SUMIFS('3 Hazed Questions'!$L$2:$L$23,'3 Hazed Questions'!$A$2:$A$23,"Q2",'3 Hazed Questions'!$C$2:$C$23,J189)+SUMIFS('3 Hazed Questions'!$L$2:$L$23,'3 Hazed Questions'!$A$2:$A$23,"Q3",'3 Hazed Questions'!$C$2:$C$23,K189)+SUMIFS('3 Hazed Questions'!$L$2:$L$23,'3 Hazed Questions'!$A$2:$A$23,"Q4",'3 Hazed Questions'!$C$2:$C$23,L189))</f>
        <v/>
      </c>
      <c r="V189" s="14" t="str">
        <f aca="false">IF(COUNTA(I189:L189)=0,"",SUMIFS('3 Hazed Questions'!$M$2:$M$23,'3 Hazed Questions'!$A$2:$A$23,"Q1",'3 Hazed Questions'!$C$2:$C$23,I189)+SUMIFS('3 Hazed Questions'!$M$2:$M$23,'3 Hazed Questions'!$A$2:$A$23,"Q2",'3 Hazed Questions'!$C$2:$C$23,J189)+SUMIFS('3 Hazed Questions'!$M$2:$M$23,'3 Hazed Questions'!$A$2:$A$23,"Q3",'3 Hazed Questions'!$C$2:$C$23,K189)+SUMIFS('3 Hazed Questions'!$M$2:$M$23,'3 Hazed Questions'!$A$2:$A$23,"Q4",'3 Hazed Questions'!$C$2:$C$23,L189))</f>
        <v/>
      </c>
      <c r="W189" s="14" t="str">
        <f aca="false">IF(COUNTA(I189:L189)=0,"",SUMIFS('3 Hazed Questions'!$N$2:$N$23,'3 Hazed Questions'!$A$2:$A$23,"Q1",'3 Hazed Questions'!$C$2:$C$23,I189)+SUMIFS('3 Hazed Questions'!$N$2:$N$23,'3 Hazed Questions'!$A$2:$A$23,"Q2",'3 Hazed Questions'!$C$2:$C$23,J189)+SUMIFS('3 Hazed Questions'!$N$2:$N$23,'3 Hazed Questions'!$A$2:$A$23,"Q3",'3 Hazed Questions'!$C$2:$C$23,K189)+SUMIFS('3 Hazed Questions'!$N$2:$N$23,'3 Hazed Questions'!$A$2:$A$23,"Q4",'3 Hazed Questions'!$C$2:$C$23,L189))</f>
        <v/>
      </c>
      <c r="X189" s="14" t="str">
        <f aca="false">IF(COUNTA(I189:L189)=0,"",INDEX(Fields!$B$2:$B$50,MATCH(SUBSTITUTE(INDEX($N$1:$W$1,MATCH(MAX($N189:$W189),$N189:$W189,0)),"Score: ",""),Fields!$A$2:$A$50,0)))</f>
        <v/>
      </c>
      <c r="Y189" s="14" t="str">
        <f aca="true">IF(COUNTA(I189:L189)=0,"",IF(LARGE($N189:$W189,2)=0,"-",INDEX(Fields!$B$2:$B$50,MATCH(SUBSTITUTE(INDEX($N$1:$W$1,IF(LARGE($N189:$W189,2)=MAX($N189:$W189),MATCH(MAX($N189:$W189),OFFSET($N189:$W189,0,MATCH(MAX($N189:$W189),$N189:$W189,0),1,10-MATCH(MAX($N189:$W189),$N189:$W189,0)),0)+MATCH(MAX($N189:$W189),$N189:$W189,0),MATCH(LARGE($N189:$W189,2),$N189:$W189,0))),"Score: ",""),Fields!$A$2:$A$50,0))))</f>
        <v/>
      </c>
      <c r="Z189" s="14" t="str">
        <f aca="false">IF(M189="","",IFERROR(INDEX('3 Hazed Questions'!$O$2:$O$23,MATCH(1,INDEX(('3 Hazed Questions'!$A$2:$A$23="Q5")*('3 Hazed Questions'!$C$2:$C$23=M189),0),0))&amp;"",""))</f>
        <v/>
      </c>
      <c r="AA189" s="18"/>
      <c r="AB189" s="18"/>
      <c r="AC189" s="19"/>
      <c r="AD189" s="19"/>
      <c r="AE189" s="18"/>
      <c r="AF189" s="18"/>
      <c r="AG189" s="18"/>
    </row>
    <row r="190" customFormat="false" ht="15" hidden="false" customHeight="false" outlineLevel="0" collapsed="false">
      <c r="A190" s="18"/>
      <c r="B190" s="19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4" t="str">
        <f aca="false">IF(COUNTA(I190:L190)=0,"",SUMIFS('3 Hazed Questions'!$E$2:$E$23,'3 Hazed Questions'!$A$2:$A$23,"Q1",'3 Hazed Questions'!$C$2:$C$23,I190)+SUMIFS('3 Hazed Questions'!$E$2:$E$23,'3 Hazed Questions'!$A$2:$A$23,"Q2",'3 Hazed Questions'!$C$2:$C$23,J190)+SUMIFS('3 Hazed Questions'!$E$2:$E$23,'3 Hazed Questions'!$A$2:$A$23,"Q3",'3 Hazed Questions'!$C$2:$C$23,K190)+SUMIFS('3 Hazed Questions'!$E$2:$E$23,'3 Hazed Questions'!$A$2:$A$23,"Q4",'3 Hazed Questions'!$C$2:$C$23,L190))</f>
        <v/>
      </c>
      <c r="O190" s="14" t="str">
        <f aca="false">IF(COUNTA(I190:L190)=0,"",SUMIFS('3 Hazed Questions'!$F$2:$F$23,'3 Hazed Questions'!$A$2:$A$23,"Q1",'3 Hazed Questions'!$C$2:$C$23,I190)+SUMIFS('3 Hazed Questions'!$F$2:$F$23,'3 Hazed Questions'!$A$2:$A$23,"Q2",'3 Hazed Questions'!$C$2:$C$23,J190)+SUMIFS('3 Hazed Questions'!$F$2:$F$23,'3 Hazed Questions'!$A$2:$A$23,"Q3",'3 Hazed Questions'!$C$2:$C$23,K190)+SUMIFS('3 Hazed Questions'!$F$2:$F$23,'3 Hazed Questions'!$A$2:$A$23,"Q4",'3 Hazed Questions'!$C$2:$C$23,L190))</f>
        <v/>
      </c>
      <c r="P190" s="14" t="str">
        <f aca="false">IF(COUNTA(I190:L190)=0,"",SUMIFS('3 Hazed Questions'!$G$2:$G$23,'3 Hazed Questions'!$A$2:$A$23,"Q1",'3 Hazed Questions'!$C$2:$C$23,I190)+SUMIFS('3 Hazed Questions'!$G$2:$G$23,'3 Hazed Questions'!$A$2:$A$23,"Q2",'3 Hazed Questions'!$C$2:$C$23,J190)+SUMIFS('3 Hazed Questions'!$G$2:$G$23,'3 Hazed Questions'!$A$2:$A$23,"Q3",'3 Hazed Questions'!$C$2:$C$23,K190)+SUMIFS('3 Hazed Questions'!$G$2:$G$23,'3 Hazed Questions'!$A$2:$A$23,"Q4",'3 Hazed Questions'!$C$2:$C$23,L190))</f>
        <v/>
      </c>
      <c r="Q190" s="14" t="str">
        <f aca="false">IF(COUNTA(I190:L190)=0,"",SUMIFS('3 Hazed Questions'!$H$2:$H$23,'3 Hazed Questions'!$A$2:$A$23,"Q1",'3 Hazed Questions'!$C$2:$C$23,I190)+SUMIFS('3 Hazed Questions'!$H$2:$H$23,'3 Hazed Questions'!$A$2:$A$23,"Q2",'3 Hazed Questions'!$C$2:$C$23,J190)+SUMIFS('3 Hazed Questions'!$H$2:$H$23,'3 Hazed Questions'!$A$2:$A$23,"Q3",'3 Hazed Questions'!$C$2:$C$23,K190)+SUMIFS('3 Hazed Questions'!$H$2:$H$23,'3 Hazed Questions'!$A$2:$A$23,"Q4",'3 Hazed Questions'!$C$2:$C$23,L190))</f>
        <v/>
      </c>
      <c r="R190" s="14" t="str">
        <f aca="false">IF(COUNTA(I190:L190)=0,"",SUMIFS('3 Hazed Questions'!$I$2:$I$23,'3 Hazed Questions'!$A$2:$A$23,"Q1",'3 Hazed Questions'!$C$2:$C$23,I190)+SUMIFS('3 Hazed Questions'!$I$2:$I$23,'3 Hazed Questions'!$A$2:$A$23,"Q2",'3 Hazed Questions'!$C$2:$C$23,J190)+SUMIFS('3 Hazed Questions'!$I$2:$I$23,'3 Hazed Questions'!$A$2:$A$23,"Q3",'3 Hazed Questions'!$C$2:$C$23,K190)+SUMIFS('3 Hazed Questions'!$I$2:$I$23,'3 Hazed Questions'!$A$2:$A$23,"Q4",'3 Hazed Questions'!$C$2:$C$23,L190))</f>
        <v/>
      </c>
      <c r="S190" s="14" t="str">
        <f aca="false">IF(COUNTA(I190:L190)=0,"",SUMIFS('3 Hazed Questions'!$J$2:$J$23,'3 Hazed Questions'!$A$2:$A$23,"Q1",'3 Hazed Questions'!$C$2:$C$23,I190)+SUMIFS('3 Hazed Questions'!$J$2:$J$23,'3 Hazed Questions'!$A$2:$A$23,"Q2",'3 Hazed Questions'!$C$2:$C$23,J190)+SUMIFS('3 Hazed Questions'!$J$2:$J$23,'3 Hazed Questions'!$A$2:$A$23,"Q3",'3 Hazed Questions'!$C$2:$C$23,K190)+SUMIFS('3 Hazed Questions'!$J$2:$J$23,'3 Hazed Questions'!$A$2:$A$23,"Q4",'3 Hazed Questions'!$C$2:$C$23,L190))</f>
        <v/>
      </c>
      <c r="T190" s="14" t="str">
        <f aca="false">IF(COUNTA(I190:L190)=0,"",SUMIFS('3 Hazed Questions'!$K$2:$K$23,'3 Hazed Questions'!$A$2:$A$23,"Q1",'3 Hazed Questions'!$C$2:$C$23,I190)+SUMIFS('3 Hazed Questions'!$K$2:$K$23,'3 Hazed Questions'!$A$2:$A$23,"Q2",'3 Hazed Questions'!$C$2:$C$23,J190)+SUMIFS('3 Hazed Questions'!$K$2:$K$23,'3 Hazed Questions'!$A$2:$A$23,"Q3",'3 Hazed Questions'!$C$2:$C$23,K190)+SUMIFS('3 Hazed Questions'!$K$2:$K$23,'3 Hazed Questions'!$A$2:$A$23,"Q4",'3 Hazed Questions'!$C$2:$C$23,L190))</f>
        <v/>
      </c>
      <c r="U190" s="14" t="str">
        <f aca="false">IF(COUNTA(I190:L190)=0,"",SUMIFS('3 Hazed Questions'!$L$2:$L$23,'3 Hazed Questions'!$A$2:$A$23,"Q1",'3 Hazed Questions'!$C$2:$C$23,I190)+SUMIFS('3 Hazed Questions'!$L$2:$L$23,'3 Hazed Questions'!$A$2:$A$23,"Q2",'3 Hazed Questions'!$C$2:$C$23,J190)+SUMIFS('3 Hazed Questions'!$L$2:$L$23,'3 Hazed Questions'!$A$2:$A$23,"Q3",'3 Hazed Questions'!$C$2:$C$23,K190)+SUMIFS('3 Hazed Questions'!$L$2:$L$23,'3 Hazed Questions'!$A$2:$A$23,"Q4",'3 Hazed Questions'!$C$2:$C$23,L190))</f>
        <v/>
      </c>
      <c r="V190" s="14" t="str">
        <f aca="false">IF(COUNTA(I190:L190)=0,"",SUMIFS('3 Hazed Questions'!$M$2:$M$23,'3 Hazed Questions'!$A$2:$A$23,"Q1",'3 Hazed Questions'!$C$2:$C$23,I190)+SUMIFS('3 Hazed Questions'!$M$2:$M$23,'3 Hazed Questions'!$A$2:$A$23,"Q2",'3 Hazed Questions'!$C$2:$C$23,J190)+SUMIFS('3 Hazed Questions'!$M$2:$M$23,'3 Hazed Questions'!$A$2:$A$23,"Q3",'3 Hazed Questions'!$C$2:$C$23,K190)+SUMIFS('3 Hazed Questions'!$M$2:$M$23,'3 Hazed Questions'!$A$2:$A$23,"Q4",'3 Hazed Questions'!$C$2:$C$23,L190))</f>
        <v/>
      </c>
      <c r="W190" s="14" t="str">
        <f aca="false">IF(COUNTA(I190:L190)=0,"",SUMIFS('3 Hazed Questions'!$N$2:$N$23,'3 Hazed Questions'!$A$2:$A$23,"Q1",'3 Hazed Questions'!$C$2:$C$23,I190)+SUMIFS('3 Hazed Questions'!$N$2:$N$23,'3 Hazed Questions'!$A$2:$A$23,"Q2",'3 Hazed Questions'!$C$2:$C$23,J190)+SUMIFS('3 Hazed Questions'!$N$2:$N$23,'3 Hazed Questions'!$A$2:$A$23,"Q3",'3 Hazed Questions'!$C$2:$C$23,K190)+SUMIFS('3 Hazed Questions'!$N$2:$N$23,'3 Hazed Questions'!$A$2:$A$23,"Q4",'3 Hazed Questions'!$C$2:$C$23,L190))</f>
        <v/>
      </c>
      <c r="X190" s="14" t="str">
        <f aca="false">IF(COUNTA(I190:L190)=0,"",INDEX(Fields!$B$2:$B$50,MATCH(SUBSTITUTE(INDEX($N$1:$W$1,MATCH(MAX($N190:$W190),$N190:$W190,0)),"Score: ",""),Fields!$A$2:$A$50,0)))</f>
        <v/>
      </c>
      <c r="Y190" s="14" t="str">
        <f aca="true">IF(COUNTA(I190:L190)=0,"",IF(LARGE($N190:$W190,2)=0,"-",INDEX(Fields!$B$2:$B$50,MATCH(SUBSTITUTE(INDEX($N$1:$W$1,IF(LARGE($N190:$W190,2)=MAX($N190:$W190),MATCH(MAX($N190:$W190),OFFSET($N190:$W190,0,MATCH(MAX($N190:$W190),$N190:$W190,0),1,10-MATCH(MAX($N190:$W190),$N190:$W190,0)),0)+MATCH(MAX($N190:$W190),$N190:$W190,0),MATCH(LARGE($N190:$W190,2),$N190:$W190,0))),"Score: ",""),Fields!$A$2:$A$50,0))))</f>
        <v/>
      </c>
      <c r="Z190" s="14" t="str">
        <f aca="false">IF(M190="","",IFERROR(INDEX('3 Hazed Questions'!$O$2:$O$23,MATCH(1,INDEX(('3 Hazed Questions'!$A$2:$A$23="Q5")*('3 Hazed Questions'!$C$2:$C$23=M190),0),0))&amp;"",""))</f>
        <v/>
      </c>
      <c r="AA190" s="18"/>
      <c r="AB190" s="18"/>
      <c r="AC190" s="19"/>
      <c r="AD190" s="19"/>
      <c r="AE190" s="18"/>
      <c r="AF190" s="18"/>
      <c r="AG190" s="18"/>
    </row>
    <row r="191" customFormat="false" ht="15" hidden="false" customHeight="false" outlineLevel="0" collapsed="false">
      <c r="A191" s="18"/>
      <c r="B191" s="19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4" t="str">
        <f aca="false">IF(COUNTA(I191:L191)=0,"",SUMIFS('3 Hazed Questions'!$E$2:$E$23,'3 Hazed Questions'!$A$2:$A$23,"Q1",'3 Hazed Questions'!$C$2:$C$23,I191)+SUMIFS('3 Hazed Questions'!$E$2:$E$23,'3 Hazed Questions'!$A$2:$A$23,"Q2",'3 Hazed Questions'!$C$2:$C$23,J191)+SUMIFS('3 Hazed Questions'!$E$2:$E$23,'3 Hazed Questions'!$A$2:$A$23,"Q3",'3 Hazed Questions'!$C$2:$C$23,K191)+SUMIFS('3 Hazed Questions'!$E$2:$E$23,'3 Hazed Questions'!$A$2:$A$23,"Q4",'3 Hazed Questions'!$C$2:$C$23,L191))</f>
        <v/>
      </c>
      <c r="O191" s="14" t="str">
        <f aca="false">IF(COUNTA(I191:L191)=0,"",SUMIFS('3 Hazed Questions'!$F$2:$F$23,'3 Hazed Questions'!$A$2:$A$23,"Q1",'3 Hazed Questions'!$C$2:$C$23,I191)+SUMIFS('3 Hazed Questions'!$F$2:$F$23,'3 Hazed Questions'!$A$2:$A$23,"Q2",'3 Hazed Questions'!$C$2:$C$23,J191)+SUMIFS('3 Hazed Questions'!$F$2:$F$23,'3 Hazed Questions'!$A$2:$A$23,"Q3",'3 Hazed Questions'!$C$2:$C$23,K191)+SUMIFS('3 Hazed Questions'!$F$2:$F$23,'3 Hazed Questions'!$A$2:$A$23,"Q4",'3 Hazed Questions'!$C$2:$C$23,L191))</f>
        <v/>
      </c>
      <c r="P191" s="14" t="str">
        <f aca="false">IF(COUNTA(I191:L191)=0,"",SUMIFS('3 Hazed Questions'!$G$2:$G$23,'3 Hazed Questions'!$A$2:$A$23,"Q1",'3 Hazed Questions'!$C$2:$C$23,I191)+SUMIFS('3 Hazed Questions'!$G$2:$G$23,'3 Hazed Questions'!$A$2:$A$23,"Q2",'3 Hazed Questions'!$C$2:$C$23,J191)+SUMIFS('3 Hazed Questions'!$G$2:$G$23,'3 Hazed Questions'!$A$2:$A$23,"Q3",'3 Hazed Questions'!$C$2:$C$23,K191)+SUMIFS('3 Hazed Questions'!$G$2:$G$23,'3 Hazed Questions'!$A$2:$A$23,"Q4",'3 Hazed Questions'!$C$2:$C$23,L191))</f>
        <v/>
      </c>
      <c r="Q191" s="14" t="str">
        <f aca="false">IF(COUNTA(I191:L191)=0,"",SUMIFS('3 Hazed Questions'!$H$2:$H$23,'3 Hazed Questions'!$A$2:$A$23,"Q1",'3 Hazed Questions'!$C$2:$C$23,I191)+SUMIFS('3 Hazed Questions'!$H$2:$H$23,'3 Hazed Questions'!$A$2:$A$23,"Q2",'3 Hazed Questions'!$C$2:$C$23,J191)+SUMIFS('3 Hazed Questions'!$H$2:$H$23,'3 Hazed Questions'!$A$2:$A$23,"Q3",'3 Hazed Questions'!$C$2:$C$23,K191)+SUMIFS('3 Hazed Questions'!$H$2:$H$23,'3 Hazed Questions'!$A$2:$A$23,"Q4",'3 Hazed Questions'!$C$2:$C$23,L191))</f>
        <v/>
      </c>
      <c r="R191" s="14" t="str">
        <f aca="false">IF(COUNTA(I191:L191)=0,"",SUMIFS('3 Hazed Questions'!$I$2:$I$23,'3 Hazed Questions'!$A$2:$A$23,"Q1",'3 Hazed Questions'!$C$2:$C$23,I191)+SUMIFS('3 Hazed Questions'!$I$2:$I$23,'3 Hazed Questions'!$A$2:$A$23,"Q2",'3 Hazed Questions'!$C$2:$C$23,J191)+SUMIFS('3 Hazed Questions'!$I$2:$I$23,'3 Hazed Questions'!$A$2:$A$23,"Q3",'3 Hazed Questions'!$C$2:$C$23,K191)+SUMIFS('3 Hazed Questions'!$I$2:$I$23,'3 Hazed Questions'!$A$2:$A$23,"Q4",'3 Hazed Questions'!$C$2:$C$23,L191))</f>
        <v/>
      </c>
      <c r="S191" s="14" t="str">
        <f aca="false">IF(COUNTA(I191:L191)=0,"",SUMIFS('3 Hazed Questions'!$J$2:$J$23,'3 Hazed Questions'!$A$2:$A$23,"Q1",'3 Hazed Questions'!$C$2:$C$23,I191)+SUMIFS('3 Hazed Questions'!$J$2:$J$23,'3 Hazed Questions'!$A$2:$A$23,"Q2",'3 Hazed Questions'!$C$2:$C$23,J191)+SUMIFS('3 Hazed Questions'!$J$2:$J$23,'3 Hazed Questions'!$A$2:$A$23,"Q3",'3 Hazed Questions'!$C$2:$C$23,K191)+SUMIFS('3 Hazed Questions'!$J$2:$J$23,'3 Hazed Questions'!$A$2:$A$23,"Q4",'3 Hazed Questions'!$C$2:$C$23,L191))</f>
        <v/>
      </c>
      <c r="T191" s="14" t="str">
        <f aca="false">IF(COUNTA(I191:L191)=0,"",SUMIFS('3 Hazed Questions'!$K$2:$K$23,'3 Hazed Questions'!$A$2:$A$23,"Q1",'3 Hazed Questions'!$C$2:$C$23,I191)+SUMIFS('3 Hazed Questions'!$K$2:$K$23,'3 Hazed Questions'!$A$2:$A$23,"Q2",'3 Hazed Questions'!$C$2:$C$23,J191)+SUMIFS('3 Hazed Questions'!$K$2:$K$23,'3 Hazed Questions'!$A$2:$A$23,"Q3",'3 Hazed Questions'!$C$2:$C$23,K191)+SUMIFS('3 Hazed Questions'!$K$2:$K$23,'3 Hazed Questions'!$A$2:$A$23,"Q4",'3 Hazed Questions'!$C$2:$C$23,L191))</f>
        <v/>
      </c>
      <c r="U191" s="14" t="str">
        <f aca="false">IF(COUNTA(I191:L191)=0,"",SUMIFS('3 Hazed Questions'!$L$2:$L$23,'3 Hazed Questions'!$A$2:$A$23,"Q1",'3 Hazed Questions'!$C$2:$C$23,I191)+SUMIFS('3 Hazed Questions'!$L$2:$L$23,'3 Hazed Questions'!$A$2:$A$23,"Q2",'3 Hazed Questions'!$C$2:$C$23,J191)+SUMIFS('3 Hazed Questions'!$L$2:$L$23,'3 Hazed Questions'!$A$2:$A$23,"Q3",'3 Hazed Questions'!$C$2:$C$23,K191)+SUMIFS('3 Hazed Questions'!$L$2:$L$23,'3 Hazed Questions'!$A$2:$A$23,"Q4",'3 Hazed Questions'!$C$2:$C$23,L191))</f>
        <v/>
      </c>
      <c r="V191" s="14" t="str">
        <f aca="false">IF(COUNTA(I191:L191)=0,"",SUMIFS('3 Hazed Questions'!$M$2:$M$23,'3 Hazed Questions'!$A$2:$A$23,"Q1",'3 Hazed Questions'!$C$2:$C$23,I191)+SUMIFS('3 Hazed Questions'!$M$2:$M$23,'3 Hazed Questions'!$A$2:$A$23,"Q2",'3 Hazed Questions'!$C$2:$C$23,J191)+SUMIFS('3 Hazed Questions'!$M$2:$M$23,'3 Hazed Questions'!$A$2:$A$23,"Q3",'3 Hazed Questions'!$C$2:$C$23,K191)+SUMIFS('3 Hazed Questions'!$M$2:$M$23,'3 Hazed Questions'!$A$2:$A$23,"Q4",'3 Hazed Questions'!$C$2:$C$23,L191))</f>
        <v/>
      </c>
      <c r="W191" s="14" t="str">
        <f aca="false">IF(COUNTA(I191:L191)=0,"",SUMIFS('3 Hazed Questions'!$N$2:$N$23,'3 Hazed Questions'!$A$2:$A$23,"Q1",'3 Hazed Questions'!$C$2:$C$23,I191)+SUMIFS('3 Hazed Questions'!$N$2:$N$23,'3 Hazed Questions'!$A$2:$A$23,"Q2",'3 Hazed Questions'!$C$2:$C$23,J191)+SUMIFS('3 Hazed Questions'!$N$2:$N$23,'3 Hazed Questions'!$A$2:$A$23,"Q3",'3 Hazed Questions'!$C$2:$C$23,K191)+SUMIFS('3 Hazed Questions'!$N$2:$N$23,'3 Hazed Questions'!$A$2:$A$23,"Q4",'3 Hazed Questions'!$C$2:$C$23,L191))</f>
        <v/>
      </c>
      <c r="X191" s="14" t="str">
        <f aca="false">IF(COUNTA(I191:L191)=0,"",INDEX(Fields!$B$2:$B$50,MATCH(SUBSTITUTE(INDEX($N$1:$W$1,MATCH(MAX($N191:$W191),$N191:$W191,0)),"Score: ",""),Fields!$A$2:$A$50,0)))</f>
        <v/>
      </c>
      <c r="Y191" s="14" t="str">
        <f aca="true">IF(COUNTA(I191:L191)=0,"",IF(LARGE($N191:$W191,2)=0,"-",INDEX(Fields!$B$2:$B$50,MATCH(SUBSTITUTE(INDEX($N$1:$W$1,IF(LARGE($N191:$W191,2)=MAX($N191:$W191),MATCH(MAX($N191:$W191),OFFSET($N191:$W191,0,MATCH(MAX($N191:$W191),$N191:$W191,0),1,10-MATCH(MAX($N191:$W191),$N191:$W191,0)),0)+MATCH(MAX($N191:$W191),$N191:$W191,0),MATCH(LARGE($N191:$W191,2),$N191:$W191,0))),"Score: ",""),Fields!$A$2:$A$50,0))))</f>
        <v/>
      </c>
      <c r="Z191" s="14" t="str">
        <f aca="false">IF(M191="","",IFERROR(INDEX('3 Hazed Questions'!$O$2:$O$23,MATCH(1,INDEX(('3 Hazed Questions'!$A$2:$A$23="Q5")*('3 Hazed Questions'!$C$2:$C$23=M191),0),0))&amp;"",""))</f>
        <v/>
      </c>
      <c r="AA191" s="18"/>
      <c r="AB191" s="18"/>
      <c r="AC191" s="19"/>
      <c r="AD191" s="19"/>
      <c r="AE191" s="18"/>
      <c r="AF191" s="18"/>
      <c r="AG191" s="18"/>
    </row>
    <row r="192" customFormat="false" ht="15" hidden="false" customHeight="false" outlineLevel="0" collapsed="false">
      <c r="A192" s="18"/>
      <c r="B192" s="19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4" t="str">
        <f aca="false">IF(COUNTA(I192:L192)=0,"",SUMIFS('3 Hazed Questions'!$E$2:$E$23,'3 Hazed Questions'!$A$2:$A$23,"Q1",'3 Hazed Questions'!$C$2:$C$23,I192)+SUMIFS('3 Hazed Questions'!$E$2:$E$23,'3 Hazed Questions'!$A$2:$A$23,"Q2",'3 Hazed Questions'!$C$2:$C$23,J192)+SUMIFS('3 Hazed Questions'!$E$2:$E$23,'3 Hazed Questions'!$A$2:$A$23,"Q3",'3 Hazed Questions'!$C$2:$C$23,K192)+SUMIFS('3 Hazed Questions'!$E$2:$E$23,'3 Hazed Questions'!$A$2:$A$23,"Q4",'3 Hazed Questions'!$C$2:$C$23,L192))</f>
        <v/>
      </c>
      <c r="O192" s="14" t="str">
        <f aca="false">IF(COUNTA(I192:L192)=0,"",SUMIFS('3 Hazed Questions'!$F$2:$F$23,'3 Hazed Questions'!$A$2:$A$23,"Q1",'3 Hazed Questions'!$C$2:$C$23,I192)+SUMIFS('3 Hazed Questions'!$F$2:$F$23,'3 Hazed Questions'!$A$2:$A$23,"Q2",'3 Hazed Questions'!$C$2:$C$23,J192)+SUMIFS('3 Hazed Questions'!$F$2:$F$23,'3 Hazed Questions'!$A$2:$A$23,"Q3",'3 Hazed Questions'!$C$2:$C$23,K192)+SUMIFS('3 Hazed Questions'!$F$2:$F$23,'3 Hazed Questions'!$A$2:$A$23,"Q4",'3 Hazed Questions'!$C$2:$C$23,L192))</f>
        <v/>
      </c>
      <c r="P192" s="14" t="str">
        <f aca="false">IF(COUNTA(I192:L192)=0,"",SUMIFS('3 Hazed Questions'!$G$2:$G$23,'3 Hazed Questions'!$A$2:$A$23,"Q1",'3 Hazed Questions'!$C$2:$C$23,I192)+SUMIFS('3 Hazed Questions'!$G$2:$G$23,'3 Hazed Questions'!$A$2:$A$23,"Q2",'3 Hazed Questions'!$C$2:$C$23,J192)+SUMIFS('3 Hazed Questions'!$G$2:$G$23,'3 Hazed Questions'!$A$2:$A$23,"Q3",'3 Hazed Questions'!$C$2:$C$23,K192)+SUMIFS('3 Hazed Questions'!$G$2:$G$23,'3 Hazed Questions'!$A$2:$A$23,"Q4",'3 Hazed Questions'!$C$2:$C$23,L192))</f>
        <v/>
      </c>
      <c r="Q192" s="14" t="str">
        <f aca="false">IF(COUNTA(I192:L192)=0,"",SUMIFS('3 Hazed Questions'!$H$2:$H$23,'3 Hazed Questions'!$A$2:$A$23,"Q1",'3 Hazed Questions'!$C$2:$C$23,I192)+SUMIFS('3 Hazed Questions'!$H$2:$H$23,'3 Hazed Questions'!$A$2:$A$23,"Q2",'3 Hazed Questions'!$C$2:$C$23,J192)+SUMIFS('3 Hazed Questions'!$H$2:$H$23,'3 Hazed Questions'!$A$2:$A$23,"Q3",'3 Hazed Questions'!$C$2:$C$23,K192)+SUMIFS('3 Hazed Questions'!$H$2:$H$23,'3 Hazed Questions'!$A$2:$A$23,"Q4",'3 Hazed Questions'!$C$2:$C$23,L192))</f>
        <v/>
      </c>
      <c r="R192" s="14" t="str">
        <f aca="false">IF(COUNTA(I192:L192)=0,"",SUMIFS('3 Hazed Questions'!$I$2:$I$23,'3 Hazed Questions'!$A$2:$A$23,"Q1",'3 Hazed Questions'!$C$2:$C$23,I192)+SUMIFS('3 Hazed Questions'!$I$2:$I$23,'3 Hazed Questions'!$A$2:$A$23,"Q2",'3 Hazed Questions'!$C$2:$C$23,J192)+SUMIFS('3 Hazed Questions'!$I$2:$I$23,'3 Hazed Questions'!$A$2:$A$23,"Q3",'3 Hazed Questions'!$C$2:$C$23,K192)+SUMIFS('3 Hazed Questions'!$I$2:$I$23,'3 Hazed Questions'!$A$2:$A$23,"Q4",'3 Hazed Questions'!$C$2:$C$23,L192))</f>
        <v/>
      </c>
      <c r="S192" s="14" t="str">
        <f aca="false">IF(COUNTA(I192:L192)=0,"",SUMIFS('3 Hazed Questions'!$J$2:$J$23,'3 Hazed Questions'!$A$2:$A$23,"Q1",'3 Hazed Questions'!$C$2:$C$23,I192)+SUMIFS('3 Hazed Questions'!$J$2:$J$23,'3 Hazed Questions'!$A$2:$A$23,"Q2",'3 Hazed Questions'!$C$2:$C$23,J192)+SUMIFS('3 Hazed Questions'!$J$2:$J$23,'3 Hazed Questions'!$A$2:$A$23,"Q3",'3 Hazed Questions'!$C$2:$C$23,K192)+SUMIFS('3 Hazed Questions'!$J$2:$J$23,'3 Hazed Questions'!$A$2:$A$23,"Q4",'3 Hazed Questions'!$C$2:$C$23,L192))</f>
        <v/>
      </c>
      <c r="T192" s="14" t="str">
        <f aca="false">IF(COUNTA(I192:L192)=0,"",SUMIFS('3 Hazed Questions'!$K$2:$K$23,'3 Hazed Questions'!$A$2:$A$23,"Q1",'3 Hazed Questions'!$C$2:$C$23,I192)+SUMIFS('3 Hazed Questions'!$K$2:$K$23,'3 Hazed Questions'!$A$2:$A$23,"Q2",'3 Hazed Questions'!$C$2:$C$23,J192)+SUMIFS('3 Hazed Questions'!$K$2:$K$23,'3 Hazed Questions'!$A$2:$A$23,"Q3",'3 Hazed Questions'!$C$2:$C$23,K192)+SUMIFS('3 Hazed Questions'!$K$2:$K$23,'3 Hazed Questions'!$A$2:$A$23,"Q4",'3 Hazed Questions'!$C$2:$C$23,L192))</f>
        <v/>
      </c>
      <c r="U192" s="14" t="str">
        <f aca="false">IF(COUNTA(I192:L192)=0,"",SUMIFS('3 Hazed Questions'!$L$2:$L$23,'3 Hazed Questions'!$A$2:$A$23,"Q1",'3 Hazed Questions'!$C$2:$C$23,I192)+SUMIFS('3 Hazed Questions'!$L$2:$L$23,'3 Hazed Questions'!$A$2:$A$23,"Q2",'3 Hazed Questions'!$C$2:$C$23,J192)+SUMIFS('3 Hazed Questions'!$L$2:$L$23,'3 Hazed Questions'!$A$2:$A$23,"Q3",'3 Hazed Questions'!$C$2:$C$23,K192)+SUMIFS('3 Hazed Questions'!$L$2:$L$23,'3 Hazed Questions'!$A$2:$A$23,"Q4",'3 Hazed Questions'!$C$2:$C$23,L192))</f>
        <v/>
      </c>
      <c r="V192" s="14" t="str">
        <f aca="false">IF(COUNTA(I192:L192)=0,"",SUMIFS('3 Hazed Questions'!$M$2:$M$23,'3 Hazed Questions'!$A$2:$A$23,"Q1",'3 Hazed Questions'!$C$2:$C$23,I192)+SUMIFS('3 Hazed Questions'!$M$2:$M$23,'3 Hazed Questions'!$A$2:$A$23,"Q2",'3 Hazed Questions'!$C$2:$C$23,J192)+SUMIFS('3 Hazed Questions'!$M$2:$M$23,'3 Hazed Questions'!$A$2:$A$23,"Q3",'3 Hazed Questions'!$C$2:$C$23,K192)+SUMIFS('3 Hazed Questions'!$M$2:$M$23,'3 Hazed Questions'!$A$2:$A$23,"Q4",'3 Hazed Questions'!$C$2:$C$23,L192))</f>
        <v/>
      </c>
      <c r="W192" s="14" t="str">
        <f aca="false">IF(COUNTA(I192:L192)=0,"",SUMIFS('3 Hazed Questions'!$N$2:$N$23,'3 Hazed Questions'!$A$2:$A$23,"Q1",'3 Hazed Questions'!$C$2:$C$23,I192)+SUMIFS('3 Hazed Questions'!$N$2:$N$23,'3 Hazed Questions'!$A$2:$A$23,"Q2",'3 Hazed Questions'!$C$2:$C$23,J192)+SUMIFS('3 Hazed Questions'!$N$2:$N$23,'3 Hazed Questions'!$A$2:$A$23,"Q3",'3 Hazed Questions'!$C$2:$C$23,K192)+SUMIFS('3 Hazed Questions'!$N$2:$N$23,'3 Hazed Questions'!$A$2:$A$23,"Q4",'3 Hazed Questions'!$C$2:$C$23,L192))</f>
        <v/>
      </c>
      <c r="X192" s="14" t="str">
        <f aca="false">IF(COUNTA(I192:L192)=0,"",INDEX(Fields!$B$2:$B$50,MATCH(SUBSTITUTE(INDEX($N$1:$W$1,MATCH(MAX($N192:$W192),$N192:$W192,0)),"Score: ",""),Fields!$A$2:$A$50,0)))</f>
        <v/>
      </c>
      <c r="Y192" s="14" t="str">
        <f aca="true">IF(COUNTA(I192:L192)=0,"",IF(LARGE($N192:$W192,2)=0,"-",INDEX(Fields!$B$2:$B$50,MATCH(SUBSTITUTE(INDEX($N$1:$W$1,IF(LARGE($N192:$W192,2)=MAX($N192:$W192),MATCH(MAX($N192:$W192),OFFSET($N192:$W192,0,MATCH(MAX($N192:$W192),$N192:$W192,0),1,10-MATCH(MAX($N192:$W192),$N192:$W192,0)),0)+MATCH(MAX($N192:$W192),$N192:$W192,0),MATCH(LARGE($N192:$W192,2),$N192:$W192,0))),"Score: ",""),Fields!$A$2:$A$50,0))))</f>
        <v/>
      </c>
      <c r="Z192" s="14" t="str">
        <f aca="false">IF(M192="","",IFERROR(INDEX('3 Hazed Questions'!$O$2:$O$23,MATCH(1,INDEX(('3 Hazed Questions'!$A$2:$A$23="Q5")*('3 Hazed Questions'!$C$2:$C$23=M192),0),0))&amp;"",""))</f>
        <v/>
      </c>
      <c r="AA192" s="18"/>
      <c r="AB192" s="18"/>
      <c r="AC192" s="19"/>
      <c r="AD192" s="19"/>
      <c r="AE192" s="18"/>
      <c r="AF192" s="18"/>
      <c r="AG192" s="18"/>
    </row>
    <row r="193" customFormat="false" ht="15" hidden="false" customHeight="false" outlineLevel="0" collapsed="false">
      <c r="A193" s="18"/>
      <c r="B193" s="19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4" t="str">
        <f aca="false">IF(COUNTA(I193:L193)=0,"",SUMIFS('3 Hazed Questions'!$E$2:$E$23,'3 Hazed Questions'!$A$2:$A$23,"Q1",'3 Hazed Questions'!$C$2:$C$23,I193)+SUMIFS('3 Hazed Questions'!$E$2:$E$23,'3 Hazed Questions'!$A$2:$A$23,"Q2",'3 Hazed Questions'!$C$2:$C$23,J193)+SUMIFS('3 Hazed Questions'!$E$2:$E$23,'3 Hazed Questions'!$A$2:$A$23,"Q3",'3 Hazed Questions'!$C$2:$C$23,K193)+SUMIFS('3 Hazed Questions'!$E$2:$E$23,'3 Hazed Questions'!$A$2:$A$23,"Q4",'3 Hazed Questions'!$C$2:$C$23,L193))</f>
        <v/>
      </c>
      <c r="O193" s="14" t="str">
        <f aca="false">IF(COUNTA(I193:L193)=0,"",SUMIFS('3 Hazed Questions'!$F$2:$F$23,'3 Hazed Questions'!$A$2:$A$23,"Q1",'3 Hazed Questions'!$C$2:$C$23,I193)+SUMIFS('3 Hazed Questions'!$F$2:$F$23,'3 Hazed Questions'!$A$2:$A$23,"Q2",'3 Hazed Questions'!$C$2:$C$23,J193)+SUMIFS('3 Hazed Questions'!$F$2:$F$23,'3 Hazed Questions'!$A$2:$A$23,"Q3",'3 Hazed Questions'!$C$2:$C$23,K193)+SUMIFS('3 Hazed Questions'!$F$2:$F$23,'3 Hazed Questions'!$A$2:$A$23,"Q4",'3 Hazed Questions'!$C$2:$C$23,L193))</f>
        <v/>
      </c>
      <c r="P193" s="14" t="str">
        <f aca="false">IF(COUNTA(I193:L193)=0,"",SUMIFS('3 Hazed Questions'!$G$2:$G$23,'3 Hazed Questions'!$A$2:$A$23,"Q1",'3 Hazed Questions'!$C$2:$C$23,I193)+SUMIFS('3 Hazed Questions'!$G$2:$G$23,'3 Hazed Questions'!$A$2:$A$23,"Q2",'3 Hazed Questions'!$C$2:$C$23,J193)+SUMIFS('3 Hazed Questions'!$G$2:$G$23,'3 Hazed Questions'!$A$2:$A$23,"Q3",'3 Hazed Questions'!$C$2:$C$23,K193)+SUMIFS('3 Hazed Questions'!$G$2:$G$23,'3 Hazed Questions'!$A$2:$A$23,"Q4",'3 Hazed Questions'!$C$2:$C$23,L193))</f>
        <v/>
      </c>
      <c r="Q193" s="14" t="str">
        <f aca="false">IF(COUNTA(I193:L193)=0,"",SUMIFS('3 Hazed Questions'!$H$2:$H$23,'3 Hazed Questions'!$A$2:$A$23,"Q1",'3 Hazed Questions'!$C$2:$C$23,I193)+SUMIFS('3 Hazed Questions'!$H$2:$H$23,'3 Hazed Questions'!$A$2:$A$23,"Q2",'3 Hazed Questions'!$C$2:$C$23,J193)+SUMIFS('3 Hazed Questions'!$H$2:$H$23,'3 Hazed Questions'!$A$2:$A$23,"Q3",'3 Hazed Questions'!$C$2:$C$23,K193)+SUMIFS('3 Hazed Questions'!$H$2:$H$23,'3 Hazed Questions'!$A$2:$A$23,"Q4",'3 Hazed Questions'!$C$2:$C$23,L193))</f>
        <v/>
      </c>
      <c r="R193" s="14" t="str">
        <f aca="false">IF(COUNTA(I193:L193)=0,"",SUMIFS('3 Hazed Questions'!$I$2:$I$23,'3 Hazed Questions'!$A$2:$A$23,"Q1",'3 Hazed Questions'!$C$2:$C$23,I193)+SUMIFS('3 Hazed Questions'!$I$2:$I$23,'3 Hazed Questions'!$A$2:$A$23,"Q2",'3 Hazed Questions'!$C$2:$C$23,J193)+SUMIFS('3 Hazed Questions'!$I$2:$I$23,'3 Hazed Questions'!$A$2:$A$23,"Q3",'3 Hazed Questions'!$C$2:$C$23,K193)+SUMIFS('3 Hazed Questions'!$I$2:$I$23,'3 Hazed Questions'!$A$2:$A$23,"Q4",'3 Hazed Questions'!$C$2:$C$23,L193))</f>
        <v/>
      </c>
      <c r="S193" s="14" t="str">
        <f aca="false">IF(COUNTA(I193:L193)=0,"",SUMIFS('3 Hazed Questions'!$J$2:$J$23,'3 Hazed Questions'!$A$2:$A$23,"Q1",'3 Hazed Questions'!$C$2:$C$23,I193)+SUMIFS('3 Hazed Questions'!$J$2:$J$23,'3 Hazed Questions'!$A$2:$A$23,"Q2",'3 Hazed Questions'!$C$2:$C$23,J193)+SUMIFS('3 Hazed Questions'!$J$2:$J$23,'3 Hazed Questions'!$A$2:$A$23,"Q3",'3 Hazed Questions'!$C$2:$C$23,K193)+SUMIFS('3 Hazed Questions'!$J$2:$J$23,'3 Hazed Questions'!$A$2:$A$23,"Q4",'3 Hazed Questions'!$C$2:$C$23,L193))</f>
        <v/>
      </c>
      <c r="T193" s="14" t="str">
        <f aca="false">IF(COUNTA(I193:L193)=0,"",SUMIFS('3 Hazed Questions'!$K$2:$K$23,'3 Hazed Questions'!$A$2:$A$23,"Q1",'3 Hazed Questions'!$C$2:$C$23,I193)+SUMIFS('3 Hazed Questions'!$K$2:$K$23,'3 Hazed Questions'!$A$2:$A$23,"Q2",'3 Hazed Questions'!$C$2:$C$23,J193)+SUMIFS('3 Hazed Questions'!$K$2:$K$23,'3 Hazed Questions'!$A$2:$A$23,"Q3",'3 Hazed Questions'!$C$2:$C$23,K193)+SUMIFS('3 Hazed Questions'!$K$2:$K$23,'3 Hazed Questions'!$A$2:$A$23,"Q4",'3 Hazed Questions'!$C$2:$C$23,L193))</f>
        <v/>
      </c>
      <c r="U193" s="14" t="str">
        <f aca="false">IF(COUNTA(I193:L193)=0,"",SUMIFS('3 Hazed Questions'!$L$2:$L$23,'3 Hazed Questions'!$A$2:$A$23,"Q1",'3 Hazed Questions'!$C$2:$C$23,I193)+SUMIFS('3 Hazed Questions'!$L$2:$L$23,'3 Hazed Questions'!$A$2:$A$23,"Q2",'3 Hazed Questions'!$C$2:$C$23,J193)+SUMIFS('3 Hazed Questions'!$L$2:$L$23,'3 Hazed Questions'!$A$2:$A$23,"Q3",'3 Hazed Questions'!$C$2:$C$23,K193)+SUMIFS('3 Hazed Questions'!$L$2:$L$23,'3 Hazed Questions'!$A$2:$A$23,"Q4",'3 Hazed Questions'!$C$2:$C$23,L193))</f>
        <v/>
      </c>
      <c r="V193" s="14" t="str">
        <f aca="false">IF(COUNTA(I193:L193)=0,"",SUMIFS('3 Hazed Questions'!$M$2:$M$23,'3 Hazed Questions'!$A$2:$A$23,"Q1",'3 Hazed Questions'!$C$2:$C$23,I193)+SUMIFS('3 Hazed Questions'!$M$2:$M$23,'3 Hazed Questions'!$A$2:$A$23,"Q2",'3 Hazed Questions'!$C$2:$C$23,J193)+SUMIFS('3 Hazed Questions'!$M$2:$M$23,'3 Hazed Questions'!$A$2:$A$23,"Q3",'3 Hazed Questions'!$C$2:$C$23,K193)+SUMIFS('3 Hazed Questions'!$M$2:$M$23,'3 Hazed Questions'!$A$2:$A$23,"Q4",'3 Hazed Questions'!$C$2:$C$23,L193))</f>
        <v/>
      </c>
      <c r="W193" s="14" t="str">
        <f aca="false">IF(COUNTA(I193:L193)=0,"",SUMIFS('3 Hazed Questions'!$N$2:$N$23,'3 Hazed Questions'!$A$2:$A$23,"Q1",'3 Hazed Questions'!$C$2:$C$23,I193)+SUMIFS('3 Hazed Questions'!$N$2:$N$23,'3 Hazed Questions'!$A$2:$A$23,"Q2",'3 Hazed Questions'!$C$2:$C$23,J193)+SUMIFS('3 Hazed Questions'!$N$2:$N$23,'3 Hazed Questions'!$A$2:$A$23,"Q3",'3 Hazed Questions'!$C$2:$C$23,K193)+SUMIFS('3 Hazed Questions'!$N$2:$N$23,'3 Hazed Questions'!$A$2:$A$23,"Q4",'3 Hazed Questions'!$C$2:$C$23,L193))</f>
        <v/>
      </c>
      <c r="X193" s="14" t="str">
        <f aca="false">IF(COUNTA(I193:L193)=0,"",INDEX(Fields!$B$2:$B$50,MATCH(SUBSTITUTE(INDEX($N$1:$W$1,MATCH(MAX($N193:$W193),$N193:$W193,0)),"Score: ",""),Fields!$A$2:$A$50,0)))</f>
        <v/>
      </c>
      <c r="Y193" s="14" t="str">
        <f aca="true">IF(COUNTA(I193:L193)=0,"",IF(LARGE($N193:$W193,2)=0,"-",INDEX(Fields!$B$2:$B$50,MATCH(SUBSTITUTE(INDEX($N$1:$W$1,IF(LARGE($N193:$W193,2)=MAX($N193:$W193),MATCH(MAX($N193:$W193),OFFSET($N193:$W193,0,MATCH(MAX($N193:$W193),$N193:$W193,0),1,10-MATCH(MAX($N193:$W193),$N193:$W193,0)),0)+MATCH(MAX($N193:$W193),$N193:$W193,0),MATCH(LARGE($N193:$W193,2),$N193:$W193,0))),"Score: ",""),Fields!$A$2:$A$50,0))))</f>
        <v/>
      </c>
      <c r="Z193" s="14" t="str">
        <f aca="false">IF(M193="","",IFERROR(INDEX('3 Hazed Questions'!$O$2:$O$23,MATCH(1,INDEX(('3 Hazed Questions'!$A$2:$A$23="Q5")*('3 Hazed Questions'!$C$2:$C$23=M193),0),0))&amp;"",""))</f>
        <v/>
      </c>
      <c r="AA193" s="18"/>
      <c r="AB193" s="18"/>
      <c r="AC193" s="19"/>
      <c r="AD193" s="19"/>
      <c r="AE193" s="18"/>
      <c r="AF193" s="18"/>
      <c r="AG193" s="18"/>
    </row>
    <row r="194" customFormat="false" ht="15" hidden="false" customHeight="false" outlineLevel="0" collapsed="false">
      <c r="A194" s="18"/>
      <c r="B194" s="19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4" t="str">
        <f aca="false">IF(COUNTA(I194:L194)=0,"",SUMIFS('3 Hazed Questions'!$E$2:$E$23,'3 Hazed Questions'!$A$2:$A$23,"Q1",'3 Hazed Questions'!$C$2:$C$23,I194)+SUMIFS('3 Hazed Questions'!$E$2:$E$23,'3 Hazed Questions'!$A$2:$A$23,"Q2",'3 Hazed Questions'!$C$2:$C$23,J194)+SUMIFS('3 Hazed Questions'!$E$2:$E$23,'3 Hazed Questions'!$A$2:$A$23,"Q3",'3 Hazed Questions'!$C$2:$C$23,K194)+SUMIFS('3 Hazed Questions'!$E$2:$E$23,'3 Hazed Questions'!$A$2:$A$23,"Q4",'3 Hazed Questions'!$C$2:$C$23,L194))</f>
        <v/>
      </c>
      <c r="O194" s="14" t="str">
        <f aca="false">IF(COUNTA(I194:L194)=0,"",SUMIFS('3 Hazed Questions'!$F$2:$F$23,'3 Hazed Questions'!$A$2:$A$23,"Q1",'3 Hazed Questions'!$C$2:$C$23,I194)+SUMIFS('3 Hazed Questions'!$F$2:$F$23,'3 Hazed Questions'!$A$2:$A$23,"Q2",'3 Hazed Questions'!$C$2:$C$23,J194)+SUMIFS('3 Hazed Questions'!$F$2:$F$23,'3 Hazed Questions'!$A$2:$A$23,"Q3",'3 Hazed Questions'!$C$2:$C$23,K194)+SUMIFS('3 Hazed Questions'!$F$2:$F$23,'3 Hazed Questions'!$A$2:$A$23,"Q4",'3 Hazed Questions'!$C$2:$C$23,L194))</f>
        <v/>
      </c>
      <c r="P194" s="14" t="str">
        <f aca="false">IF(COUNTA(I194:L194)=0,"",SUMIFS('3 Hazed Questions'!$G$2:$G$23,'3 Hazed Questions'!$A$2:$A$23,"Q1",'3 Hazed Questions'!$C$2:$C$23,I194)+SUMIFS('3 Hazed Questions'!$G$2:$G$23,'3 Hazed Questions'!$A$2:$A$23,"Q2",'3 Hazed Questions'!$C$2:$C$23,J194)+SUMIFS('3 Hazed Questions'!$G$2:$G$23,'3 Hazed Questions'!$A$2:$A$23,"Q3",'3 Hazed Questions'!$C$2:$C$23,K194)+SUMIFS('3 Hazed Questions'!$G$2:$G$23,'3 Hazed Questions'!$A$2:$A$23,"Q4",'3 Hazed Questions'!$C$2:$C$23,L194))</f>
        <v/>
      </c>
      <c r="Q194" s="14" t="str">
        <f aca="false">IF(COUNTA(I194:L194)=0,"",SUMIFS('3 Hazed Questions'!$H$2:$H$23,'3 Hazed Questions'!$A$2:$A$23,"Q1",'3 Hazed Questions'!$C$2:$C$23,I194)+SUMIFS('3 Hazed Questions'!$H$2:$H$23,'3 Hazed Questions'!$A$2:$A$23,"Q2",'3 Hazed Questions'!$C$2:$C$23,J194)+SUMIFS('3 Hazed Questions'!$H$2:$H$23,'3 Hazed Questions'!$A$2:$A$23,"Q3",'3 Hazed Questions'!$C$2:$C$23,K194)+SUMIFS('3 Hazed Questions'!$H$2:$H$23,'3 Hazed Questions'!$A$2:$A$23,"Q4",'3 Hazed Questions'!$C$2:$C$23,L194))</f>
        <v/>
      </c>
      <c r="R194" s="14" t="str">
        <f aca="false">IF(COUNTA(I194:L194)=0,"",SUMIFS('3 Hazed Questions'!$I$2:$I$23,'3 Hazed Questions'!$A$2:$A$23,"Q1",'3 Hazed Questions'!$C$2:$C$23,I194)+SUMIFS('3 Hazed Questions'!$I$2:$I$23,'3 Hazed Questions'!$A$2:$A$23,"Q2",'3 Hazed Questions'!$C$2:$C$23,J194)+SUMIFS('3 Hazed Questions'!$I$2:$I$23,'3 Hazed Questions'!$A$2:$A$23,"Q3",'3 Hazed Questions'!$C$2:$C$23,K194)+SUMIFS('3 Hazed Questions'!$I$2:$I$23,'3 Hazed Questions'!$A$2:$A$23,"Q4",'3 Hazed Questions'!$C$2:$C$23,L194))</f>
        <v/>
      </c>
      <c r="S194" s="14" t="str">
        <f aca="false">IF(COUNTA(I194:L194)=0,"",SUMIFS('3 Hazed Questions'!$J$2:$J$23,'3 Hazed Questions'!$A$2:$A$23,"Q1",'3 Hazed Questions'!$C$2:$C$23,I194)+SUMIFS('3 Hazed Questions'!$J$2:$J$23,'3 Hazed Questions'!$A$2:$A$23,"Q2",'3 Hazed Questions'!$C$2:$C$23,J194)+SUMIFS('3 Hazed Questions'!$J$2:$J$23,'3 Hazed Questions'!$A$2:$A$23,"Q3",'3 Hazed Questions'!$C$2:$C$23,K194)+SUMIFS('3 Hazed Questions'!$J$2:$J$23,'3 Hazed Questions'!$A$2:$A$23,"Q4",'3 Hazed Questions'!$C$2:$C$23,L194))</f>
        <v/>
      </c>
      <c r="T194" s="14" t="str">
        <f aca="false">IF(COUNTA(I194:L194)=0,"",SUMIFS('3 Hazed Questions'!$K$2:$K$23,'3 Hazed Questions'!$A$2:$A$23,"Q1",'3 Hazed Questions'!$C$2:$C$23,I194)+SUMIFS('3 Hazed Questions'!$K$2:$K$23,'3 Hazed Questions'!$A$2:$A$23,"Q2",'3 Hazed Questions'!$C$2:$C$23,J194)+SUMIFS('3 Hazed Questions'!$K$2:$K$23,'3 Hazed Questions'!$A$2:$A$23,"Q3",'3 Hazed Questions'!$C$2:$C$23,K194)+SUMIFS('3 Hazed Questions'!$K$2:$K$23,'3 Hazed Questions'!$A$2:$A$23,"Q4",'3 Hazed Questions'!$C$2:$C$23,L194))</f>
        <v/>
      </c>
      <c r="U194" s="14" t="str">
        <f aca="false">IF(COUNTA(I194:L194)=0,"",SUMIFS('3 Hazed Questions'!$L$2:$L$23,'3 Hazed Questions'!$A$2:$A$23,"Q1",'3 Hazed Questions'!$C$2:$C$23,I194)+SUMIFS('3 Hazed Questions'!$L$2:$L$23,'3 Hazed Questions'!$A$2:$A$23,"Q2",'3 Hazed Questions'!$C$2:$C$23,J194)+SUMIFS('3 Hazed Questions'!$L$2:$L$23,'3 Hazed Questions'!$A$2:$A$23,"Q3",'3 Hazed Questions'!$C$2:$C$23,K194)+SUMIFS('3 Hazed Questions'!$L$2:$L$23,'3 Hazed Questions'!$A$2:$A$23,"Q4",'3 Hazed Questions'!$C$2:$C$23,L194))</f>
        <v/>
      </c>
      <c r="V194" s="14" t="str">
        <f aca="false">IF(COUNTA(I194:L194)=0,"",SUMIFS('3 Hazed Questions'!$M$2:$M$23,'3 Hazed Questions'!$A$2:$A$23,"Q1",'3 Hazed Questions'!$C$2:$C$23,I194)+SUMIFS('3 Hazed Questions'!$M$2:$M$23,'3 Hazed Questions'!$A$2:$A$23,"Q2",'3 Hazed Questions'!$C$2:$C$23,J194)+SUMIFS('3 Hazed Questions'!$M$2:$M$23,'3 Hazed Questions'!$A$2:$A$23,"Q3",'3 Hazed Questions'!$C$2:$C$23,K194)+SUMIFS('3 Hazed Questions'!$M$2:$M$23,'3 Hazed Questions'!$A$2:$A$23,"Q4",'3 Hazed Questions'!$C$2:$C$23,L194))</f>
        <v/>
      </c>
      <c r="W194" s="14" t="str">
        <f aca="false">IF(COUNTA(I194:L194)=0,"",SUMIFS('3 Hazed Questions'!$N$2:$N$23,'3 Hazed Questions'!$A$2:$A$23,"Q1",'3 Hazed Questions'!$C$2:$C$23,I194)+SUMIFS('3 Hazed Questions'!$N$2:$N$23,'3 Hazed Questions'!$A$2:$A$23,"Q2",'3 Hazed Questions'!$C$2:$C$23,J194)+SUMIFS('3 Hazed Questions'!$N$2:$N$23,'3 Hazed Questions'!$A$2:$A$23,"Q3",'3 Hazed Questions'!$C$2:$C$23,K194)+SUMIFS('3 Hazed Questions'!$N$2:$N$23,'3 Hazed Questions'!$A$2:$A$23,"Q4",'3 Hazed Questions'!$C$2:$C$23,L194))</f>
        <v/>
      </c>
      <c r="X194" s="14" t="str">
        <f aca="false">IF(COUNTA(I194:L194)=0,"",INDEX(Fields!$B$2:$B$50,MATCH(SUBSTITUTE(INDEX($N$1:$W$1,MATCH(MAX($N194:$W194),$N194:$W194,0)),"Score: ",""),Fields!$A$2:$A$50,0)))</f>
        <v/>
      </c>
      <c r="Y194" s="14" t="str">
        <f aca="true">IF(COUNTA(I194:L194)=0,"",IF(LARGE($N194:$W194,2)=0,"-",INDEX(Fields!$B$2:$B$50,MATCH(SUBSTITUTE(INDEX($N$1:$W$1,IF(LARGE($N194:$W194,2)=MAX($N194:$W194),MATCH(MAX($N194:$W194),OFFSET($N194:$W194,0,MATCH(MAX($N194:$W194),$N194:$W194,0),1,10-MATCH(MAX($N194:$W194),$N194:$W194,0)),0)+MATCH(MAX($N194:$W194),$N194:$W194,0),MATCH(LARGE($N194:$W194,2),$N194:$W194,0))),"Score: ",""),Fields!$A$2:$A$50,0))))</f>
        <v/>
      </c>
      <c r="Z194" s="14" t="str">
        <f aca="false">IF(M194="","",IFERROR(INDEX('3 Hazed Questions'!$O$2:$O$23,MATCH(1,INDEX(('3 Hazed Questions'!$A$2:$A$23="Q5")*('3 Hazed Questions'!$C$2:$C$23=M194),0),0))&amp;"",""))</f>
        <v/>
      </c>
      <c r="AA194" s="18"/>
      <c r="AB194" s="18"/>
      <c r="AC194" s="19"/>
      <c r="AD194" s="19"/>
      <c r="AE194" s="18"/>
      <c r="AF194" s="18"/>
      <c r="AG194" s="18"/>
    </row>
    <row r="195" customFormat="false" ht="15" hidden="false" customHeight="false" outlineLevel="0" collapsed="false">
      <c r="A195" s="18"/>
      <c r="B195" s="19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4" t="str">
        <f aca="false">IF(COUNTA(I195:L195)=0,"",SUMIFS('3 Hazed Questions'!$E$2:$E$23,'3 Hazed Questions'!$A$2:$A$23,"Q1",'3 Hazed Questions'!$C$2:$C$23,I195)+SUMIFS('3 Hazed Questions'!$E$2:$E$23,'3 Hazed Questions'!$A$2:$A$23,"Q2",'3 Hazed Questions'!$C$2:$C$23,J195)+SUMIFS('3 Hazed Questions'!$E$2:$E$23,'3 Hazed Questions'!$A$2:$A$23,"Q3",'3 Hazed Questions'!$C$2:$C$23,K195)+SUMIFS('3 Hazed Questions'!$E$2:$E$23,'3 Hazed Questions'!$A$2:$A$23,"Q4",'3 Hazed Questions'!$C$2:$C$23,L195))</f>
        <v/>
      </c>
      <c r="O195" s="14" t="str">
        <f aca="false">IF(COUNTA(I195:L195)=0,"",SUMIFS('3 Hazed Questions'!$F$2:$F$23,'3 Hazed Questions'!$A$2:$A$23,"Q1",'3 Hazed Questions'!$C$2:$C$23,I195)+SUMIFS('3 Hazed Questions'!$F$2:$F$23,'3 Hazed Questions'!$A$2:$A$23,"Q2",'3 Hazed Questions'!$C$2:$C$23,J195)+SUMIFS('3 Hazed Questions'!$F$2:$F$23,'3 Hazed Questions'!$A$2:$A$23,"Q3",'3 Hazed Questions'!$C$2:$C$23,K195)+SUMIFS('3 Hazed Questions'!$F$2:$F$23,'3 Hazed Questions'!$A$2:$A$23,"Q4",'3 Hazed Questions'!$C$2:$C$23,L195))</f>
        <v/>
      </c>
      <c r="P195" s="14" t="str">
        <f aca="false">IF(COUNTA(I195:L195)=0,"",SUMIFS('3 Hazed Questions'!$G$2:$G$23,'3 Hazed Questions'!$A$2:$A$23,"Q1",'3 Hazed Questions'!$C$2:$C$23,I195)+SUMIFS('3 Hazed Questions'!$G$2:$G$23,'3 Hazed Questions'!$A$2:$A$23,"Q2",'3 Hazed Questions'!$C$2:$C$23,J195)+SUMIFS('3 Hazed Questions'!$G$2:$G$23,'3 Hazed Questions'!$A$2:$A$23,"Q3",'3 Hazed Questions'!$C$2:$C$23,K195)+SUMIFS('3 Hazed Questions'!$G$2:$G$23,'3 Hazed Questions'!$A$2:$A$23,"Q4",'3 Hazed Questions'!$C$2:$C$23,L195))</f>
        <v/>
      </c>
      <c r="Q195" s="14" t="str">
        <f aca="false">IF(COUNTA(I195:L195)=0,"",SUMIFS('3 Hazed Questions'!$H$2:$H$23,'3 Hazed Questions'!$A$2:$A$23,"Q1",'3 Hazed Questions'!$C$2:$C$23,I195)+SUMIFS('3 Hazed Questions'!$H$2:$H$23,'3 Hazed Questions'!$A$2:$A$23,"Q2",'3 Hazed Questions'!$C$2:$C$23,J195)+SUMIFS('3 Hazed Questions'!$H$2:$H$23,'3 Hazed Questions'!$A$2:$A$23,"Q3",'3 Hazed Questions'!$C$2:$C$23,K195)+SUMIFS('3 Hazed Questions'!$H$2:$H$23,'3 Hazed Questions'!$A$2:$A$23,"Q4",'3 Hazed Questions'!$C$2:$C$23,L195))</f>
        <v/>
      </c>
      <c r="R195" s="14" t="str">
        <f aca="false">IF(COUNTA(I195:L195)=0,"",SUMIFS('3 Hazed Questions'!$I$2:$I$23,'3 Hazed Questions'!$A$2:$A$23,"Q1",'3 Hazed Questions'!$C$2:$C$23,I195)+SUMIFS('3 Hazed Questions'!$I$2:$I$23,'3 Hazed Questions'!$A$2:$A$23,"Q2",'3 Hazed Questions'!$C$2:$C$23,J195)+SUMIFS('3 Hazed Questions'!$I$2:$I$23,'3 Hazed Questions'!$A$2:$A$23,"Q3",'3 Hazed Questions'!$C$2:$C$23,K195)+SUMIFS('3 Hazed Questions'!$I$2:$I$23,'3 Hazed Questions'!$A$2:$A$23,"Q4",'3 Hazed Questions'!$C$2:$C$23,L195))</f>
        <v/>
      </c>
      <c r="S195" s="14" t="str">
        <f aca="false">IF(COUNTA(I195:L195)=0,"",SUMIFS('3 Hazed Questions'!$J$2:$J$23,'3 Hazed Questions'!$A$2:$A$23,"Q1",'3 Hazed Questions'!$C$2:$C$23,I195)+SUMIFS('3 Hazed Questions'!$J$2:$J$23,'3 Hazed Questions'!$A$2:$A$23,"Q2",'3 Hazed Questions'!$C$2:$C$23,J195)+SUMIFS('3 Hazed Questions'!$J$2:$J$23,'3 Hazed Questions'!$A$2:$A$23,"Q3",'3 Hazed Questions'!$C$2:$C$23,K195)+SUMIFS('3 Hazed Questions'!$J$2:$J$23,'3 Hazed Questions'!$A$2:$A$23,"Q4",'3 Hazed Questions'!$C$2:$C$23,L195))</f>
        <v/>
      </c>
      <c r="T195" s="14" t="str">
        <f aca="false">IF(COUNTA(I195:L195)=0,"",SUMIFS('3 Hazed Questions'!$K$2:$K$23,'3 Hazed Questions'!$A$2:$A$23,"Q1",'3 Hazed Questions'!$C$2:$C$23,I195)+SUMIFS('3 Hazed Questions'!$K$2:$K$23,'3 Hazed Questions'!$A$2:$A$23,"Q2",'3 Hazed Questions'!$C$2:$C$23,J195)+SUMIFS('3 Hazed Questions'!$K$2:$K$23,'3 Hazed Questions'!$A$2:$A$23,"Q3",'3 Hazed Questions'!$C$2:$C$23,K195)+SUMIFS('3 Hazed Questions'!$K$2:$K$23,'3 Hazed Questions'!$A$2:$A$23,"Q4",'3 Hazed Questions'!$C$2:$C$23,L195))</f>
        <v/>
      </c>
      <c r="U195" s="14" t="str">
        <f aca="false">IF(COUNTA(I195:L195)=0,"",SUMIFS('3 Hazed Questions'!$L$2:$L$23,'3 Hazed Questions'!$A$2:$A$23,"Q1",'3 Hazed Questions'!$C$2:$C$23,I195)+SUMIFS('3 Hazed Questions'!$L$2:$L$23,'3 Hazed Questions'!$A$2:$A$23,"Q2",'3 Hazed Questions'!$C$2:$C$23,J195)+SUMIFS('3 Hazed Questions'!$L$2:$L$23,'3 Hazed Questions'!$A$2:$A$23,"Q3",'3 Hazed Questions'!$C$2:$C$23,K195)+SUMIFS('3 Hazed Questions'!$L$2:$L$23,'3 Hazed Questions'!$A$2:$A$23,"Q4",'3 Hazed Questions'!$C$2:$C$23,L195))</f>
        <v/>
      </c>
      <c r="V195" s="14" t="str">
        <f aca="false">IF(COUNTA(I195:L195)=0,"",SUMIFS('3 Hazed Questions'!$M$2:$M$23,'3 Hazed Questions'!$A$2:$A$23,"Q1",'3 Hazed Questions'!$C$2:$C$23,I195)+SUMIFS('3 Hazed Questions'!$M$2:$M$23,'3 Hazed Questions'!$A$2:$A$23,"Q2",'3 Hazed Questions'!$C$2:$C$23,J195)+SUMIFS('3 Hazed Questions'!$M$2:$M$23,'3 Hazed Questions'!$A$2:$A$23,"Q3",'3 Hazed Questions'!$C$2:$C$23,K195)+SUMIFS('3 Hazed Questions'!$M$2:$M$23,'3 Hazed Questions'!$A$2:$A$23,"Q4",'3 Hazed Questions'!$C$2:$C$23,L195))</f>
        <v/>
      </c>
      <c r="W195" s="14" t="str">
        <f aca="false">IF(COUNTA(I195:L195)=0,"",SUMIFS('3 Hazed Questions'!$N$2:$N$23,'3 Hazed Questions'!$A$2:$A$23,"Q1",'3 Hazed Questions'!$C$2:$C$23,I195)+SUMIFS('3 Hazed Questions'!$N$2:$N$23,'3 Hazed Questions'!$A$2:$A$23,"Q2",'3 Hazed Questions'!$C$2:$C$23,J195)+SUMIFS('3 Hazed Questions'!$N$2:$N$23,'3 Hazed Questions'!$A$2:$A$23,"Q3",'3 Hazed Questions'!$C$2:$C$23,K195)+SUMIFS('3 Hazed Questions'!$N$2:$N$23,'3 Hazed Questions'!$A$2:$A$23,"Q4",'3 Hazed Questions'!$C$2:$C$23,L195))</f>
        <v/>
      </c>
      <c r="X195" s="14" t="str">
        <f aca="false">IF(COUNTA(I195:L195)=0,"",INDEX(Fields!$B$2:$B$50,MATCH(SUBSTITUTE(INDEX($N$1:$W$1,MATCH(MAX($N195:$W195),$N195:$W195,0)),"Score: ",""),Fields!$A$2:$A$50,0)))</f>
        <v/>
      </c>
      <c r="Y195" s="14" t="str">
        <f aca="true">IF(COUNTA(I195:L195)=0,"",IF(LARGE($N195:$W195,2)=0,"-",INDEX(Fields!$B$2:$B$50,MATCH(SUBSTITUTE(INDEX($N$1:$W$1,IF(LARGE($N195:$W195,2)=MAX($N195:$W195),MATCH(MAX($N195:$W195),OFFSET($N195:$W195,0,MATCH(MAX($N195:$W195),$N195:$W195,0),1,10-MATCH(MAX($N195:$W195),$N195:$W195,0)),0)+MATCH(MAX($N195:$W195),$N195:$W195,0),MATCH(LARGE($N195:$W195,2),$N195:$W195,0))),"Score: ",""),Fields!$A$2:$A$50,0))))</f>
        <v/>
      </c>
      <c r="Z195" s="14" t="str">
        <f aca="false">IF(M195="","",IFERROR(INDEX('3 Hazed Questions'!$O$2:$O$23,MATCH(1,INDEX(('3 Hazed Questions'!$A$2:$A$23="Q5")*('3 Hazed Questions'!$C$2:$C$23=M195),0),0))&amp;"",""))</f>
        <v/>
      </c>
      <c r="AA195" s="18"/>
      <c r="AB195" s="18"/>
      <c r="AC195" s="19"/>
      <c r="AD195" s="19"/>
      <c r="AE195" s="18"/>
      <c r="AF195" s="18"/>
      <c r="AG195" s="18"/>
    </row>
    <row r="196" customFormat="false" ht="15" hidden="false" customHeight="false" outlineLevel="0" collapsed="false">
      <c r="A196" s="18"/>
      <c r="B196" s="19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4" t="str">
        <f aca="false">IF(COUNTA(I196:L196)=0,"",SUMIFS('3 Hazed Questions'!$E$2:$E$23,'3 Hazed Questions'!$A$2:$A$23,"Q1",'3 Hazed Questions'!$C$2:$C$23,I196)+SUMIFS('3 Hazed Questions'!$E$2:$E$23,'3 Hazed Questions'!$A$2:$A$23,"Q2",'3 Hazed Questions'!$C$2:$C$23,J196)+SUMIFS('3 Hazed Questions'!$E$2:$E$23,'3 Hazed Questions'!$A$2:$A$23,"Q3",'3 Hazed Questions'!$C$2:$C$23,K196)+SUMIFS('3 Hazed Questions'!$E$2:$E$23,'3 Hazed Questions'!$A$2:$A$23,"Q4",'3 Hazed Questions'!$C$2:$C$23,L196))</f>
        <v/>
      </c>
      <c r="O196" s="14" t="str">
        <f aca="false">IF(COUNTA(I196:L196)=0,"",SUMIFS('3 Hazed Questions'!$F$2:$F$23,'3 Hazed Questions'!$A$2:$A$23,"Q1",'3 Hazed Questions'!$C$2:$C$23,I196)+SUMIFS('3 Hazed Questions'!$F$2:$F$23,'3 Hazed Questions'!$A$2:$A$23,"Q2",'3 Hazed Questions'!$C$2:$C$23,J196)+SUMIFS('3 Hazed Questions'!$F$2:$F$23,'3 Hazed Questions'!$A$2:$A$23,"Q3",'3 Hazed Questions'!$C$2:$C$23,K196)+SUMIFS('3 Hazed Questions'!$F$2:$F$23,'3 Hazed Questions'!$A$2:$A$23,"Q4",'3 Hazed Questions'!$C$2:$C$23,L196))</f>
        <v/>
      </c>
      <c r="P196" s="14" t="str">
        <f aca="false">IF(COUNTA(I196:L196)=0,"",SUMIFS('3 Hazed Questions'!$G$2:$G$23,'3 Hazed Questions'!$A$2:$A$23,"Q1",'3 Hazed Questions'!$C$2:$C$23,I196)+SUMIFS('3 Hazed Questions'!$G$2:$G$23,'3 Hazed Questions'!$A$2:$A$23,"Q2",'3 Hazed Questions'!$C$2:$C$23,J196)+SUMIFS('3 Hazed Questions'!$G$2:$G$23,'3 Hazed Questions'!$A$2:$A$23,"Q3",'3 Hazed Questions'!$C$2:$C$23,K196)+SUMIFS('3 Hazed Questions'!$G$2:$G$23,'3 Hazed Questions'!$A$2:$A$23,"Q4",'3 Hazed Questions'!$C$2:$C$23,L196))</f>
        <v/>
      </c>
      <c r="Q196" s="14" t="str">
        <f aca="false">IF(COUNTA(I196:L196)=0,"",SUMIFS('3 Hazed Questions'!$H$2:$H$23,'3 Hazed Questions'!$A$2:$A$23,"Q1",'3 Hazed Questions'!$C$2:$C$23,I196)+SUMIFS('3 Hazed Questions'!$H$2:$H$23,'3 Hazed Questions'!$A$2:$A$23,"Q2",'3 Hazed Questions'!$C$2:$C$23,J196)+SUMIFS('3 Hazed Questions'!$H$2:$H$23,'3 Hazed Questions'!$A$2:$A$23,"Q3",'3 Hazed Questions'!$C$2:$C$23,K196)+SUMIFS('3 Hazed Questions'!$H$2:$H$23,'3 Hazed Questions'!$A$2:$A$23,"Q4",'3 Hazed Questions'!$C$2:$C$23,L196))</f>
        <v/>
      </c>
      <c r="R196" s="14" t="str">
        <f aca="false">IF(COUNTA(I196:L196)=0,"",SUMIFS('3 Hazed Questions'!$I$2:$I$23,'3 Hazed Questions'!$A$2:$A$23,"Q1",'3 Hazed Questions'!$C$2:$C$23,I196)+SUMIFS('3 Hazed Questions'!$I$2:$I$23,'3 Hazed Questions'!$A$2:$A$23,"Q2",'3 Hazed Questions'!$C$2:$C$23,J196)+SUMIFS('3 Hazed Questions'!$I$2:$I$23,'3 Hazed Questions'!$A$2:$A$23,"Q3",'3 Hazed Questions'!$C$2:$C$23,K196)+SUMIFS('3 Hazed Questions'!$I$2:$I$23,'3 Hazed Questions'!$A$2:$A$23,"Q4",'3 Hazed Questions'!$C$2:$C$23,L196))</f>
        <v/>
      </c>
      <c r="S196" s="14" t="str">
        <f aca="false">IF(COUNTA(I196:L196)=0,"",SUMIFS('3 Hazed Questions'!$J$2:$J$23,'3 Hazed Questions'!$A$2:$A$23,"Q1",'3 Hazed Questions'!$C$2:$C$23,I196)+SUMIFS('3 Hazed Questions'!$J$2:$J$23,'3 Hazed Questions'!$A$2:$A$23,"Q2",'3 Hazed Questions'!$C$2:$C$23,J196)+SUMIFS('3 Hazed Questions'!$J$2:$J$23,'3 Hazed Questions'!$A$2:$A$23,"Q3",'3 Hazed Questions'!$C$2:$C$23,K196)+SUMIFS('3 Hazed Questions'!$J$2:$J$23,'3 Hazed Questions'!$A$2:$A$23,"Q4",'3 Hazed Questions'!$C$2:$C$23,L196))</f>
        <v/>
      </c>
      <c r="T196" s="14" t="str">
        <f aca="false">IF(COUNTA(I196:L196)=0,"",SUMIFS('3 Hazed Questions'!$K$2:$K$23,'3 Hazed Questions'!$A$2:$A$23,"Q1",'3 Hazed Questions'!$C$2:$C$23,I196)+SUMIFS('3 Hazed Questions'!$K$2:$K$23,'3 Hazed Questions'!$A$2:$A$23,"Q2",'3 Hazed Questions'!$C$2:$C$23,J196)+SUMIFS('3 Hazed Questions'!$K$2:$K$23,'3 Hazed Questions'!$A$2:$A$23,"Q3",'3 Hazed Questions'!$C$2:$C$23,K196)+SUMIFS('3 Hazed Questions'!$K$2:$K$23,'3 Hazed Questions'!$A$2:$A$23,"Q4",'3 Hazed Questions'!$C$2:$C$23,L196))</f>
        <v/>
      </c>
      <c r="U196" s="14" t="str">
        <f aca="false">IF(COUNTA(I196:L196)=0,"",SUMIFS('3 Hazed Questions'!$L$2:$L$23,'3 Hazed Questions'!$A$2:$A$23,"Q1",'3 Hazed Questions'!$C$2:$C$23,I196)+SUMIFS('3 Hazed Questions'!$L$2:$L$23,'3 Hazed Questions'!$A$2:$A$23,"Q2",'3 Hazed Questions'!$C$2:$C$23,J196)+SUMIFS('3 Hazed Questions'!$L$2:$L$23,'3 Hazed Questions'!$A$2:$A$23,"Q3",'3 Hazed Questions'!$C$2:$C$23,K196)+SUMIFS('3 Hazed Questions'!$L$2:$L$23,'3 Hazed Questions'!$A$2:$A$23,"Q4",'3 Hazed Questions'!$C$2:$C$23,L196))</f>
        <v/>
      </c>
      <c r="V196" s="14" t="str">
        <f aca="false">IF(COUNTA(I196:L196)=0,"",SUMIFS('3 Hazed Questions'!$M$2:$M$23,'3 Hazed Questions'!$A$2:$A$23,"Q1",'3 Hazed Questions'!$C$2:$C$23,I196)+SUMIFS('3 Hazed Questions'!$M$2:$M$23,'3 Hazed Questions'!$A$2:$A$23,"Q2",'3 Hazed Questions'!$C$2:$C$23,J196)+SUMIFS('3 Hazed Questions'!$M$2:$M$23,'3 Hazed Questions'!$A$2:$A$23,"Q3",'3 Hazed Questions'!$C$2:$C$23,K196)+SUMIFS('3 Hazed Questions'!$M$2:$M$23,'3 Hazed Questions'!$A$2:$A$23,"Q4",'3 Hazed Questions'!$C$2:$C$23,L196))</f>
        <v/>
      </c>
      <c r="W196" s="14" t="str">
        <f aca="false">IF(COUNTA(I196:L196)=0,"",SUMIFS('3 Hazed Questions'!$N$2:$N$23,'3 Hazed Questions'!$A$2:$A$23,"Q1",'3 Hazed Questions'!$C$2:$C$23,I196)+SUMIFS('3 Hazed Questions'!$N$2:$N$23,'3 Hazed Questions'!$A$2:$A$23,"Q2",'3 Hazed Questions'!$C$2:$C$23,J196)+SUMIFS('3 Hazed Questions'!$N$2:$N$23,'3 Hazed Questions'!$A$2:$A$23,"Q3",'3 Hazed Questions'!$C$2:$C$23,K196)+SUMIFS('3 Hazed Questions'!$N$2:$N$23,'3 Hazed Questions'!$A$2:$A$23,"Q4",'3 Hazed Questions'!$C$2:$C$23,L196))</f>
        <v/>
      </c>
      <c r="X196" s="14" t="str">
        <f aca="false">IF(COUNTA(I196:L196)=0,"",INDEX(Fields!$B$2:$B$50,MATCH(SUBSTITUTE(INDEX($N$1:$W$1,MATCH(MAX($N196:$W196),$N196:$W196,0)),"Score: ",""),Fields!$A$2:$A$50,0)))</f>
        <v/>
      </c>
      <c r="Y196" s="14" t="str">
        <f aca="true">IF(COUNTA(I196:L196)=0,"",IF(LARGE($N196:$W196,2)=0,"-",INDEX(Fields!$B$2:$B$50,MATCH(SUBSTITUTE(INDEX($N$1:$W$1,IF(LARGE($N196:$W196,2)=MAX($N196:$W196),MATCH(MAX($N196:$W196),OFFSET($N196:$W196,0,MATCH(MAX($N196:$W196),$N196:$W196,0),1,10-MATCH(MAX($N196:$W196),$N196:$W196,0)),0)+MATCH(MAX($N196:$W196),$N196:$W196,0),MATCH(LARGE($N196:$W196,2),$N196:$W196,0))),"Score: ",""),Fields!$A$2:$A$50,0))))</f>
        <v/>
      </c>
      <c r="Z196" s="14" t="str">
        <f aca="false">IF(M196="","",IFERROR(INDEX('3 Hazed Questions'!$O$2:$O$23,MATCH(1,INDEX(('3 Hazed Questions'!$A$2:$A$23="Q5")*('3 Hazed Questions'!$C$2:$C$23=M196),0),0))&amp;"",""))</f>
        <v/>
      </c>
      <c r="AA196" s="18"/>
      <c r="AB196" s="18"/>
      <c r="AC196" s="19"/>
      <c r="AD196" s="19"/>
      <c r="AE196" s="18"/>
      <c r="AF196" s="18"/>
      <c r="AG196" s="18"/>
    </row>
    <row r="197" customFormat="false" ht="15" hidden="false" customHeight="false" outlineLevel="0" collapsed="false">
      <c r="A197" s="18"/>
      <c r="B197" s="19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4" t="str">
        <f aca="false">IF(COUNTA(I197:L197)=0,"",SUMIFS('3 Hazed Questions'!$E$2:$E$23,'3 Hazed Questions'!$A$2:$A$23,"Q1",'3 Hazed Questions'!$C$2:$C$23,I197)+SUMIFS('3 Hazed Questions'!$E$2:$E$23,'3 Hazed Questions'!$A$2:$A$23,"Q2",'3 Hazed Questions'!$C$2:$C$23,J197)+SUMIFS('3 Hazed Questions'!$E$2:$E$23,'3 Hazed Questions'!$A$2:$A$23,"Q3",'3 Hazed Questions'!$C$2:$C$23,K197)+SUMIFS('3 Hazed Questions'!$E$2:$E$23,'3 Hazed Questions'!$A$2:$A$23,"Q4",'3 Hazed Questions'!$C$2:$C$23,L197))</f>
        <v/>
      </c>
      <c r="O197" s="14" t="str">
        <f aca="false">IF(COUNTA(I197:L197)=0,"",SUMIFS('3 Hazed Questions'!$F$2:$F$23,'3 Hazed Questions'!$A$2:$A$23,"Q1",'3 Hazed Questions'!$C$2:$C$23,I197)+SUMIFS('3 Hazed Questions'!$F$2:$F$23,'3 Hazed Questions'!$A$2:$A$23,"Q2",'3 Hazed Questions'!$C$2:$C$23,J197)+SUMIFS('3 Hazed Questions'!$F$2:$F$23,'3 Hazed Questions'!$A$2:$A$23,"Q3",'3 Hazed Questions'!$C$2:$C$23,K197)+SUMIFS('3 Hazed Questions'!$F$2:$F$23,'3 Hazed Questions'!$A$2:$A$23,"Q4",'3 Hazed Questions'!$C$2:$C$23,L197))</f>
        <v/>
      </c>
      <c r="P197" s="14" t="str">
        <f aca="false">IF(COUNTA(I197:L197)=0,"",SUMIFS('3 Hazed Questions'!$G$2:$G$23,'3 Hazed Questions'!$A$2:$A$23,"Q1",'3 Hazed Questions'!$C$2:$C$23,I197)+SUMIFS('3 Hazed Questions'!$G$2:$G$23,'3 Hazed Questions'!$A$2:$A$23,"Q2",'3 Hazed Questions'!$C$2:$C$23,J197)+SUMIFS('3 Hazed Questions'!$G$2:$G$23,'3 Hazed Questions'!$A$2:$A$23,"Q3",'3 Hazed Questions'!$C$2:$C$23,K197)+SUMIFS('3 Hazed Questions'!$G$2:$G$23,'3 Hazed Questions'!$A$2:$A$23,"Q4",'3 Hazed Questions'!$C$2:$C$23,L197))</f>
        <v/>
      </c>
      <c r="Q197" s="14" t="str">
        <f aca="false">IF(COUNTA(I197:L197)=0,"",SUMIFS('3 Hazed Questions'!$H$2:$H$23,'3 Hazed Questions'!$A$2:$A$23,"Q1",'3 Hazed Questions'!$C$2:$C$23,I197)+SUMIFS('3 Hazed Questions'!$H$2:$H$23,'3 Hazed Questions'!$A$2:$A$23,"Q2",'3 Hazed Questions'!$C$2:$C$23,J197)+SUMIFS('3 Hazed Questions'!$H$2:$H$23,'3 Hazed Questions'!$A$2:$A$23,"Q3",'3 Hazed Questions'!$C$2:$C$23,K197)+SUMIFS('3 Hazed Questions'!$H$2:$H$23,'3 Hazed Questions'!$A$2:$A$23,"Q4",'3 Hazed Questions'!$C$2:$C$23,L197))</f>
        <v/>
      </c>
      <c r="R197" s="14" t="str">
        <f aca="false">IF(COUNTA(I197:L197)=0,"",SUMIFS('3 Hazed Questions'!$I$2:$I$23,'3 Hazed Questions'!$A$2:$A$23,"Q1",'3 Hazed Questions'!$C$2:$C$23,I197)+SUMIFS('3 Hazed Questions'!$I$2:$I$23,'3 Hazed Questions'!$A$2:$A$23,"Q2",'3 Hazed Questions'!$C$2:$C$23,J197)+SUMIFS('3 Hazed Questions'!$I$2:$I$23,'3 Hazed Questions'!$A$2:$A$23,"Q3",'3 Hazed Questions'!$C$2:$C$23,K197)+SUMIFS('3 Hazed Questions'!$I$2:$I$23,'3 Hazed Questions'!$A$2:$A$23,"Q4",'3 Hazed Questions'!$C$2:$C$23,L197))</f>
        <v/>
      </c>
      <c r="S197" s="14" t="str">
        <f aca="false">IF(COUNTA(I197:L197)=0,"",SUMIFS('3 Hazed Questions'!$J$2:$J$23,'3 Hazed Questions'!$A$2:$A$23,"Q1",'3 Hazed Questions'!$C$2:$C$23,I197)+SUMIFS('3 Hazed Questions'!$J$2:$J$23,'3 Hazed Questions'!$A$2:$A$23,"Q2",'3 Hazed Questions'!$C$2:$C$23,J197)+SUMIFS('3 Hazed Questions'!$J$2:$J$23,'3 Hazed Questions'!$A$2:$A$23,"Q3",'3 Hazed Questions'!$C$2:$C$23,K197)+SUMIFS('3 Hazed Questions'!$J$2:$J$23,'3 Hazed Questions'!$A$2:$A$23,"Q4",'3 Hazed Questions'!$C$2:$C$23,L197))</f>
        <v/>
      </c>
      <c r="T197" s="14" t="str">
        <f aca="false">IF(COUNTA(I197:L197)=0,"",SUMIFS('3 Hazed Questions'!$K$2:$K$23,'3 Hazed Questions'!$A$2:$A$23,"Q1",'3 Hazed Questions'!$C$2:$C$23,I197)+SUMIFS('3 Hazed Questions'!$K$2:$K$23,'3 Hazed Questions'!$A$2:$A$23,"Q2",'3 Hazed Questions'!$C$2:$C$23,J197)+SUMIFS('3 Hazed Questions'!$K$2:$K$23,'3 Hazed Questions'!$A$2:$A$23,"Q3",'3 Hazed Questions'!$C$2:$C$23,K197)+SUMIFS('3 Hazed Questions'!$K$2:$K$23,'3 Hazed Questions'!$A$2:$A$23,"Q4",'3 Hazed Questions'!$C$2:$C$23,L197))</f>
        <v/>
      </c>
      <c r="U197" s="14" t="str">
        <f aca="false">IF(COUNTA(I197:L197)=0,"",SUMIFS('3 Hazed Questions'!$L$2:$L$23,'3 Hazed Questions'!$A$2:$A$23,"Q1",'3 Hazed Questions'!$C$2:$C$23,I197)+SUMIFS('3 Hazed Questions'!$L$2:$L$23,'3 Hazed Questions'!$A$2:$A$23,"Q2",'3 Hazed Questions'!$C$2:$C$23,J197)+SUMIFS('3 Hazed Questions'!$L$2:$L$23,'3 Hazed Questions'!$A$2:$A$23,"Q3",'3 Hazed Questions'!$C$2:$C$23,K197)+SUMIFS('3 Hazed Questions'!$L$2:$L$23,'3 Hazed Questions'!$A$2:$A$23,"Q4",'3 Hazed Questions'!$C$2:$C$23,L197))</f>
        <v/>
      </c>
      <c r="V197" s="14" t="str">
        <f aca="false">IF(COUNTA(I197:L197)=0,"",SUMIFS('3 Hazed Questions'!$M$2:$M$23,'3 Hazed Questions'!$A$2:$A$23,"Q1",'3 Hazed Questions'!$C$2:$C$23,I197)+SUMIFS('3 Hazed Questions'!$M$2:$M$23,'3 Hazed Questions'!$A$2:$A$23,"Q2",'3 Hazed Questions'!$C$2:$C$23,J197)+SUMIFS('3 Hazed Questions'!$M$2:$M$23,'3 Hazed Questions'!$A$2:$A$23,"Q3",'3 Hazed Questions'!$C$2:$C$23,K197)+SUMIFS('3 Hazed Questions'!$M$2:$M$23,'3 Hazed Questions'!$A$2:$A$23,"Q4",'3 Hazed Questions'!$C$2:$C$23,L197))</f>
        <v/>
      </c>
      <c r="W197" s="14" t="str">
        <f aca="false">IF(COUNTA(I197:L197)=0,"",SUMIFS('3 Hazed Questions'!$N$2:$N$23,'3 Hazed Questions'!$A$2:$A$23,"Q1",'3 Hazed Questions'!$C$2:$C$23,I197)+SUMIFS('3 Hazed Questions'!$N$2:$N$23,'3 Hazed Questions'!$A$2:$A$23,"Q2",'3 Hazed Questions'!$C$2:$C$23,J197)+SUMIFS('3 Hazed Questions'!$N$2:$N$23,'3 Hazed Questions'!$A$2:$A$23,"Q3",'3 Hazed Questions'!$C$2:$C$23,K197)+SUMIFS('3 Hazed Questions'!$N$2:$N$23,'3 Hazed Questions'!$A$2:$A$23,"Q4",'3 Hazed Questions'!$C$2:$C$23,L197))</f>
        <v/>
      </c>
      <c r="X197" s="14" t="str">
        <f aca="false">IF(COUNTA(I197:L197)=0,"",INDEX(Fields!$B$2:$B$50,MATCH(SUBSTITUTE(INDEX($N$1:$W$1,MATCH(MAX($N197:$W197),$N197:$W197,0)),"Score: ",""),Fields!$A$2:$A$50,0)))</f>
        <v/>
      </c>
      <c r="Y197" s="14" t="str">
        <f aca="true">IF(COUNTA(I197:L197)=0,"",IF(LARGE($N197:$W197,2)=0,"-",INDEX(Fields!$B$2:$B$50,MATCH(SUBSTITUTE(INDEX($N$1:$W$1,IF(LARGE($N197:$W197,2)=MAX($N197:$W197),MATCH(MAX($N197:$W197),OFFSET($N197:$W197,0,MATCH(MAX($N197:$W197),$N197:$W197,0),1,10-MATCH(MAX($N197:$W197),$N197:$W197,0)),0)+MATCH(MAX($N197:$W197),$N197:$W197,0),MATCH(LARGE($N197:$W197,2),$N197:$W197,0))),"Score: ",""),Fields!$A$2:$A$50,0))))</f>
        <v/>
      </c>
      <c r="Z197" s="14" t="str">
        <f aca="false">IF(M197="","",IFERROR(INDEX('3 Hazed Questions'!$O$2:$O$23,MATCH(1,INDEX(('3 Hazed Questions'!$A$2:$A$23="Q5")*('3 Hazed Questions'!$C$2:$C$23=M197),0),0))&amp;"",""))</f>
        <v/>
      </c>
      <c r="AA197" s="18"/>
      <c r="AB197" s="18"/>
      <c r="AC197" s="19"/>
      <c r="AD197" s="19"/>
      <c r="AE197" s="18"/>
      <c r="AF197" s="18"/>
      <c r="AG197" s="18"/>
    </row>
    <row r="198" customFormat="false" ht="15" hidden="false" customHeight="false" outlineLevel="0" collapsed="false">
      <c r="A198" s="18"/>
      <c r="B198" s="19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4" t="str">
        <f aca="false">IF(COUNTA(I198:L198)=0,"",SUMIFS('3 Hazed Questions'!$E$2:$E$23,'3 Hazed Questions'!$A$2:$A$23,"Q1",'3 Hazed Questions'!$C$2:$C$23,I198)+SUMIFS('3 Hazed Questions'!$E$2:$E$23,'3 Hazed Questions'!$A$2:$A$23,"Q2",'3 Hazed Questions'!$C$2:$C$23,J198)+SUMIFS('3 Hazed Questions'!$E$2:$E$23,'3 Hazed Questions'!$A$2:$A$23,"Q3",'3 Hazed Questions'!$C$2:$C$23,K198)+SUMIFS('3 Hazed Questions'!$E$2:$E$23,'3 Hazed Questions'!$A$2:$A$23,"Q4",'3 Hazed Questions'!$C$2:$C$23,L198))</f>
        <v/>
      </c>
      <c r="O198" s="14" t="str">
        <f aca="false">IF(COUNTA(I198:L198)=0,"",SUMIFS('3 Hazed Questions'!$F$2:$F$23,'3 Hazed Questions'!$A$2:$A$23,"Q1",'3 Hazed Questions'!$C$2:$C$23,I198)+SUMIFS('3 Hazed Questions'!$F$2:$F$23,'3 Hazed Questions'!$A$2:$A$23,"Q2",'3 Hazed Questions'!$C$2:$C$23,J198)+SUMIFS('3 Hazed Questions'!$F$2:$F$23,'3 Hazed Questions'!$A$2:$A$23,"Q3",'3 Hazed Questions'!$C$2:$C$23,K198)+SUMIFS('3 Hazed Questions'!$F$2:$F$23,'3 Hazed Questions'!$A$2:$A$23,"Q4",'3 Hazed Questions'!$C$2:$C$23,L198))</f>
        <v/>
      </c>
      <c r="P198" s="14" t="str">
        <f aca="false">IF(COUNTA(I198:L198)=0,"",SUMIFS('3 Hazed Questions'!$G$2:$G$23,'3 Hazed Questions'!$A$2:$A$23,"Q1",'3 Hazed Questions'!$C$2:$C$23,I198)+SUMIFS('3 Hazed Questions'!$G$2:$G$23,'3 Hazed Questions'!$A$2:$A$23,"Q2",'3 Hazed Questions'!$C$2:$C$23,J198)+SUMIFS('3 Hazed Questions'!$G$2:$G$23,'3 Hazed Questions'!$A$2:$A$23,"Q3",'3 Hazed Questions'!$C$2:$C$23,K198)+SUMIFS('3 Hazed Questions'!$G$2:$G$23,'3 Hazed Questions'!$A$2:$A$23,"Q4",'3 Hazed Questions'!$C$2:$C$23,L198))</f>
        <v/>
      </c>
      <c r="Q198" s="14" t="str">
        <f aca="false">IF(COUNTA(I198:L198)=0,"",SUMIFS('3 Hazed Questions'!$H$2:$H$23,'3 Hazed Questions'!$A$2:$A$23,"Q1",'3 Hazed Questions'!$C$2:$C$23,I198)+SUMIFS('3 Hazed Questions'!$H$2:$H$23,'3 Hazed Questions'!$A$2:$A$23,"Q2",'3 Hazed Questions'!$C$2:$C$23,J198)+SUMIFS('3 Hazed Questions'!$H$2:$H$23,'3 Hazed Questions'!$A$2:$A$23,"Q3",'3 Hazed Questions'!$C$2:$C$23,K198)+SUMIFS('3 Hazed Questions'!$H$2:$H$23,'3 Hazed Questions'!$A$2:$A$23,"Q4",'3 Hazed Questions'!$C$2:$C$23,L198))</f>
        <v/>
      </c>
      <c r="R198" s="14" t="str">
        <f aca="false">IF(COUNTA(I198:L198)=0,"",SUMIFS('3 Hazed Questions'!$I$2:$I$23,'3 Hazed Questions'!$A$2:$A$23,"Q1",'3 Hazed Questions'!$C$2:$C$23,I198)+SUMIFS('3 Hazed Questions'!$I$2:$I$23,'3 Hazed Questions'!$A$2:$A$23,"Q2",'3 Hazed Questions'!$C$2:$C$23,J198)+SUMIFS('3 Hazed Questions'!$I$2:$I$23,'3 Hazed Questions'!$A$2:$A$23,"Q3",'3 Hazed Questions'!$C$2:$C$23,K198)+SUMIFS('3 Hazed Questions'!$I$2:$I$23,'3 Hazed Questions'!$A$2:$A$23,"Q4",'3 Hazed Questions'!$C$2:$C$23,L198))</f>
        <v/>
      </c>
      <c r="S198" s="14" t="str">
        <f aca="false">IF(COUNTA(I198:L198)=0,"",SUMIFS('3 Hazed Questions'!$J$2:$J$23,'3 Hazed Questions'!$A$2:$A$23,"Q1",'3 Hazed Questions'!$C$2:$C$23,I198)+SUMIFS('3 Hazed Questions'!$J$2:$J$23,'3 Hazed Questions'!$A$2:$A$23,"Q2",'3 Hazed Questions'!$C$2:$C$23,J198)+SUMIFS('3 Hazed Questions'!$J$2:$J$23,'3 Hazed Questions'!$A$2:$A$23,"Q3",'3 Hazed Questions'!$C$2:$C$23,K198)+SUMIFS('3 Hazed Questions'!$J$2:$J$23,'3 Hazed Questions'!$A$2:$A$23,"Q4",'3 Hazed Questions'!$C$2:$C$23,L198))</f>
        <v/>
      </c>
      <c r="T198" s="14" t="str">
        <f aca="false">IF(COUNTA(I198:L198)=0,"",SUMIFS('3 Hazed Questions'!$K$2:$K$23,'3 Hazed Questions'!$A$2:$A$23,"Q1",'3 Hazed Questions'!$C$2:$C$23,I198)+SUMIFS('3 Hazed Questions'!$K$2:$K$23,'3 Hazed Questions'!$A$2:$A$23,"Q2",'3 Hazed Questions'!$C$2:$C$23,J198)+SUMIFS('3 Hazed Questions'!$K$2:$K$23,'3 Hazed Questions'!$A$2:$A$23,"Q3",'3 Hazed Questions'!$C$2:$C$23,K198)+SUMIFS('3 Hazed Questions'!$K$2:$K$23,'3 Hazed Questions'!$A$2:$A$23,"Q4",'3 Hazed Questions'!$C$2:$C$23,L198))</f>
        <v/>
      </c>
      <c r="U198" s="14" t="str">
        <f aca="false">IF(COUNTA(I198:L198)=0,"",SUMIFS('3 Hazed Questions'!$L$2:$L$23,'3 Hazed Questions'!$A$2:$A$23,"Q1",'3 Hazed Questions'!$C$2:$C$23,I198)+SUMIFS('3 Hazed Questions'!$L$2:$L$23,'3 Hazed Questions'!$A$2:$A$23,"Q2",'3 Hazed Questions'!$C$2:$C$23,J198)+SUMIFS('3 Hazed Questions'!$L$2:$L$23,'3 Hazed Questions'!$A$2:$A$23,"Q3",'3 Hazed Questions'!$C$2:$C$23,K198)+SUMIFS('3 Hazed Questions'!$L$2:$L$23,'3 Hazed Questions'!$A$2:$A$23,"Q4",'3 Hazed Questions'!$C$2:$C$23,L198))</f>
        <v/>
      </c>
      <c r="V198" s="14" t="str">
        <f aca="false">IF(COUNTA(I198:L198)=0,"",SUMIFS('3 Hazed Questions'!$M$2:$M$23,'3 Hazed Questions'!$A$2:$A$23,"Q1",'3 Hazed Questions'!$C$2:$C$23,I198)+SUMIFS('3 Hazed Questions'!$M$2:$M$23,'3 Hazed Questions'!$A$2:$A$23,"Q2",'3 Hazed Questions'!$C$2:$C$23,J198)+SUMIFS('3 Hazed Questions'!$M$2:$M$23,'3 Hazed Questions'!$A$2:$A$23,"Q3",'3 Hazed Questions'!$C$2:$C$23,K198)+SUMIFS('3 Hazed Questions'!$M$2:$M$23,'3 Hazed Questions'!$A$2:$A$23,"Q4",'3 Hazed Questions'!$C$2:$C$23,L198))</f>
        <v/>
      </c>
      <c r="W198" s="14" t="str">
        <f aca="false">IF(COUNTA(I198:L198)=0,"",SUMIFS('3 Hazed Questions'!$N$2:$N$23,'3 Hazed Questions'!$A$2:$A$23,"Q1",'3 Hazed Questions'!$C$2:$C$23,I198)+SUMIFS('3 Hazed Questions'!$N$2:$N$23,'3 Hazed Questions'!$A$2:$A$23,"Q2",'3 Hazed Questions'!$C$2:$C$23,J198)+SUMIFS('3 Hazed Questions'!$N$2:$N$23,'3 Hazed Questions'!$A$2:$A$23,"Q3",'3 Hazed Questions'!$C$2:$C$23,K198)+SUMIFS('3 Hazed Questions'!$N$2:$N$23,'3 Hazed Questions'!$A$2:$A$23,"Q4",'3 Hazed Questions'!$C$2:$C$23,L198))</f>
        <v/>
      </c>
      <c r="X198" s="14" t="str">
        <f aca="false">IF(COUNTA(I198:L198)=0,"",INDEX(Fields!$B$2:$B$50,MATCH(SUBSTITUTE(INDEX($N$1:$W$1,MATCH(MAX($N198:$W198),$N198:$W198,0)),"Score: ",""),Fields!$A$2:$A$50,0)))</f>
        <v/>
      </c>
      <c r="Y198" s="14" t="str">
        <f aca="true">IF(COUNTA(I198:L198)=0,"",IF(LARGE($N198:$W198,2)=0,"-",INDEX(Fields!$B$2:$B$50,MATCH(SUBSTITUTE(INDEX($N$1:$W$1,IF(LARGE($N198:$W198,2)=MAX($N198:$W198),MATCH(MAX($N198:$W198),OFFSET($N198:$W198,0,MATCH(MAX($N198:$W198),$N198:$W198,0),1,10-MATCH(MAX($N198:$W198),$N198:$W198,0)),0)+MATCH(MAX($N198:$W198),$N198:$W198,0),MATCH(LARGE($N198:$W198,2),$N198:$W198,0))),"Score: ",""),Fields!$A$2:$A$50,0))))</f>
        <v/>
      </c>
      <c r="Z198" s="14" t="str">
        <f aca="false">IF(M198="","",IFERROR(INDEX('3 Hazed Questions'!$O$2:$O$23,MATCH(1,INDEX(('3 Hazed Questions'!$A$2:$A$23="Q5")*('3 Hazed Questions'!$C$2:$C$23=M198),0),0))&amp;"",""))</f>
        <v/>
      </c>
      <c r="AA198" s="18"/>
      <c r="AB198" s="18"/>
      <c r="AC198" s="19"/>
      <c r="AD198" s="19"/>
      <c r="AE198" s="18"/>
      <c r="AF198" s="18"/>
      <c r="AG198" s="18"/>
    </row>
    <row r="199" customFormat="false" ht="15" hidden="false" customHeight="false" outlineLevel="0" collapsed="false">
      <c r="A199" s="18"/>
      <c r="B199" s="19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4" t="str">
        <f aca="false">IF(COUNTA(I199:L199)=0,"",SUMIFS('3 Hazed Questions'!$E$2:$E$23,'3 Hazed Questions'!$A$2:$A$23,"Q1",'3 Hazed Questions'!$C$2:$C$23,I199)+SUMIFS('3 Hazed Questions'!$E$2:$E$23,'3 Hazed Questions'!$A$2:$A$23,"Q2",'3 Hazed Questions'!$C$2:$C$23,J199)+SUMIFS('3 Hazed Questions'!$E$2:$E$23,'3 Hazed Questions'!$A$2:$A$23,"Q3",'3 Hazed Questions'!$C$2:$C$23,K199)+SUMIFS('3 Hazed Questions'!$E$2:$E$23,'3 Hazed Questions'!$A$2:$A$23,"Q4",'3 Hazed Questions'!$C$2:$C$23,L199))</f>
        <v/>
      </c>
      <c r="O199" s="14" t="str">
        <f aca="false">IF(COUNTA(I199:L199)=0,"",SUMIFS('3 Hazed Questions'!$F$2:$F$23,'3 Hazed Questions'!$A$2:$A$23,"Q1",'3 Hazed Questions'!$C$2:$C$23,I199)+SUMIFS('3 Hazed Questions'!$F$2:$F$23,'3 Hazed Questions'!$A$2:$A$23,"Q2",'3 Hazed Questions'!$C$2:$C$23,J199)+SUMIFS('3 Hazed Questions'!$F$2:$F$23,'3 Hazed Questions'!$A$2:$A$23,"Q3",'3 Hazed Questions'!$C$2:$C$23,K199)+SUMIFS('3 Hazed Questions'!$F$2:$F$23,'3 Hazed Questions'!$A$2:$A$23,"Q4",'3 Hazed Questions'!$C$2:$C$23,L199))</f>
        <v/>
      </c>
      <c r="P199" s="14" t="str">
        <f aca="false">IF(COUNTA(I199:L199)=0,"",SUMIFS('3 Hazed Questions'!$G$2:$G$23,'3 Hazed Questions'!$A$2:$A$23,"Q1",'3 Hazed Questions'!$C$2:$C$23,I199)+SUMIFS('3 Hazed Questions'!$G$2:$G$23,'3 Hazed Questions'!$A$2:$A$23,"Q2",'3 Hazed Questions'!$C$2:$C$23,J199)+SUMIFS('3 Hazed Questions'!$G$2:$G$23,'3 Hazed Questions'!$A$2:$A$23,"Q3",'3 Hazed Questions'!$C$2:$C$23,K199)+SUMIFS('3 Hazed Questions'!$G$2:$G$23,'3 Hazed Questions'!$A$2:$A$23,"Q4",'3 Hazed Questions'!$C$2:$C$23,L199))</f>
        <v/>
      </c>
      <c r="Q199" s="14" t="str">
        <f aca="false">IF(COUNTA(I199:L199)=0,"",SUMIFS('3 Hazed Questions'!$H$2:$H$23,'3 Hazed Questions'!$A$2:$A$23,"Q1",'3 Hazed Questions'!$C$2:$C$23,I199)+SUMIFS('3 Hazed Questions'!$H$2:$H$23,'3 Hazed Questions'!$A$2:$A$23,"Q2",'3 Hazed Questions'!$C$2:$C$23,J199)+SUMIFS('3 Hazed Questions'!$H$2:$H$23,'3 Hazed Questions'!$A$2:$A$23,"Q3",'3 Hazed Questions'!$C$2:$C$23,K199)+SUMIFS('3 Hazed Questions'!$H$2:$H$23,'3 Hazed Questions'!$A$2:$A$23,"Q4",'3 Hazed Questions'!$C$2:$C$23,L199))</f>
        <v/>
      </c>
      <c r="R199" s="14" t="str">
        <f aca="false">IF(COUNTA(I199:L199)=0,"",SUMIFS('3 Hazed Questions'!$I$2:$I$23,'3 Hazed Questions'!$A$2:$A$23,"Q1",'3 Hazed Questions'!$C$2:$C$23,I199)+SUMIFS('3 Hazed Questions'!$I$2:$I$23,'3 Hazed Questions'!$A$2:$A$23,"Q2",'3 Hazed Questions'!$C$2:$C$23,J199)+SUMIFS('3 Hazed Questions'!$I$2:$I$23,'3 Hazed Questions'!$A$2:$A$23,"Q3",'3 Hazed Questions'!$C$2:$C$23,K199)+SUMIFS('3 Hazed Questions'!$I$2:$I$23,'3 Hazed Questions'!$A$2:$A$23,"Q4",'3 Hazed Questions'!$C$2:$C$23,L199))</f>
        <v/>
      </c>
      <c r="S199" s="14" t="str">
        <f aca="false">IF(COUNTA(I199:L199)=0,"",SUMIFS('3 Hazed Questions'!$J$2:$J$23,'3 Hazed Questions'!$A$2:$A$23,"Q1",'3 Hazed Questions'!$C$2:$C$23,I199)+SUMIFS('3 Hazed Questions'!$J$2:$J$23,'3 Hazed Questions'!$A$2:$A$23,"Q2",'3 Hazed Questions'!$C$2:$C$23,J199)+SUMIFS('3 Hazed Questions'!$J$2:$J$23,'3 Hazed Questions'!$A$2:$A$23,"Q3",'3 Hazed Questions'!$C$2:$C$23,K199)+SUMIFS('3 Hazed Questions'!$J$2:$J$23,'3 Hazed Questions'!$A$2:$A$23,"Q4",'3 Hazed Questions'!$C$2:$C$23,L199))</f>
        <v/>
      </c>
      <c r="T199" s="14" t="str">
        <f aca="false">IF(COUNTA(I199:L199)=0,"",SUMIFS('3 Hazed Questions'!$K$2:$K$23,'3 Hazed Questions'!$A$2:$A$23,"Q1",'3 Hazed Questions'!$C$2:$C$23,I199)+SUMIFS('3 Hazed Questions'!$K$2:$K$23,'3 Hazed Questions'!$A$2:$A$23,"Q2",'3 Hazed Questions'!$C$2:$C$23,J199)+SUMIFS('3 Hazed Questions'!$K$2:$K$23,'3 Hazed Questions'!$A$2:$A$23,"Q3",'3 Hazed Questions'!$C$2:$C$23,K199)+SUMIFS('3 Hazed Questions'!$K$2:$K$23,'3 Hazed Questions'!$A$2:$A$23,"Q4",'3 Hazed Questions'!$C$2:$C$23,L199))</f>
        <v/>
      </c>
      <c r="U199" s="14" t="str">
        <f aca="false">IF(COUNTA(I199:L199)=0,"",SUMIFS('3 Hazed Questions'!$L$2:$L$23,'3 Hazed Questions'!$A$2:$A$23,"Q1",'3 Hazed Questions'!$C$2:$C$23,I199)+SUMIFS('3 Hazed Questions'!$L$2:$L$23,'3 Hazed Questions'!$A$2:$A$23,"Q2",'3 Hazed Questions'!$C$2:$C$23,J199)+SUMIFS('3 Hazed Questions'!$L$2:$L$23,'3 Hazed Questions'!$A$2:$A$23,"Q3",'3 Hazed Questions'!$C$2:$C$23,K199)+SUMIFS('3 Hazed Questions'!$L$2:$L$23,'3 Hazed Questions'!$A$2:$A$23,"Q4",'3 Hazed Questions'!$C$2:$C$23,L199))</f>
        <v/>
      </c>
      <c r="V199" s="14" t="str">
        <f aca="false">IF(COUNTA(I199:L199)=0,"",SUMIFS('3 Hazed Questions'!$M$2:$M$23,'3 Hazed Questions'!$A$2:$A$23,"Q1",'3 Hazed Questions'!$C$2:$C$23,I199)+SUMIFS('3 Hazed Questions'!$M$2:$M$23,'3 Hazed Questions'!$A$2:$A$23,"Q2",'3 Hazed Questions'!$C$2:$C$23,J199)+SUMIFS('3 Hazed Questions'!$M$2:$M$23,'3 Hazed Questions'!$A$2:$A$23,"Q3",'3 Hazed Questions'!$C$2:$C$23,K199)+SUMIFS('3 Hazed Questions'!$M$2:$M$23,'3 Hazed Questions'!$A$2:$A$23,"Q4",'3 Hazed Questions'!$C$2:$C$23,L199))</f>
        <v/>
      </c>
      <c r="W199" s="14" t="str">
        <f aca="false">IF(COUNTA(I199:L199)=0,"",SUMIFS('3 Hazed Questions'!$N$2:$N$23,'3 Hazed Questions'!$A$2:$A$23,"Q1",'3 Hazed Questions'!$C$2:$C$23,I199)+SUMIFS('3 Hazed Questions'!$N$2:$N$23,'3 Hazed Questions'!$A$2:$A$23,"Q2",'3 Hazed Questions'!$C$2:$C$23,J199)+SUMIFS('3 Hazed Questions'!$N$2:$N$23,'3 Hazed Questions'!$A$2:$A$23,"Q3",'3 Hazed Questions'!$C$2:$C$23,K199)+SUMIFS('3 Hazed Questions'!$N$2:$N$23,'3 Hazed Questions'!$A$2:$A$23,"Q4",'3 Hazed Questions'!$C$2:$C$23,L199))</f>
        <v/>
      </c>
      <c r="X199" s="14" t="str">
        <f aca="false">IF(COUNTA(I199:L199)=0,"",INDEX(Fields!$B$2:$B$50,MATCH(SUBSTITUTE(INDEX($N$1:$W$1,MATCH(MAX($N199:$W199),$N199:$W199,0)),"Score: ",""),Fields!$A$2:$A$50,0)))</f>
        <v/>
      </c>
      <c r="Y199" s="14" t="str">
        <f aca="true">IF(COUNTA(I199:L199)=0,"",IF(LARGE($N199:$W199,2)=0,"-",INDEX(Fields!$B$2:$B$50,MATCH(SUBSTITUTE(INDEX($N$1:$W$1,IF(LARGE($N199:$W199,2)=MAX($N199:$W199),MATCH(MAX($N199:$W199),OFFSET($N199:$W199,0,MATCH(MAX($N199:$W199),$N199:$W199,0),1,10-MATCH(MAX($N199:$W199),$N199:$W199,0)),0)+MATCH(MAX($N199:$W199),$N199:$W199,0),MATCH(LARGE($N199:$W199,2),$N199:$W199,0))),"Score: ",""),Fields!$A$2:$A$50,0))))</f>
        <v/>
      </c>
      <c r="Z199" s="14" t="str">
        <f aca="false">IF(M199="","",IFERROR(INDEX('3 Hazed Questions'!$O$2:$O$23,MATCH(1,INDEX(('3 Hazed Questions'!$A$2:$A$23="Q5")*('3 Hazed Questions'!$C$2:$C$23=M199),0),0))&amp;"",""))</f>
        <v/>
      </c>
      <c r="AA199" s="18"/>
      <c r="AB199" s="18"/>
      <c r="AC199" s="19"/>
      <c r="AD199" s="19"/>
      <c r="AE199" s="18"/>
      <c r="AF199" s="18"/>
      <c r="AG199" s="18"/>
    </row>
    <row r="200" customFormat="false" ht="15" hidden="false" customHeight="false" outlineLevel="0" collapsed="false">
      <c r="A200" s="18"/>
      <c r="B200" s="19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4" t="str">
        <f aca="false">IF(COUNTA(I200:L200)=0,"",SUMIFS('3 Hazed Questions'!$E$2:$E$23,'3 Hazed Questions'!$A$2:$A$23,"Q1",'3 Hazed Questions'!$C$2:$C$23,I200)+SUMIFS('3 Hazed Questions'!$E$2:$E$23,'3 Hazed Questions'!$A$2:$A$23,"Q2",'3 Hazed Questions'!$C$2:$C$23,J200)+SUMIFS('3 Hazed Questions'!$E$2:$E$23,'3 Hazed Questions'!$A$2:$A$23,"Q3",'3 Hazed Questions'!$C$2:$C$23,K200)+SUMIFS('3 Hazed Questions'!$E$2:$E$23,'3 Hazed Questions'!$A$2:$A$23,"Q4",'3 Hazed Questions'!$C$2:$C$23,L200))</f>
        <v/>
      </c>
      <c r="O200" s="14" t="str">
        <f aca="false">IF(COUNTA(I200:L200)=0,"",SUMIFS('3 Hazed Questions'!$F$2:$F$23,'3 Hazed Questions'!$A$2:$A$23,"Q1",'3 Hazed Questions'!$C$2:$C$23,I200)+SUMIFS('3 Hazed Questions'!$F$2:$F$23,'3 Hazed Questions'!$A$2:$A$23,"Q2",'3 Hazed Questions'!$C$2:$C$23,J200)+SUMIFS('3 Hazed Questions'!$F$2:$F$23,'3 Hazed Questions'!$A$2:$A$23,"Q3",'3 Hazed Questions'!$C$2:$C$23,K200)+SUMIFS('3 Hazed Questions'!$F$2:$F$23,'3 Hazed Questions'!$A$2:$A$23,"Q4",'3 Hazed Questions'!$C$2:$C$23,L200))</f>
        <v/>
      </c>
      <c r="P200" s="14" t="str">
        <f aca="false">IF(COUNTA(I200:L200)=0,"",SUMIFS('3 Hazed Questions'!$G$2:$G$23,'3 Hazed Questions'!$A$2:$A$23,"Q1",'3 Hazed Questions'!$C$2:$C$23,I200)+SUMIFS('3 Hazed Questions'!$G$2:$G$23,'3 Hazed Questions'!$A$2:$A$23,"Q2",'3 Hazed Questions'!$C$2:$C$23,J200)+SUMIFS('3 Hazed Questions'!$G$2:$G$23,'3 Hazed Questions'!$A$2:$A$23,"Q3",'3 Hazed Questions'!$C$2:$C$23,K200)+SUMIFS('3 Hazed Questions'!$G$2:$G$23,'3 Hazed Questions'!$A$2:$A$23,"Q4",'3 Hazed Questions'!$C$2:$C$23,L200))</f>
        <v/>
      </c>
      <c r="Q200" s="14" t="str">
        <f aca="false">IF(COUNTA(I200:L200)=0,"",SUMIFS('3 Hazed Questions'!$H$2:$H$23,'3 Hazed Questions'!$A$2:$A$23,"Q1",'3 Hazed Questions'!$C$2:$C$23,I200)+SUMIFS('3 Hazed Questions'!$H$2:$H$23,'3 Hazed Questions'!$A$2:$A$23,"Q2",'3 Hazed Questions'!$C$2:$C$23,J200)+SUMIFS('3 Hazed Questions'!$H$2:$H$23,'3 Hazed Questions'!$A$2:$A$23,"Q3",'3 Hazed Questions'!$C$2:$C$23,K200)+SUMIFS('3 Hazed Questions'!$H$2:$H$23,'3 Hazed Questions'!$A$2:$A$23,"Q4",'3 Hazed Questions'!$C$2:$C$23,L200))</f>
        <v/>
      </c>
      <c r="R200" s="14" t="str">
        <f aca="false">IF(COUNTA(I200:L200)=0,"",SUMIFS('3 Hazed Questions'!$I$2:$I$23,'3 Hazed Questions'!$A$2:$A$23,"Q1",'3 Hazed Questions'!$C$2:$C$23,I200)+SUMIFS('3 Hazed Questions'!$I$2:$I$23,'3 Hazed Questions'!$A$2:$A$23,"Q2",'3 Hazed Questions'!$C$2:$C$23,J200)+SUMIFS('3 Hazed Questions'!$I$2:$I$23,'3 Hazed Questions'!$A$2:$A$23,"Q3",'3 Hazed Questions'!$C$2:$C$23,K200)+SUMIFS('3 Hazed Questions'!$I$2:$I$23,'3 Hazed Questions'!$A$2:$A$23,"Q4",'3 Hazed Questions'!$C$2:$C$23,L200))</f>
        <v/>
      </c>
      <c r="S200" s="14" t="str">
        <f aca="false">IF(COUNTA(I200:L200)=0,"",SUMIFS('3 Hazed Questions'!$J$2:$J$23,'3 Hazed Questions'!$A$2:$A$23,"Q1",'3 Hazed Questions'!$C$2:$C$23,I200)+SUMIFS('3 Hazed Questions'!$J$2:$J$23,'3 Hazed Questions'!$A$2:$A$23,"Q2",'3 Hazed Questions'!$C$2:$C$23,J200)+SUMIFS('3 Hazed Questions'!$J$2:$J$23,'3 Hazed Questions'!$A$2:$A$23,"Q3",'3 Hazed Questions'!$C$2:$C$23,K200)+SUMIFS('3 Hazed Questions'!$J$2:$J$23,'3 Hazed Questions'!$A$2:$A$23,"Q4",'3 Hazed Questions'!$C$2:$C$23,L200))</f>
        <v/>
      </c>
      <c r="T200" s="14" t="str">
        <f aca="false">IF(COUNTA(I200:L200)=0,"",SUMIFS('3 Hazed Questions'!$K$2:$K$23,'3 Hazed Questions'!$A$2:$A$23,"Q1",'3 Hazed Questions'!$C$2:$C$23,I200)+SUMIFS('3 Hazed Questions'!$K$2:$K$23,'3 Hazed Questions'!$A$2:$A$23,"Q2",'3 Hazed Questions'!$C$2:$C$23,J200)+SUMIFS('3 Hazed Questions'!$K$2:$K$23,'3 Hazed Questions'!$A$2:$A$23,"Q3",'3 Hazed Questions'!$C$2:$C$23,K200)+SUMIFS('3 Hazed Questions'!$K$2:$K$23,'3 Hazed Questions'!$A$2:$A$23,"Q4",'3 Hazed Questions'!$C$2:$C$23,L200))</f>
        <v/>
      </c>
      <c r="U200" s="14" t="str">
        <f aca="false">IF(COUNTA(I200:L200)=0,"",SUMIFS('3 Hazed Questions'!$L$2:$L$23,'3 Hazed Questions'!$A$2:$A$23,"Q1",'3 Hazed Questions'!$C$2:$C$23,I200)+SUMIFS('3 Hazed Questions'!$L$2:$L$23,'3 Hazed Questions'!$A$2:$A$23,"Q2",'3 Hazed Questions'!$C$2:$C$23,J200)+SUMIFS('3 Hazed Questions'!$L$2:$L$23,'3 Hazed Questions'!$A$2:$A$23,"Q3",'3 Hazed Questions'!$C$2:$C$23,K200)+SUMIFS('3 Hazed Questions'!$L$2:$L$23,'3 Hazed Questions'!$A$2:$A$23,"Q4",'3 Hazed Questions'!$C$2:$C$23,L200))</f>
        <v/>
      </c>
      <c r="V200" s="14" t="str">
        <f aca="false">IF(COUNTA(I200:L200)=0,"",SUMIFS('3 Hazed Questions'!$M$2:$M$23,'3 Hazed Questions'!$A$2:$A$23,"Q1",'3 Hazed Questions'!$C$2:$C$23,I200)+SUMIFS('3 Hazed Questions'!$M$2:$M$23,'3 Hazed Questions'!$A$2:$A$23,"Q2",'3 Hazed Questions'!$C$2:$C$23,J200)+SUMIFS('3 Hazed Questions'!$M$2:$M$23,'3 Hazed Questions'!$A$2:$A$23,"Q3",'3 Hazed Questions'!$C$2:$C$23,K200)+SUMIFS('3 Hazed Questions'!$M$2:$M$23,'3 Hazed Questions'!$A$2:$A$23,"Q4",'3 Hazed Questions'!$C$2:$C$23,L200))</f>
        <v/>
      </c>
      <c r="W200" s="14" t="str">
        <f aca="false">IF(COUNTA(I200:L200)=0,"",SUMIFS('3 Hazed Questions'!$N$2:$N$23,'3 Hazed Questions'!$A$2:$A$23,"Q1",'3 Hazed Questions'!$C$2:$C$23,I200)+SUMIFS('3 Hazed Questions'!$N$2:$N$23,'3 Hazed Questions'!$A$2:$A$23,"Q2",'3 Hazed Questions'!$C$2:$C$23,J200)+SUMIFS('3 Hazed Questions'!$N$2:$N$23,'3 Hazed Questions'!$A$2:$A$23,"Q3",'3 Hazed Questions'!$C$2:$C$23,K200)+SUMIFS('3 Hazed Questions'!$N$2:$N$23,'3 Hazed Questions'!$A$2:$A$23,"Q4",'3 Hazed Questions'!$C$2:$C$23,L200))</f>
        <v/>
      </c>
      <c r="X200" s="14" t="str">
        <f aca="false">IF(COUNTA(I200:L200)=0,"",INDEX(Fields!$B$2:$B$50,MATCH(SUBSTITUTE(INDEX($N$1:$W$1,MATCH(MAX($N200:$W200),$N200:$W200,0)),"Score: ",""),Fields!$A$2:$A$50,0)))</f>
        <v/>
      </c>
      <c r="Y200" s="14" t="str">
        <f aca="true">IF(COUNTA(I200:L200)=0,"",IF(LARGE($N200:$W200,2)=0,"-",INDEX(Fields!$B$2:$B$50,MATCH(SUBSTITUTE(INDEX($N$1:$W$1,IF(LARGE($N200:$W200,2)=MAX($N200:$W200),MATCH(MAX($N200:$W200),OFFSET($N200:$W200,0,MATCH(MAX($N200:$W200),$N200:$W200,0),1,10-MATCH(MAX($N200:$W200),$N200:$W200,0)),0)+MATCH(MAX($N200:$W200),$N200:$W200,0),MATCH(LARGE($N200:$W200,2),$N200:$W200,0))),"Score: ",""),Fields!$A$2:$A$50,0))))</f>
        <v/>
      </c>
      <c r="Z200" s="14" t="str">
        <f aca="false">IF(M200="","",IFERROR(INDEX('3 Hazed Questions'!$O$2:$O$23,MATCH(1,INDEX(('3 Hazed Questions'!$A$2:$A$23="Q5")*('3 Hazed Questions'!$C$2:$C$23=M200),0),0))&amp;"",""))</f>
        <v/>
      </c>
      <c r="AA200" s="18"/>
      <c r="AB200" s="18"/>
      <c r="AC200" s="19"/>
      <c r="AD200" s="19"/>
      <c r="AE200" s="18"/>
      <c r="AF200" s="18"/>
      <c r="AG200" s="18"/>
    </row>
    <row r="201" customFormat="false" ht="15" hidden="false" customHeight="false" outlineLevel="0" collapsed="false">
      <c r="A201" s="18"/>
      <c r="B201" s="19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4" t="str">
        <f aca="false">IF(COUNTA(I201:L201)=0,"",SUMIFS('3 Hazed Questions'!$E$2:$E$23,'3 Hazed Questions'!$A$2:$A$23,"Q1",'3 Hazed Questions'!$C$2:$C$23,I201)+SUMIFS('3 Hazed Questions'!$E$2:$E$23,'3 Hazed Questions'!$A$2:$A$23,"Q2",'3 Hazed Questions'!$C$2:$C$23,J201)+SUMIFS('3 Hazed Questions'!$E$2:$E$23,'3 Hazed Questions'!$A$2:$A$23,"Q3",'3 Hazed Questions'!$C$2:$C$23,K201)+SUMIFS('3 Hazed Questions'!$E$2:$E$23,'3 Hazed Questions'!$A$2:$A$23,"Q4",'3 Hazed Questions'!$C$2:$C$23,L201))</f>
        <v/>
      </c>
      <c r="O201" s="14" t="str">
        <f aca="false">IF(COUNTA(I201:L201)=0,"",SUMIFS('3 Hazed Questions'!$F$2:$F$23,'3 Hazed Questions'!$A$2:$A$23,"Q1",'3 Hazed Questions'!$C$2:$C$23,I201)+SUMIFS('3 Hazed Questions'!$F$2:$F$23,'3 Hazed Questions'!$A$2:$A$23,"Q2",'3 Hazed Questions'!$C$2:$C$23,J201)+SUMIFS('3 Hazed Questions'!$F$2:$F$23,'3 Hazed Questions'!$A$2:$A$23,"Q3",'3 Hazed Questions'!$C$2:$C$23,K201)+SUMIFS('3 Hazed Questions'!$F$2:$F$23,'3 Hazed Questions'!$A$2:$A$23,"Q4",'3 Hazed Questions'!$C$2:$C$23,L201))</f>
        <v/>
      </c>
      <c r="P201" s="14" t="str">
        <f aca="false">IF(COUNTA(I201:L201)=0,"",SUMIFS('3 Hazed Questions'!$G$2:$G$23,'3 Hazed Questions'!$A$2:$A$23,"Q1",'3 Hazed Questions'!$C$2:$C$23,I201)+SUMIFS('3 Hazed Questions'!$G$2:$G$23,'3 Hazed Questions'!$A$2:$A$23,"Q2",'3 Hazed Questions'!$C$2:$C$23,J201)+SUMIFS('3 Hazed Questions'!$G$2:$G$23,'3 Hazed Questions'!$A$2:$A$23,"Q3",'3 Hazed Questions'!$C$2:$C$23,K201)+SUMIFS('3 Hazed Questions'!$G$2:$G$23,'3 Hazed Questions'!$A$2:$A$23,"Q4",'3 Hazed Questions'!$C$2:$C$23,L201))</f>
        <v/>
      </c>
      <c r="Q201" s="14" t="str">
        <f aca="false">IF(COUNTA(I201:L201)=0,"",SUMIFS('3 Hazed Questions'!$H$2:$H$23,'3 Hazed Questions'!$A$2:$A$23,"Q1",'3 Hazed Questions'!$C$2:$C$23,I201)+SUMIFS('3 Hazed Questions'!$H$2:$H$23,'3 Hazed Questions'!$A$2:$A$23,"Q2",'3 Hazed Questions'!$C$2:$C$23,J201)+SUMIFS('3 Hazed Questions'!$H$2:$H$23,'3 Hazed Questions'!$A$2:$A$23,"Q3",'3 Hazed Questions'!$C$2:$C$23,K201)+SUMIFS('3 Hazed Questions'!$H$2:$H$23,'3 Hazed Questions'!$A$2:$A$23,"Q4",'3 Hazed Questions'!$C$2:$C$23,L201))</f>
        <v/>
      </c>
      <c r="R201" s="14" t="str">
        <f aca="false">IF(COUNTA(I201:L201)=0,"",SUMIFS('3 Hazed Questions'!$I$2:$I$23,'3 Hazed Questions'!$A$2:$A$23,"Q1",'3 Hazed Questions'!$C$2:$C$23,I201)+SUMIFS('3 Hazed Questions'!$I$2:$I$23,'3 Hazed Questions'!$A$2:$A$23,"Q2",'3 Hazed Questions'!$C$2:$C$23,J201)+SUMIFS('3 Hazed Questions'!$I$2:$I$23,'3 Hazed Questions'!$A$2:$A$23,"Q3",'3 Hazed Questions'!$C$2:$C$23,K201)+SUMIFS('3 Hazed Questions'!$I$2:$I$23,'3 Hazed Questions'!$A$2:$A$23,"Q4",'3 Hazed Questions'!$C$2:$C$23,L201))</f>
        <v/>
      </c>
      <c r="S201" s="14" t="str">
        <f aca="false">IF(COUNTA(I201:L201)=0,"",SUMIFS('3 Hazed Questions'!$J$2:$J$23,'3 Hazed Questions'!$A$2:$A$23,"Q1",'3 Hazed Questions'!$C$2:$C$23,I201)+SUMIFS('3 Hazed Questions'!$J$2:$J$23,'3 Hazed Questions'!$A$2:$A$23,"Q2",'3 Hazed Questions'!$C$2:$C$23,J201)+SUMIFS('3 Hazed Questions'!$J$2:$J$23,'3 Hazed Questions'!$A$2:$A$23,"Q3",'3 Hazed Questions'!$C$2:$C$23,K201)+SUMIFS('3 Hazed Questions'!$J$2:$J$23,'3 Hazed Questions'!$A$2:$A$23,"Q4",'3 Hazed Questions'!$C$2:$C$23,L201))</f>
        <v/>
      </c>
      <c r="T201" s="14" t="str">
        <f aca="false">IF(COUNTA(I201:L201)=0,"",SUMIFS('3 Hazed Questions'!$K$2:$K$23,'3 Hazed Questions'!$A$2:$A$23,"Q1",'3 Hazed Questions'!$C$2:$C$23,I201)+SUMIFS('3 Hazed Questions'!$K$2:$K$23,'3 Hazed Questions'!$A$2:$A$23,"Q2",'3 Hazed Questions'!$C$2:$C$23,J201)+SUMIFS('3 Hazed Questions'!$K$2:$K$23,'3 Hazed Questions'!$A$2:$A$23,"Q3",'3 Hazed Questions'!$C$2:$C$23,K201)+SUMIFS('3 Hazed Questions'!$K$2:$K$23,'3 Hazed Questions'!$A$2:$A$23,"Q4",'3 Hazed Questions'!$C$2:$C$23,L201))</f>
        <v/>
      </c>
      <c r="U201" s="14" t="str">
        <f aca="false">IF(COUNTA(I201:L201)=0,"",SUMIFS('3 Hazed Questions'!$L$2:$L$23,'3 Hazed Questions'!$A$2:$A$23,"Q1",'3 Hazed Questions'!$C$2:$C$23,I201)+SUMIFS('3 Hazed Questions'!$L$2:$L$23,'3 Hazed Questions'!$A$2:$A$23,"Q2",'3 Hazed Questions'!$C$2:$C$23,J201)+SUMIFS('3 Hazed Questions'!$L$2:$L$23,'3 Hazed Questions'!$A$2:$A$23,"Q3",'3 Hazed Questions'!$C$2:$C$23,K201)+SUMIFS('3 Hazed Questions'!$L$2:$L$23,'3 Hazed Questions'!$A$2:$A$23,"Q4",'3 Hazed Questions'!$C$2:$C$23,L201))</f>
        <v/>
      </c>
      <c r="V201" s="14" t="str">
        <f aca="false">IF(COUNTA(I201:L201)=0,"",SUMIFS('3 Hazed Questions'!$M$2:$M$23,'3 Hazed Questions'!$A$2:$A$23,"Q1",'3 Hazed Questions'!$C$2:$C$23,I201)+SUMIFS('3 Hazed Questions'!$M$2:$M$23,'3 Hazed Questions'!$A$2:$A$23,"Q2",'3 Hazed Questions'!$C$2:$C$23,J201)+SUMIFS('3 Hazed Questions'!$M$2:$M$23,'3 Hazed Questions'!$A$2:$A$23,"Q3",'3 Hazed Questions'!$C$2:$C$23,K201)+SUMIFS('3 Hazed Questions'!$M$2:$M$23,'3 Hazed Questions'!$A$2:$A$23,"Q4",'3 Hazed Questions'!$C$2:$C$23,L201))</f>
        <v/>
      </c>
      <c r="W201" s="14" t="str">
        <f aca="false">IF(COUNTA(I201:L201)=0,"",SUMIFS('3 Hazed Questions'!$N$2:$N$23,'3 Hazed Questions'!$A$2:$A$23,"Q1",'3 Hazed Questions'!$C$2:$C$23,I201)+SUMIFS('3 Hazed Questions'!$N$2:$N$23,'3 Hazed Questions'!$A$2:$A$23,"Q2",'3 Hazed Questions'!$C$2:$C$23,J201)+SUMIFS('3 Hazed Questions'!$N$2:$N$23,'3 Hazed Questions'!$A$2:$A$23,"Q3",'3 Hazed Questions'!$C$2:$C$23,K201)+SUMIFS('3 Hazed Questions'!$N$2:$N$23,'3 Hazed Questions'!$A$2:$A$23,"Q4",'3 Hazed Questions'!$C$2:$C$23,L201))</f>
        <v/>
      </c>
      <c r="X201" s="14" t="str">
        <f aca="false">IF(COUNTA(I201:L201)=0,"",INDEX(Fields!$B$2:$B$50,MATCH(SUBSTITUTE(INDEX($N$1:$W$1,MATCH(MAX($N201:$W201),$N201:$W201,0)),"Score: ",""),Fields!$A$2:$A$50,0)))</f>
        <v/>
      </c>
      <c r="Y201" s="14" t="str">
        <f aca="true">IF(COUNTA(I201:L201)=0,"",IF(LARGE($N201:$W201,2)=0,"-",INDEX(Fields!$B$2:$B$50,MATCH(SUBSTITUTE(INDEX($N$1:$W$1,IF(LARGE($N201:$W201,2)=MAX($N201:$W201),MATCH(MAX($N201:$W201),OFFSET($N201:$W201,0,MATCH(MAX($N201:$W201),$N201:$W201,0),1,10-MATCH(MAX($N201:$W201),$N201:$W201,0)),0)+MATCH(MAX($N201:$W201),$N201:$W201,0),MATCH(LARGE($N201:$W201,2),$N201:$W201,0))),"Score: ",""),Fields!$A$2:$A$50,0))))</f>
        <v/>
      </c>
      <c r="Z201" s="14" t="str">
        <f aca="false">IF(M201="","",IFERROR(INDEX('3 Hazed Questions'!$O$2:$O$23,MATCH(1,INDEX(('3 Hazed Questions'!$A$2:$A$23="Q5")*('3 Hazed Questions'!$C$2:$C$23=M201),0),0))&amp;"",""))</f>
        <v/>
      </c>
      <c r="AA201" s="18"/>
      <c r="AB201" s="18"/>
      <c r="AC201" s="19"/>
      <c r="AD201" s="19"/>
      <c r="AE201" s="18"/>
      <c r="AF201" s="18"/>
      <c r="AG201" s="18"/>
    </row>
    <row r="202" customFormat="false" ht="15" hidden="false" customHeight="false" outlineLevel="0" collapsed="false">
      <c r="A202" s="18"/>
      <c r="B202" s="19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4" t="str">
        <f aca="false">IF(COUNTA(I202:L202)=0,"",SUMIFS('3 Hazed Questions'!$E$2:$E$23,'3 Hazed Questions'!$A$2:$A$23,"Q1",'3 Hazed Questions'!$C$2:$C$23,I202)+SUMIFS('3 Hazed Questions'!$E$2:$E$23,'3 Hazed Questions'!$A$2:$A$23,"Q2",'3 Hazed Questions'!$C$2:$C$23,J202)+SUMIFS('3 Hazed Questions'!$E$2:$E$23,'3 Hazed Questions'!$A$2:$A$23,"Q3",'3 Hazed Questions'!$C$2:$C$23,K202)+SUMIFS('3 Hazed Questions'!$E$2:$E$23,'3 Hazed Questions'!$A$2:$A$23,"Q4",'3 Hazed Questions'!$C$2:$C$23,L202))</f>
        <v/>
      </c>
      <c r="O202" s="14" t="str">
        <f aca="false">IF(COUNTA(I202:L202)=0,"",SUMIFS('3 Hazed Questions'!$F$2:$F$23,'3 Hazed Questions'!$A$2:$A$23,"Q1",'3 Hazed Questions'!$C$2:$C$23,I202)+SUMIFS('3 Hazed Questions'!$F$2:$F$23,'3 Hazed Questions'!$A$2:$A$23,"Q2",'3 Hazed Questions'!$C$2:$C$23,J202)+SUMIFS('3 Hazed Questions'!$F$2:$F$23,'3 Hazed Questions'!$A$2:$A$23,"Q3",'3 Hazed Questions'!$C$2:$C$23,K202)+SUMIFS('3 Hazed Questions'!$F$2:$F$23,'3 Hazed Questions'!$A$2:$A$23,"Q4",'3 Hazed Questions'!$C$2:$C$23,L202))</f>
        <v/>
      </c>
      <c r="P202" s="14" t="str">
        <f aca="false">IF(COUNTA(I202:L202)=0,"",SUMIFS('3 Hazed Questions'!$G$2:$G$23,'3 Hazed Questions'!$A$2:$A$23,"Q1",'3 Hazed Questions'!$C$2:$C$23,I202)+SUMIFS('3 Hazed Questions'!$G$2:$G$23,'3 Hazed Questions'!$A$2:$A$23,"Q2",'3 Hazed Questions'!$C$2:$C$23,J202)+SUMIFS('3 Hazed Questions'!$G$2:$G$23,'3 Hazed Questions'!$A$2:$A$23,"Q3",'3 Hazed Questions'!$C$2:$C$23,K202)+SUMIFS('3 Hazed Questions'!$G$2:$G$23,'3 Hazed Questions'!$A$2:$A$23,"Q4",'3 Hazed Questions'!$C$2:$C$23,L202))</f>
        <v/>
      </c>
      <c r="Q202" s="14" t="str">
        <f aca="false">IF(COUNTA(I202:L202)=0,"",SUMIFS('3 Hazed Questions'!$H$2:$H$23,'3 Hazed Questions'!$A$2:$A$23,"Q1",'3 Hazed Questions'!$C$2:$C$23,I202)+SUMIFS('3 Hazed Questions'!$H$2:$H$23,'3 Hazed Questions'!$A$2:$A$23,"Q2",'3 Hazed Questions'!$C$2:$C$23,J202)+SUMIFS('3 Hazed Questions'!$H$2:$H$23,'3 Hazed Questions'!$A$2:$A$23,"Q3",'3 Hazed Questions'!$C$2:$C$23,K202)+SUMIFS('3 Hazed Questions'!$H$2:$H$23,'3 Hazed Questions'!$A$2:$A$23,"Q4",'3 Hazed Questions'!$C$2:$C$23,L202))</f>
        <v/>
      </c>
      <c r="R202" s="14" t="str">
        <f aca="false">IF(COUNTA(I202:L202)=0,"",SUMIFS('3 Hazed Questions'!$I$2:$I$23,'3 Hazed Questions'!$A$2:$A$23,"Q1",'3 Hazed Questions'!$C$2:$C$23,I202)+SUMIFS('3 Hazed Questions'!$I$2:$I$23,'3 Hazed Questions'!$A$2:$A$23,"Q2",'3 Hazed Questions'!$C$2:$C$23,J202)+SUMIFS('3 Hazed Questions'!$I$2:$I$23,'3 Hazed Questions'!$A$2:$A$23,"Q3",'3 Hazed Questions'!$C$2:$C$23,K202)+SUMIFS('3 Hazed Questions'!$I$2:$I$23,'3 Hazed Questions'!$A$2:$A$23,"Q4",'3 Hazed Questions'!$C$2:$C$23,L202))</f>
        <v/>
      </c>
      <c r="S202" s="14" t="str">
        <f aca="false">IF(COUNTA(I202:L202)=0,"",SUMIFS('3 Hazed Questions'!$J$2:$J$23,'3 Hazed Questions'!$A$2:$A$23,"Q1",'3 Hazed Questions'!$C$2:$C$23,I202)+SUMIFS('3 Hazed Questions'!$J$2:$J$23,'3 Hazed Questions'!$A$2:$A$23,"Q2",'3 Hazed Questions'!$C$2:$C$23,J202)+SUMIFS('3 Hazed Questions'!$J$2:$J$23,'3 Hazed Questions'!$A$2:$A$23,"Q3",'3 Hazed Questions'!$C$2:$C$23,K202)+SUMIFS('3 Hazed Questions'!$J$2:$J$23,'3 Hazed Questions'!$A$2:$A$23,"Q4",'3 Hazed Questions'!$C$2:$C$23,L202))</f>
        <v/>
      </c>
      <c r="T202" s="14" t="str">
        <f aca="false">IF(COUNTA(I202:L202)=0,"",SUMIFS('3 Hazed Questions'!$K$2:$K$23,'3 Hazed Questions'!$A$2:$A$23,"Q1",'3 Hazed Questions'!$C$2:$C$23,I202)+SUMIFS('3 Hazed Questions'!$K$2:$K$23,'3 Hazed Questions'!$A$2:$A$23,"Q2",'3 Hazed Questions'!$C$2:$C$23,J202)+SUMIFS('3 Hazed Questions'!$K$2:$K$23,'3 Hazed Questions'!$A$2:$A$23,"Q3",'3 Hazed Questions'!$C$2:$C$23,K202)+SUMIFS('3 Hazed Questions'!$K$2:$K$23,'3 Hazed Questions'!$A$2:$A$23,"Q4",'3 Hazed Questions'!$C$2:$C$23,L202))</f>
        <v/>
      </c>
      <c r="U202" s="14" t="str">
        <f aca="false">IF(COUNTA(I202:L202)=0,"",SUMIFS('3 Hazed Questions'!$L$2:$L$23,'3 Hazed Questions'!$A$2:$A$23,"Q1",'3 Hazed Questions'!$C$2:$C$23,I202)+SUMIFS('3 Hazed Questions'!$L$2:$L$23,'3 Hazed Questions'!$A$2:$A$23,"Q2",'3 Hazed Questions'!$C$2:$C$23,J202)+SUMIFS('3 Hazed Questions'!$L$2:$L$23,'3 Hazed Questions'!$A$2:$A$23,"Q3",'3 Hazed Questions'!$C$2:$C$23,K202)+SUMIFS('3 Hazed Questions'!$L$2:$L$23,'3 Hazed Questions'!$A$2:$A$23,"Q4",'3 Hazed Questions'!$C$2:$C$23,L202))</f>
        <v/>
      </c>
      <c r="V202" s="14" t="str">
        <f aca="false">IF(COUNTA(I202:L202)=0,"",SUMIFS('3 Hazed Questions'!$M$2:$M$23,'3 Hazed Questions'!$A$2:$A$23,"Q1",'3 Hazed Questions'!$C$2:$C$23,I202)+SUMIFS('3 Hazed Questions'!$M$2:$M$23,'3 Hazed Questions'!$A$2:$A$23,"Q2",'3 Hazed Questions'!$C$2:$C$23,J202)+SUMIFS('3 Hazed Questions'!$M$2:$M$23,'3 Hazed Questions'!$A$2:$A$23,"Q3",'3 Hazed Questions'!$C$2:$C$23,K202)+SUMIFS('3 Hazed Questions'!$M$2:$M$23,'3 Hazed Questions'!$A$2:$A$23,"Q4",'3 Hazed Questions'!$C$2:$C$23,L202))</f>
        <v/>
      </c>
      <c r="W202" s="14" t="str">
        <f aca="false">IF(COUNTA(I202:L202)=0,"",SUMIFS('3 Hazed Questions'!$N$2:$N$23,'3 Hazed Questions'!$A$2:$A$23,"Q1",'3 Hazed Questions'!$C$2:$C$23,I202)+SUMIFS('3 Hazed Questions'!$N$2:$N$23,'3 Hazed Questions'!$A$2:$A$23,"Q2",'3 Hazed Questions'!$C$2:$C$23,J202)+SUMIFS('3 Hazed Questions'!$N$2:$N$23,'3 Hazed Questions'!$A$2:$A$23,"Q3",'3 Hazed Questions'!$C$2:$C$23,K202)+SUMIFS('3 Hazed Questions'!$N$2:$N$23,'3 Hazed Questions'!$A$2:$A$23,"Q4",'3 Hazed Questions'!$C$2:$C$23,L202))</f>
        <v/>
      </c>
      <c r="X202" s="14" t="str">
        <f aca="false">IF(COUNTA(I202:L202)=0,"",INDEX(Fields!$B$2:$B$50,MATCH(SUBSTITUTE(INDEX($N$1:$W$1,MATCH(MAX($N202:$W202),$N202:$W202,0)),"Score: ",""),Fields!$A$2:$A$50,0)))</f>
        <v/>
      </c>
      <c r="Y202" s="14" t="str">
        <f aca="true">IF(COUNTA(I202:L202)=0,"",IF(LARGE($N202:$W202,2)=0,"-",INDEX(Fields!$B$2:$B$50,MATCH(SUBSTITUTE(INDEX($N$1:$W$1,IF(LARGE($N202:$W202,2)=MAX($N202:$W202),MATCH(MAX($N202:$W202),OFFSET($N202:$W202,0,MATCH(MAX($N202:$W202),$N202:$W202,0),1,10-MATCH(MAX($N202:$W202),$N202:$W202,0)),0)+MATCH(MAX($N202:$W202),$N202:$W202,0),MATCH(LARGE($N202:$W202,2),$N202:$W202,0))),"Score: ",""),Fields!$A$2:$A$50,0))))</f>
        <v/>
      </c>
      <c r="Z202" s="14" t="str">
        <f aca="false">IF(M202="","",IFERROR(INDEX('3 Hazed Questions'!$O$2:$O$23,MATCH(1,INDEX(('3 Hazed Questions'!$A$2:$A$23="Q5")*('3 Hazed Questions'!$C$2:$C$23=M202),0),0))&amp;"",""))</f>
        <v/>
      </c>
      <c r="AA202" s="18"/>
      <c r="AB202" s="18"/>
      <c r="AC202" s="19"/>
      <c r="AD202" s="19"/>
      <c r="AE202" s="18"/>
      <c r="AF202" s="18"/>
      <c r="AG202" s="18"/>
    </row>
    <row r="203" customFormat="false" ht="15" hidden="false" customHeight="false" outlineLevel="0" collapsed="false">
      <c r="A203" s="18"/>
      <c r="B203" s="19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4" t="str">
        <f aca="false">IF(COUNTA(I203:L203)=0,"",SUMIFS('3 Hazed Questions'!$E$2:$E$23,'3 Hazed Questions'!$A$2:$A$23,"Q1",'3 Hazed Questions'!$C$2:$C$23,I203)+SUMIFS('3 Hazed Questions'!$E$2:$E$23,'3 Hazed Questions'!$A$2:$A$23,"Q2",'3 Hazed Questions'!$C$2:$C$23,J203)+SUMIFS('3 Hazed Questions'!$E$2:$E$23,'3 Hazed Questions'!$A$2:$A$23,"Q3",'3 Hazed Questions'!$C$2:$C$23,K203)+SUMIFS('3 Hazed Questions'!$E$2:$E$23,'3 Hazed Questions'!$A$2:$A$23,"Q4",'3 Hazed Questions'!$C$2:$C$23,L203))</f>
        <v/>
      </c>
      <c r="O203" s="14" t="str">
        <f aca="false">IF(COUNTA(I203:L203)=0,"",SUMIFS('3 Hazed Questions'!$F$2:$F$23,'3 Hazed Questions'!$A$2:$A$23,"Q1",'3 Hazed Questions'!$C$2:$C$23,I203)+SUMIFS('3 Hazed Questions'!$F$2:$F$23,'3 Hazed Questions'!$A$2:$A$23,"Q2",'3 Hazed Questions'!$C$2:$C$23,J203)+SUMIFS('3 Hazed Questions'!$F$2:$F$23,'3 Hazed Questions'!$A$2:$A$23,"Q3",'3 Hazed Questions'!$C$2:$C$23,K203)+SUMIFS('3 Hazed Questions'!$F$2:$F$23,'3 Hazed Questions'!$A$2:$A$23,"Q4",'3 Hazed Questions'!$C$2:$C$23,L203))</f>
        <v/>
      </c>
      <c r="P203" s="14" t="str">
        <f aca="false">IF(COUNTA(I203:L203)=0,"",SUMIFS('3 Hazed Questions'!$G$2:$G$23,'3 Hazed Questions'!$A$2:$A$23,"Q1",'3 Hazed Questions'!$C$2:$C$23,I203)+SUMIFS('3 Hazed Questions'!$G$2:$G$23,'3 Hazed Questions'!$A$2:$A$23,"Q2",'3 Hazed Questions'!$C$2:$C$23,J203)+SUMIFS('3 Hazed Questions'!$G$2:$G$23,'3 Hazed Questions'!$A$2:$A$23,"Q3",'3 Hazed Questions'!$C$2:$C$23,K203)+SUMIFS('3 Hazed Questions'!$G$2:$G$23,'3 Hazed Questions'!$A$2:$A$23,"Q4",'3 Hazed Questions'!$C$2:$C$23,L203))</f>
        <v/>
      </c>
      <c r="Q203" s="14" t="str">
        <f aca="false">IF(COUNTA(I203:L203)=0,"",SUMIFS('3 Hazed Questions'!$H$2:$H$23,'3 Hazed Questions'!$A$2:$A$23,"Q1",'3 Hazed Questions'!$C$2:$C$23,I203)+SUMIFS('3 Hazed Questions'!$H$2:$H$23,'3 Hazed Questions'!$A$2:$A$23,"Q2",'3 Hazed Questions'!$C$2:$C$23,J203)+SUMIFS('3 Hazed Questions'!$H$2:$H$23,'3 Hazed Questions'!$A$2:$A$23,"Q3",'3 Hazed Questions'!$C$2:$C$23,K203)+SUMIFS('3 Hazed Questions'!$H$2:$H$23,'3 Hazed Questions'!$A$2:$A$23,"Q4",'3 Hazed Questions'!$C$2:$C$23,L203))</f>
        <v/>
      </c>
      <c r="R203" s="14" t="str">
        <f aca="false">IF(COUNTA(I203:L203)=0,"",SUMIFS('3 Hazed Questions'!$I$2:$I$23,'3 Hazed Questions'!$A$2:$A$23,"Q1",'3 Hazed Questions'!$C$2:$C$23,I203)+SUMIFS('3 Hazed Questions'!$I$2:$I$23,'3 Hazed Questions'!$A$2:$A$23,"Q2",'3 Hazed Questions'!$C$2:$C$23,J203)+SUMIFS('3 Hazed Questions'!$I$2:$I$23,'3 Hazed Questions'!$A$2:$A$23,"Q3",'3 Hazed Questions'!$C$2:$C$23,K203)+SUMIFS('3 Hazed Questions'!$I$2:$I$23,'3 Hazed Questions'!$A$2:$A$23,"Q4",'3 Hazed Questions'!$C$2:$C$23,L203))</f>
        <v/>
      </c>
      <c r="S203" s="14" t="str">
        <f aca="false">IF(COUNTA(I203:L203)=0,"",SUMIFS('3 Hazed Questions'!$J$2:$J$23,'3 Hazed Questions'!$A$2:$A$23,"Q1",'3 Hazed Questions'!$C$2:$C$23,I203)+SUMIFS('3 Hazed Questions'!$J$2:$J$23,'3 Hazed Questions'!$A$2:$A$23,"Q2",'3 Hazed Questions'!$C$2:$C$23,J203)+SUMIFS('3 Hazed Questions'!$J$2:$J$23,'3 Hazed Questions'!$A$2:$A$23,"Q3",'3 Hazed Questions'!$C$2:$C$23,K203)+SUMIFS('3 Hazed Questions'!$J$2:$J$23,'3 Hazed Questions'!$A$2:$A$23,"Q4",'3 Hazed Questions'!$C$2:$C$23,L203))</f>
        <v/>
      </c>
      <c r="T203" s="14" t="str">
        <f aca="false">IF(COUNTA(I203:L203)=0,"",SUMIFS('3 Hazed Questions'!$K$2:$K$23,'3 Hazed Questions'!$A$2:$A$23,"Q1",'3 Hazed Questions'!$C$2:$C$23,I203)+SUMIFS('3 Hazed Questions'!$K$2:$K$23,'3 Hazed Questions'!$A$2:$A$23,"Q2",'3 Hazed Questions'!$C$2:$C$23,J203)+SUMIFS('3 Hazed Questions'!$K$2:$K$23,'3 Hazed Questions'!$A$2:$A$23,"Q3",'3 Hazed Questions'!$C$2:$C$23,K203)+SUMIFS('3 Hazed Questions'!$K$2:$K$23,'3 Hazed Questions'!$A$2:$A$23,"Q4",'3 Hazed Questions'!$C$2:$C$23,L203))</f>
        <v/>
      </c>
      <c r="U203" s="14" t="str">
        <f aca="false">IF(COUNTA(I203:L203)=0,"",SUMIFS('3 Hazed Questions'!$L$2:$L$23,'3 Hazed Questions'!$A$2:$A$23,"Q1",'3 Hazed Questions'!$C$2:$C$23,I203)+SUMIFS('3 Hazed Questions'!$L$2:$L$23,'3 Hazed Questions'!$A$2:$A$23,"Q2",'3 Hazed Questions'!$C$2:$C$23,J203)+SUMIFS('3 Hazed Questions'!$L$2:$L$23,'3 Hazed Questions'!$A$2:$A$23,"Q3",'3 Hazed Questions'!$C$2:$C$23,K203)+SUMIFS('3 Hazed Questions'!$L$2:$L$23,'3 Hazed Questions'!$A$2:$A$23,"Q4",'3 Hazed Questions'!$C$2:$C$23,L203))</f>
        <v/>
      </c>
      <c r="V203" s="14" t="str">
        <f aca="false">IF(COUNTA(I203:L203)=0,"",SUMIFS('3 Hazed Questions'!$M$2:$M$23,'3 Hazed Questions'!$A$2:$A$23,"Q1",'3 Hazed Questions'!$C$2:$C$23,I203)+SUMIFS('3 Hazed Questions'!$M$2:$M$23,'3 Hazed Questions'!$A$2:$A$23,"Q2",'3 Hazed Questions'!$C$2:$C$23,J203)+SUMIFS('3 Hazed Questions'!$M$2:$M$23,'3 Hazed Questions'!$A$2:$A$23,"Q3",'3 Hazed Questions'!$C$2:$C$23,K203)+SUMIFS('3 Hazed Questions'!$M$2:$M$23,'3 Hazed Questions'!$A$2:$A$23,"Q4",'3 Hazed Questions'!$C$2:$C$23,L203))</f>
        <v/>
      </c>
      <c r="W203" s="14" t="str">
        <f aca="false">IF(COUNTA(I203:L203)=0,"",SUMIFS('3 Hazed Questions'!$N$2:$N$23,'3 Hazed Questions'!$A$2:$A$23,"Q1",'3 Hazed Questions'!$C$2:$C$23,I203)+SUMIFS('3 Hazed Questions'!$N$2:$N$23,'3 Hazed Questions'!$A$2:$A$23,"Q2",'3 Hazed Questions'!$C$2:$C$23,J203)+SUMIFS('3 Hazed Questions'!$N$2:$N$23,'3 Hazed Questions'!$A$2:$A$23,"Q3",'3 Hazed Questions'!$C$2:$C$23,K203)+SUMIFS('3 Hazed Questions'!$N$2:$N$23,'3 Hazed Questions'!$A$2:$A$23,"Q4",'3 Hazed Questions'!$C$2:$C$23,L203))</f>
        <v/>
      </c>
      <c r="X203" s="14" t="str">
        <f aca="false">IF(COUNTA(I203:L203)=0,"",INDEX(Fields!$B$2:$B$50,MATCH(SUBSTITUTE(INDEX($N$1:$W$1,MATCH(MAX($N203:$W203),$N203:$W203,0)),"Score: ",""),Fields!$A$2:$A$50,0)))</f>
        <v/>
      </c>
      <c r="Y203" s="14" t="str">
        <f aca="true">IF(COUNTA(I203:L203)=0,"",IF(LARGE($N203:$W203,2)=0,"-",INDEX(Fields!$B$2:$B$50,MATCH(SUBSTITUTE(INDEX($N$1:$W$1,IF(LARGE($N203:$W203,2)=MAX($N203:$W203),MATCH(MAX($N203:$W203),OFFSET($N203:$W203,0,MATCH(MAX($N203:$W203),$N203:$W203,0),1,10-MATCH(MAX($N203:$W203),$N203:$W203,0)),0)+MATCH(MAX($N203:$W203),$N203:$W203,0),MATCH(LARGE($N203:$W203,2),$N203:$W203,0))),"Score: ",""),Fields!$A$2:$A$50,0))))</f>
        <v/>
      </c>
      <c r="Z203" s="14" t="str">
        <f aca="false">IF(M203="","",IFERROR(INDEX('3 Hazed Questions'!$O$2:$O$23,MATCH(1,INDEX(('3 Hazed Questions'!$A$2:$A$23="Q5")*('3 Hazed Questions'!$C$2:$C$23=M203),0),0))&amp;"",""))</f>
        <v/>
      </c>
      <c r="AA203" s="18"/>
      <c r="AB203" s="18"/>
      <c r="AC203" s="19"/>
      <c r="AD203" s="19"/>
      <c r="AE203" s="18"/>
      <c r="AF203" s="18"/>
      <c r="AG203" s="18"/>
    </row>
    <row r="204" customFormat="false" ht="15" hidden="false" customHeight="false" outlineLevel="0" collapsed="false">
      <c r="A204" s="18"/>
      <c r="B204" s="19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4" t="str">
        <f aca="false">IF(COUNTA(I204:L204)=0,"",SUMIFS('3 Hazed Questions'!$E$2:$E$23,'3 Hazed Questions'!$A$2:$A$23,"Q1",'3 Hazed Questions'!$C$2:$C$23,I204)+SUMIFS('3 Hazed Questions'!$E$2:$E$23,'3 Hazed Questions'!$A$2:$A$23,"Q2",'3 Hazed Questions'!$C$2:$C$23,J204)+SUMIFS('3 Hazed Questions'!$E$2:$E$23,'3 Hazed Questions'!$A$2:$A$23,"Q3",'3 Hazed Questions'!$C$2:$C$23,K204)+SUMIFS('3 Hazed Questions'!$E$2:$E$23,'3 Hazed Questions'!$A$2:$A$23,"Q4",'3 Hazed Questions'!$C$2:$C$23,L204))</f>
        <v/>
      </c>
      <c r="O204" s="14" t="str">
        <f aca="false">IF(COUNTA(I204:L204)=0,"",SUMIFS('3 Hazed Questions'!$F$2:$F$23,'3 Hazed Questions'!$A$2:$A$23,"Q1",'3 Hazed Questions'!$C$2:$C$23,I204)+SUMIFS('3 Hazed Questions'!$F$2:$F$23,'3 Hazed Questions'!$A$2:$A$23,"Q2",'3 Hazed Questions'!$C$2:$C$23,J204)+SUMIFS('3 Hazed Questions'!$F$2:$F$23,'3 Hazed Questions'!$A$2:$A$23,"Q3",'3 Hazed Questions'!$C$2:$C$23,K204)+SUMIFS('3 Hazed Questions'!$F$2:$F$23,'3 Hazed Questions'!$A$2:$A$23,"Q4",'3 Hazed Questions'!$C$2:$C$23,L204))</f>
        <v/>
      </c>
      <c r="P204" s="14" t="str">
        <f aca="false">IF(COUNTA(I204:L204)=0,"",SUMIFS('3 Hazed Questions'!$G$2:$G$23,'3 Hazed Questions'!$A$2:$A$23,"Q1",'3 Hazed Questions'!$C$2:$C$23,I204)+SUMIFS('3 Hazed Questions'!$G$2:$G$23,'3 Hazed Questions'!$A$2:$A$23,"Q2",'3 Hazed Questions'!$C$2:$C$23,J204)+SUMIFS('3 Hazed Questions'!$G$2:$G$23,'3 Hazed Questions'!$A$2:$A$23,"Q3",'3 Hazed Questions'!$C$2:$C$23,K204)+SUMIFS('3 Hazed Questions'!$G$2:$G$23,'3 Hazed Questions'!$A$2:$A$23,"Q4",'3 Hazed Questions'!$C$2:$C$23,L204))</f>
        <v/>
      </c>
      <c r="Q204" s="14" t="str">
        <f aca="false">IF(COUNTA(I204:L204)=0,"",SUMIFS('3 Hazed Questions'!$H$2:$H$23,'3 Hazed Questions'!$A$2:$A$23,"Q1",'3 Hazed Questions'!$C$2:$C$23,I204)+SUMIFS('3 Hazed Questions'!$H$2:$H$23,'3 Hazed Questions'!$A$2:$A$23,"Q2",'3 Hazed Questions'!$C$2:$C$23,J204)+SUMIFS('3 Hazed Questions'!$H$2:$H$23,'3 Hazed Questions'!$A$2:$A$23,"Q3",'3 Hazed Questions'!$C$2:$C$23,K204)+SUMIFS('3 Hazed Questions'!$H$2:$H$23,'3 Hazed Questions'!$A$2:$A$23,"Q4",'3 Hazed Questions'!$C$2:$C$23,L204))</f>
        <v/>
      </c>
      <c r="R204" s="14" t="str">
        <f aca="false">IF(COUNTA(I204:L204)=0,"",SUMIFS('3 Hazed Questions'!$I$2:$I$23,'3 Hazed Questions'!$A$2:$A$23,"Q1",'3 Hazed Questions'!$C$2:$C$23,I204)+SUMIFS('3 Hazed Questions'!$I$2:$I$23,'3 Hazed Questions'!$A$2:$A$23,"Q2",'3 Hazed Questions'!$C$2:$C$23,J204)+SUMIFS('3 Hazed Questions'!$I$2:$I$23,'3 Hazed Questions'!$A$2:$A$23,"Q3",'3 Hazed Questions'!$C$2:$C$23,K204)+SUMIFS('3 Hazed Questions'!$I$2:$I$23,'3 Hazed Questions'!$A$2:$A$23,"Q4",'3 Hazed Questions'!$C$2:$C$23,L204))</f>
        <v/>
      </c>
      <c r="S204" s="14" t="str">
        <f aca="false">IF(COUNTA(I204:L204)=0,"",SUMIFS('3 Hazed Questions'!$J$2:$J$23,'3 Hazed Questions'!$A$2:$A$23,"Q1",'3 Hazed Questions'!$C$2:$C$23,I204)+SUMIFS('3 Hazed Questions'!$J$2:$J$23,'3 Hazed Questions'!$A$2:$A$23,"Q2",'3 Hazed Questions'!$C$2:$C$23,J204)+SUMIFS('3 Hazed Questions'!$J$2:$J$23,'3 Hazed Questions'!$A$2:$A$23,"Q3",'3 Hazed Questions'!$C$2:$C$23,K204)+SUMIFS('3 Hazed Questions'!$J$2:$J$23,'3 Hazed Questions'!$A$2:$A$23,"Q4",'3 Hazed Questions'!$C$2:$C$23,L204))</f>
        <v/>
      </c>
      <c r="T204" s="14" t="str">
        <f aca="false">IF(COUNTA(I204:L204)=0,"",SUMIFS('3 Hazed Questions'!$K$2:$K$23,'3 Hazed Questions'!$A$2:$A$23,"Q1",'3 Hazed Questions'!$C$2:$C$23,I204)+SUMIFS('3 Hazed Questions'!$K$2:$K$23,'3 Hazed Questions'!$A$2:$A$23,"Q2",'3 Hazed Questions'!$C$2:$C$23,J204)+SUMIFS('3 Hazed Questions'!$K$2:$K$23,'3 Hazed Questions'!$A$2:$A$23,"Q3",'3 Hazed Questions'!$C$2:$C$23,K204)+SUMIFS('3 Hazed Questions'!$K$2:$K$23,'3 Hazed Questions'!$A$2:$A$23,"Q4",'3 Hazed Questions'!$C$2:$C$23,L204))</f>
        <v/>
      </c>
      <c r="U204" s="14" t="str">
        <f aca="false">IF(COUNTA(I204:L204)=0,"",SUMIFS('3 Hazed Questions'!$L$2:$L$23,'3 Hazed Questions'!$A$2:$A$23,"Q1",'3 Hazed Questions'!$C$2:$C$23,I204)+SUMIFS('3 Hazed Questions'!$L$2:$L$23,'3 Hazed Questions'!$A$2:$A$23,"Q2",'3 Hazed Questions'!$C$2:$C$23,J204)+SUMIFS('3 Hazed Questions'!$L$2:$L$23,'3 Hazed Questions'!$A$2:$A$23,"Q3",'3 Hazed Questions'!$C$2:$C$23,K204)+SUMIFS('3 Hazed Questions'!$L$2:$L$23,'3 Hazed Questions'!$A$2:$A$23,"Q4",'3 Hazed Questions'!$C$2:$C$23,L204))</f>
        <v/>
      </c>
      <c r="V204" s="14" t="str">
        <f aca="false">IF(COUNTA(I204:L204)=0,"",SUMIFS('3 Hazed Questions'!$M$2:$M$23,'3 Hazed Questions'!$A$2:$A$23,"Q1",'3 Hazed Questions'!$C$2:$C$23,I204)+SUMIFS('3 Hazed Questions'!$M$2:$M$23,'3 Hazed Questions'!$A$2:$A$23,"Q2",'3 Hazed Questions'!$C$2:$C$23,J204)+SUMIFS('3 Hazed Questions'!$M$2:$M$23,'3 Hazed Questions'!$A$2:$A$23,"Q3",'3 Hazed Questions'!$C$2:$C$23,K204)+SUMIFS('3 Hazed Questions'!$M$2:$M$23,'3 Hazed Questions'!$A$2:$A$23,"Q4",'3 Hazed Questions'!$C$2:$C$23,L204))</f>
        <v/>
      </c>
      <c r="W204" s="14" t="str">
        <f aca="false">IF(COUNTA(I204:L204)=0,"",SUMIFS('3 Hazed Questions'!$N$2:$N$23,'3 Hazed Questions'!$A$2:$A$23,"Q1",'3 Hazed Questions'!$C$2:$C$23,I204)+SUMIFS('3 Hazed Questions'!$N$2:$N$23,'3 Hazed Questions'!$A$2:$A$23,"Q2",'3 Hazed Questions'!$C$2:$C$23,J204)+SUMIFS('3 Hazed Questions'!$N$2:$N$23,'3 Hazed Questions'!$A$2:$A$23,"Q3",'3 Hazed Questions'!$C$2:$C$23,K204)+SUMIFS('3 Hazed Questions'!$N$2:$N$23,'3 Hazed Questions'!$A$2:$A$23,"Q4",'3 Hazed Questions'!$C$2:$C$23,L204))</f>
        <v/>
      </c>
      <c r="X204" s="14" t="str">
        <f aca="false">IF(COUNTA(I204:L204)=0,"",INDEX(Fields!$B$2:$B$50,MATCH(SUBSTITUTE(INDEX($N$1:$W$1,MATCH(MAX($N204:$W204),$N204:$W204,0)),"Score: ",""),Fields!$A$2:$A$50,0)))</f>
        <v/>
      </c>
      <c r="Y204" s="14" t="str">
        <f aca="true">IF(COUNTA(I204:L204)=0,"",IF(LARGE($N204:$W204,2)=0,"-",INDEX(Fields!$B$2:$B$50,MATCH(SUBSTITUTE(INDEX($N$1:$W$1,IF(LARGE($N204:$W204,2)=MAX($N204:$W204),MATCH(MAX($N204:$W204),OFFSET($N204:$W204,0,MATCH(MAX($N204:$W204),$N204:$W204,0),1,10-MATCH(MAX($N204:$W204),$N204:$W204,0)),0)+MATCH(MAX($N204:$W204),$N204:$W204,0),MATCH(LARGE($N204:$W204,2),$N204:$W204,0))),"Score: ",""),Fields!$A$2:$A$50,0))))</f>
        <v/>
      </c>
      <c r="Z204" s="14" t="str">
        <f aca="false">IF(M204="","",IFERROR(INDEX('3 Hazed Questions'!$O$2:$O$23,MATCH(1,INDEX(('3 Hazed Questions'!$A$2:$A$23="Q5")*('3 Hazed Questions'!$C$2:$C$23=M204),0),0))&amp;"",""))</f>
        <v/>
      </c>
      <c r="AA204" s="18"/>
      <c r="AB204" s="18"/>
      <c r="AC204" s="19"/>
      <c r="AD204" s="19"/>
      <c r="AE204" s="18"/>
      <c r="AF204" s="18"/>
      <c r="AG204" s="18"/>
    </row>
    <row r="205" customFormat="false" ht="15" hidden="false" customHeight="false" outlineLevel="0" collapsed="false">
      <c r="A205" s="18"/>
      <c r="B205" s="19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4" t="str">
        <f aca="false">IF(COUNTA(I205:L205)=0,"",SUMIFS('3 Hazed Questions'!$E$2:$E$23,'3 Hazed Questions'!$A$2:$A$23,"Q1",'3 Hazed Questions'!$C$2:$C$23,I205)+SUMIFS('3 Hazed Questions'!$E$2:$E$23,'3 Hazed Questions'!$A$2:$A$23,"Q2",'3 Hazed Questions'!$C$2:$C$23,J205)+SUMIFS('3 Hazed Questions'!$E$2:$E$23,'3 Hazed Questions'!$A$2:$A$23,"Q3",'3 Hazed Questions'!$C$2:$C$23,K205)+SUMIFS('3 Hazed Questions'!$E$2:$E$23,'3 Hazed Questions'!$A$2:$A$23,"Q4",'3 Hazed Questions'!$C$2:$C$23,L205))</f>
        <v/>
      </c>
      <c r="O205" s="14" t="str">
        <f aca="false">IF(COUNTA(I205:L205)=0,"",SUMIFS('3 Hazed Questions'!$F$2:$F$23,'3 Hazed Questions'!$A$2:$A$23,"Q1",'3 Hazed Questions'!$C$2:$C$23,I205)+SUMIFS('3 Hazed Questions'!$F$2:$F$23,'3 Hazed Questions'!$A$2:$A$23,"Q2",'3 Hazed Questions'!$C$2:$C$23,J205)+SUMIFS('3 Hazed Questions'!$F$2:$F$23,'3 Hazed Questions'!$A$2:$A$23,"Q3",'3 Hazed Questions'!$C$2:$C$23,K205)+SUMIFS('3 Hazed Questions'!$F$2:$F$23,'3 Hazed Questions'!$A$2:$A$23,"Q4",'3 Hazed Questions'!$C$2:$C$23,L205))</f>
        <v/>
      </c>
      <c r="P205" s="14" t="str">
        <f aca="false">IF(COUNTA(I205:L205)=0,"",SUMIFS('3 Hazed Questions'!$G$2:$G$23,'3 Hazed Questions'!$A$2:$A$23,"Q1",'3 Hazed Questions'!$C$2:$C$23,I205)+SUMIFS('3 Hazed Questions'!$G$2:$G$23,'3 Hazed Questions'!$A$2:$A$23,"Q2",'3 Hazed Questions'!$C$2:$C$23,J205)+SUMIFS('3 Hazed Questions'!$G$2:$G$23,'3 Hazed Questions'!$A$2:$A$23,"Q3",'3 Hazed Questions'!$C$2:$C$23,K205)+SUMIFS('3 Hazed Questions'!$G$2:$G$23,'3 Hazed Questions'!$A$2:$A$23,"Q4",'3 Hazed Questions'!$C$2:$C$23,L205))</f>
        <v/>
      </c>
      <c r="Q205" s="14" t="str">
        <f aca="false">IF(COUNTA(I205:L205)=0,"",SUMIFS('3 Hazed Questions'!$H$2:$H$23,'3 Hazed Questions'!$A$2:$A$23,"Q1",'3 Hazed Questions'!$C$2:$C$23,I205)+SUMIFS('3 Hazed Questions'!$H$2:$H$23,'3 Hazed Questions'!$A$2:$A$23,"Q2",'3 Hazed Questions'!$C$2:$C$23,J205)+SUMIFS('3 Hazed Questions'!$H$2:$H$23,'3 Hazed Questions'!$A$2:$A$23,"Q3",'3 Hazed Questions'!$C$2:$C$23,K205)+SUMIFS('3 Hazed Questions'!$H$2:$H$23,'3 Hazed Questions'!$A$2:$A$23,"Q4",'3 Hazed Questions'!$C$2:$C$23,L205))</f>
        <v/>
      </c>
      <c r="R205" s="14" t="str">
        <f aca="false">IF(COUNTA(I205:L205)=0,"",SUMIFS('3 Hazed Questions'!$I$2:$I$23,'3 Hazed Questions'!$A$2:$A$23,"Q1",'3 Hazed Questions'!$C$2:$C$23,I205)+SUMIFS('3 Hazed Questions'!$I$2:$I$23,'3 Hazed Questions'!$A$2:$A$23,"Q2",'3 Hazed Questions'!$C$2:$C$23,J205)+SUMIFS('3 Hazed Questions'!$I$2:$I$23,'3 Hazed Questions'!$A$2:$A$23,"Q3",'3 Hazed Questions'!$C$2:$C$23,K205)+SUMIFS('3 Hazed Questions'!$I$2:$I$23,'3 Hazed Questions'!$A$2:$A$23,"Q4",'3 Hazed Questions'!$C$2:$C$23,L205))</f>
        <v/>
      </c>
      <c r="S205" s="14" t="str">
        <f aca="false">IF(COUNTA(I205:L205)=0,"",SUMIFS('3 Hazed Questions'!$J$2:$J$23,'3 Hazed Questions'!$A$2:$A$23,"Q1",'3 Hazed Questions'!$C$2:$C$23,I205)+SUMIFS('3 Hazed Questions'!$J$2:$J$23,'3 Hazed Questions'!$A$2:$A$23,"Q2",'3 Hazed Questions'!$C$2:$C$23,J205)+SUMIFS('3 Hazed Questions'!$J$2:$J$23,'3 Hazed Questions'!$A$2:$A$23,"Q3",'3 Hazed Questions'!$C$2:$C$23,K205)+SUMIFS('3 Hazed Questions'!$J$2:$J$23,'3 Hazed Questions'!$A$2:$A$23,"Q4",'3 Hazed Questions'!$C$2:$C$23,L205))</f>
        <v/>
      </c>
      <c r="T205" s="14" t="str">
        <f aca="false">IF(COUNTA(I205:L205)=0,"",SUMIFS('3 Hazed Questions'!$K$2:$K$23,'3 Hazed Questions'!$A$2:$A$23,"Q1",'3 Hazed Questions'!$C$2:$C$23,I205)+SUMIFS('3 Hazed Questions'!$K$2:$K$23,'3 Hazed Questions'!$A$2:$A$23,"Q2",'3 Hazed Questions'!$C$2:$C$23,J205)+SUMIFS('3 Hazed Questions'!$K$2:$K$23,'3 Hazed Questions'!$A$2:$A$23,"Q3",'3 Hazed Questions'!$C$2:$C$23,K205)+SUMIFS('3 Hazed Questions'!$K$2:$K$23,'3 Hazed Questions'!$A$2:$A$23,"Q4",'3 Hazed Questions'!$C$2:$C$23,L205))</f>
        <v/>
      </c>
      <c r="U205" s="14" t="str">
        <f aca="false">IF(COUNTA(I205:L205)=0,"",SUMIFS('3 Hazed Questions'!$L$2:$L$23,'3 Hazed Questions'!$A$2:$A$23,"Q1",'3 Hazed Questions'!$C$2:$C$23,I205)+SUMIFS('3 Hazed Questions'!$L$2:$L$23,'3 Hazed Questions'!$A$2:$A$23,"Q2",'3 Hazed Questions'!$C$2:$C$23,J205)+SUMIFS('3 Hazed Questions'!$L$2:$L$23,'3 Hazed Questions'!$A$2:$A$23,"Q3",'3 Hazed Questions'!$C$2:$C$23,K205)+SUMIFS('3 Hazed Questions'!$L$2:$L$23,'3 Hazed Questions'!$A$2:$A$23,"Q4",'3 Hazed Questions'!$C$2:$C$23,L205))</f>
        <v/>
      </c>
      <c r="V205" s="14" t="str">
        <f aca="false">IF(COUNTA(I205:L205)=0,"",SUMIFS('3 Hazed Questions'!$M$2:$M$23,'3 Hazed Questions'!$A$2:$A$23,"Q1",'3 Hazed Questions'!$C$2:$C$23,I205)+SUMIFS('3 Hazed Questions'!$M$2:$M$23,'3 Hazed Questions'!$A$2:$A$23,"Q2",'3 Hazed Questions'!$C$2:$C$23,J205)+SUMIFS('3 Hazed Questions'!$M$2:$M$23,'3 Hazed Questions'!$A$2:$A$23,"Q3",'3 Hazed Questions'!$C$2:$C$23,K205)+SUMIFS('3 Hazed Questions'!$M$2:$M$23,'3 Hazed Questions'!$A$2:$A$23,"Q4",'3 Hazed Questions'!$C$2:$C$23,L205))</f>
        <v/>
      </c>
      <c r="W205" s="14" t="str">
        <f aca="false">IF(COUNTA(I205:L205)=0,"",SUMIFS('3 Hazed Questions'!$N$2:$N$23,'3 Hazed Questions'!$A$2:$A$23,"Q1",'3 Hazed Questions'!$C$2:$C$23,I205)+SUMIFS('3 Hazed Questions'!$N$2:$N$23,'3 Hazed Questions'!$A$2:$A$23,"Q2",'3 Hazed Questions'!$C$2:$C$23,J205)+SUMIFS('3 Hazed Questions'!$N$2:$N$23,'3 Hazed Questions'!$A$2:$A$23,"Q3",'3 Hazed Questions'!$C$2:$C$23,K205)+SUMIFS('3 Hazed Questions'!$N$2:$N$23,'3 Hazed Questions'!$A$2:$A$23,"Q4",'3 Hazed Questions'!$C$2:$C$23,L205))</f>
        <v/>
      </c>
      <c r="X205" s="14" t="str">
        <f aca="false">IF(COUNTA(I205:L205)=0,"",INDEX(Fields!$B$2:$B$50,MATCH(SUBSTITUTE(INDEX($N$1:$W$1,MATCH(MAX($N205:$W205),$N205:$W205,0)),"Score: ",""),Fields!$A$2:$A$50,0)))</f>
        <v/>
      </c>
      <c r="Y205" s="14" t="str">
        <f aca="true">IF(COUNTA(I205:L205)=0,"",IF(LARGE($N205:$W205,2)=0,"-",INDEX(Fields!$B$2:$B$50,MATCH(SUBSTITUTE(INDEX($N$1:$W$1,IF(LARGE($N205:$W205,2)=MAX($N205:$W205),MATCH(MAX($N205:$W205),OFFSET($N205:$W205,0,MATCH(MAX($N205:$W205),$N205:$W205,0),1,10-MATCH(MAX($N205:$W205),$N205:$W205,0)),0)+MATCH(MAX($N205:$W205),$N205:$W205,0),MATCH(LARGE($N205:$W205,2),$N205:$W205,0))),"Score: ",""),Fields!$A$2:$A$50,0))))</f>
        <v/>
      </c>
      <c r="Z205" s="14" t="str">
        <f aca="false">IF(M205="","",IFERROR(INDEX('3 Hazed Questions'!$O$2:$O$23,MATCH(1,INDEX(('3 Hazed Questions'!$A$2:$A$23="Q5")*('3 Hazed Questions'!$C$2:$C$23=M205),0),0))&amp;"",""))</f>
        <v/>
      </c>
      <c r="AA205" s="18"/>
      <c r="AB205" s="18"/>
      <c r="AC205" s="19"/>
      <c r="AD205" s="19"/>
      <c r="AE205" s="18"/>
      <c r="AF205" s="18"/>
      <c r="AG205" s="18"/>
    </row>
    <row r="206" customFormat="false" ht="15" hidden="false" customHeight="false" outlineLevel="0" collapsed="false">
      <c r="A206" s="18"/>
      <c r="B206" s="19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4" t="str">
        <f aca="false">IF(COUNTA(I206:L206)=0,"",SUMIFS('3 Hazed Questions'!$E$2:$E$23,'3 Hazed Questions'!$A$2:$A$23,"Q1",'3 Hazed Questions'!$C$2:$C$23,I206)+SUMIFS('3 Hazed Questions'!$E$2:$E$23,'3 Hazed Questions'!$A$2:$A$23,"Q2",'3 Hazed Questions'!$C$2:$C$23,J206)+SUMIFS('3 Hazed Questions'!$E$2:$E$23,'3 Hazed Questions'!$A$2:$A$23,"Q3",'3 Hazed Questions'!$C$2:$C$23,K206)+SUMIFS('3 Hazed Questions'!$E$2:$E$23,'3 Hazed Questions'!$A$2:$A$23,"Q4",'3 Hazed Questions'!$C$2:$C$23,L206))</f>
        <v/>
      </c>
      <c r="O206" s="14" t="str">
        <f aca="false">IF(COUNTA(I206:L206)=0,"",SUMIFS('3 Hazed Questions'!$F$2:$F$23,'3 Hazed Questions'!$A$2:$A$23,"Q1",'3 Hazed Questions'!$C$2:$C$23,I206)+SUMIFS('3 Hazed Questions'!$F$2:$F$23,'3 Hazed Questions'!$A$2:$A$23,"Q2",'3 Hazed Questions'!$C$2:$C$23,J206)+SUMIFS('3 Hazed Questions'!$F$2:$F$23,'3 Hazed Questions'!$A$2:$A$23,"Q3",'3 Hazed Questions'!$C$2:$C$23,K206)+SUMIFS('3 Hazed Questions'!$F$2:$F$23,'3 Hazed Questions'!$A$2:$A$23,"Q4",'3 Hazed Questions'!$C$2:$C$23,L206))</f>
        <v/>
      </c>
      <c r="P206" s="14" t="str">
        <f aca="false">IF(COUNTA(I206:L206)=0,"",SUMIFS('3 Hazed Questions'!$G$2:$G$23,'3 Hazed Questions'!$A$2:$A$23,"Q1",'3 Hazed Questions'!$C$2:$C$23,I206)+SUMIFS('3 Hazed Questions'!$G$2:$G$23,'3 Hazed Questions'!$A$2:$A$23,"Q2",'3 Hazed Questions'!$C$2:$C$23,J206)+SUMIFS('3 Hazed Questions'!$G$2:$G$23,'3 Hazed Questions'!$A$2:$A$23,"Q3",'3 Hazed Questions'!$C$2:$C$23,K206)+SUMIFS('3 Hazed Questions'!$G$2:$G$23,'3 Hazed Questions'!$A$2:$A$23,"Q4",'3 Hazed Questions'!$C$2:$C$23,L206))</f>
        <v/>
      </c>
      <c r="Q206" s="14" t="str">
        <f aca="false">IF(COUNTA(I206:L206)=0,"",SUMIFS('3 Hazed Questions'!$H$2:$H$23,'3 Hazed Questions'!$A$2:$A$23,"Q1",'3 Hazed Questions'!$C$2:$C$23,I206)+SUMIFS('3 Hazed Questions'!$H$2:$H$23,'3 Hazed Questions'!$A$2:$A$23,"Q2",'3 Hazed Questions'!$C$2:$C$23,J206)+SUMIFS('3 Hazed Questions'!$H$2:$H$23,'3 Hazed Questions'!$A$2:$A$23,"Q3",'3 Hazed Questions'!$C$2:$C$23,K206)+SUMIFS('3 Hazed Questions'!$H$2:$H$23,'3 Hazed Questions'!$A$2:$A$23,"Q4",'3 Hazed Questions'!$C$2:$C$23,L206))</f>
        <v/>
      </c>
      <c r="R206" s="14" t="str">
        <f aca="false">IF(COUNTA(I206:L206)=0,"",SUMIFS('3 Hazed Questions'!$I$2:$I$23,'3 Hazed Questions'!$A$2:$A$23,"Q1",'3 Hazed Questions'!$C$2:$C$23,I206)+SUMIFS('3 Hazed Questions'!$I$2:$I$23,'3 Hazed Questions'!$A$2:$A$23,"Q2",'3 Hazed Questions'!$C$2:$C$23,J206)+SUMIFS('3 Hazed Questions'!$I$2:$I$23,'3 Hazed Questions'!$A$2:$A$23,"Q3",'3 Hazed Questions'!$C$2:$C$23,K206)+SUMIFS('3 Hazed Questions'!$I$2:$I$23,'3 Hazed Questions'!$A$2:$A$23,"Q4",'3 Hazed Questions'!$C$2:$C$23,L206))</f>
        <v/>
      </c>
      <c r="S206" s="14" t="str">
        <f aca="false">IF(COUNTA(I206:L206)=0,"",SUMIFS('3 Hazed Questions'!$J$2:$J$23,'3 Hazed Questions'!$A$2:$A$23,"Q1",'3 Hazed Questions'!$C$2:$C$23,I206)+SUMIFS('3 Hazed Questions'!$J$2:$J$23,'3 Hazed Questions'!$A$2:$A$23,"Q2",'3 Hazed Questions'!$C$2:$C$23,J206)+SUMIFS('3 Hazed Questions'!$J$2:$J$23,'3 Hazed Questions'!$A$2:$A$23,"Q3",'3 Hazed Questions'!$C$2:$C$23,K206)+SUMIFS('3 Hazed Questions'!$J$2:$J$23,'3 Hazed Questions'!$A$2:$A$23,"Q4",'3 Hazed Questions'!$C$2:$C$23,L206))</f>
        <v/>
      </c>
      <c r="T206" s="14" t="str">
        <f aca="false">IF(COUNTA(I206:L206)=0,"",SUMIFS('3 Hazed Questions'!$K$2:$K$23,'3 Hazed Questions'!$A$2:$A$23,"Q1",'3 Hazed Questions'!$C$2:$C$23,I206)+SUMIFS('3 Hazed Questions'!$K$2:$K$23,'3 Hazed Questions'!$A$2:$A$23,"Q2",'3 Hazed Questions'!$C$2:$C$23,J206)+SUMIFS('3 Hazed Questions'!$K$2:$K$23,'3 Hazed Questions'!$A$2:$A$23,"Q3",'3 Hazed Questions'!$C$2:$C$23,K206)+SUMIFS('3 Hazed Questions'!$K$2:$K$23,'3 Hazed Questions'!$A$2:$A$23,"Q4",'3 Hazed Questions'!$C$2:$C$23,L206))</f>
        <v/>
      </c>
      <c r="U206" s="14" t="str">
        <f aca="false">IF(COUNTA(I206:L206)=0,"",SUMIFS('3 Hazed Questions'!$L$2:$L$23,'3 Hazed Questions'!$A$2:$A$23,"Q1",'3 Hazed Questions'!$C$2:$C$23,I206)+SUMIFS('3 Hazed Questions'!$L$2:$L$23,'3 Hazed Questions'!$A$2:$A$23,"Q2",'3 Hazed Questions'!$C$2:$C$23,J206)+SUMIFS('3 Hazed Questions'!$L$2:$L$23,'3 Hazed Questions'!$A$2:$A$23,"Q3",'3 Hazed Questions'!$C$2:$C$23,K206)+SUMIFS('3 Hazed Questions'!$L$2:$L$23,'3 Hazed Questions'!$A$2:$A$23,"Q4",'3 Hazed Questions'!$C$2:$C$23,L206))</f>
        <v/>
      </c>
      <c r="V206" s="14" t="str">
        <f aca="false">IF(COUNTA(I206:L206)=0,"",SUMIFS('3 Hazed Questions'!$M$2:$M$23,'3 Hazed Questions'!$A$2:$A$23,"Q1",'3 Hazed Questions'!$C$2:$C$23,I206)+SUMIFS('3 Hazed Questions'!$M$2:$M$23,'3 Hazed Questions'!$A$2:$A$23,"Q2",'3 Hazed Questions'!$C$2:$C$23,J206)+SUMIFS('3 Hazed Questions'!$M$2:$M$23,'3 Hazed Questions'!$A$2:$A$23,"Q3",'3 Hazed Questions'!$C$2:$C$23,K206)+SUMIFS('3 Hazed Questions'!$M$2:$M$23,'3 Hazed Questions'!$A$2:$A$23,"Q4",'3 Hazed Questions'!$C$2:$C$23,L206))</f>
        <v/>
      </c>
      <c r="W206" s="14" t="str">
        <f aca="false">IF(COUNTA(I206:L206)=0,"",SUMIFS('3 Hazed Questions'!$N$2:$N$23,'3 Hazed Questions'!$A$2:$A$23,"Q1",'3 Hazed Questions'!$C$2:$C$23,I206)+SUMIFS('3 Hazed Questions'!$N$2:$N$23,'3 Hazed Questions'!$A$2:$A$23,"Q2",'3 Hazed Questions'!$C$2:$C$23,J206)+SUMIFS('3 Hazed Questions'!$N$2:$N$23,'3 Hazed Questions'!$A$2:$A$23,"Q3",'3 Hazed Questions'!$C$2:$C$23,K206)+SUMIFS('3 Hazed Questions'!$N$2:$N$23,'3 Hazed Questions'!$A$2:$A$23,"Q4",'3 Hazed Questions'!$C$2:$C$23,L206))</f>
        <v/>
      </c>
      <c r="X206" s="14" t="str">
        <f aca="false">IF(COUNTA(I206:L206)=0,"",INDEX(Fields!$B$2:$B$50,MATCH(SUBSTITUTE(INDEX($N$1:$W$1,MATCH(MAX($N206:$W206),$N206:$W206,0)),"Score: ",""),Fields!$A$2:$A$50,0)))</f>
        <v/>
      </c>
      <c r="Y206" s="14" t="str">
        <f aca="true">IF(COUNTA(I206:L206)=0,"",IF(LARGE($N206:$W206,2)=0,"-",INDEX(Fields!$B$2:$B$50,MATCH(SUBSTITUTE(INDEX($N$1:$W$1,IF(LARGE($N206:$W206,2)=MAX($N206:$W206),MATCH(MAX($N206:$W206),OFFSET($N206:$W206,0,MATCH(MAX($N206:$W206),$N206:$W206,0),1,10-MATCH(MAX($N206:$W206),$N206:$W206,0)),0)+MATCH(MAX($N206:$W206),$N206:$W206,0),MATCH(LARGE($N206:$W206,2),$N206:$W206,0))),"Score: ",""),Fields!$A$2:$A$50,0))))</f>
        <v/>
      </c>
      <c r="Z206" s="14" t="str">
        <f aca="false">IF(M206="","",IFERROR(INDEX('3 Hazed Questions'!$O$2:$O$23,MATCH(1,INDEX(('3 Hazed Questions'!$A$2:$A$23="Q5")*('3 Hazed Questions'!$C$2:$C$23=M206),0),0))&amp;"",""))</f>
        <v/>
      </c>
      <c r="AA206" s="18"/>
      <c r="AB206" s="18"/>
      <c r="AC206" s="19"/>
      <c r="AD206" s="19"/>
      <c r="AE206" s="18"/>
      <c r="AF206" s="18"/>
      <c r="AG206" s="18"/>
    </row>
    <row r="207" customFormat="false" ht="15" hidden="false" customHeight="false" outlineLevel="0" collapsed="false">
      <c r="A207" s="18"/>
      <c r="B207" s="19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4" t="str">
        <f aca="false">IF(COUNTA(I207:L207)=0,"",SUMIFS('3 Hazed Questions'!$E$2:$E$23,'3 Hazed Questions'!$A$2:$A$23,"Q1",'3 Hazed Questions'!$C$2:$C$23,I207)+SUMIFS('3 Hazed Questions'!$E$2:$E$23,'3 Hazed Questions'!$A$2:$A$23,"Q2",'3 Hazed Questions'!$C$2:$C$23,J207)+SUMIFS('3 Hazed Questions'!$E$2:$E$23,'3 Hazed Questions'!$A$2:$A$23,"Q3",'3 Hazed Questions'!$C$2:$C$23,K207)+SUMIFS('3 Hazed Questions'!$E$2:$E$23,'3 Hazed Questions'!$A$2:$A$23,"Q4",'3 Hazed Questions'!$C$2:$C$23,L207))</f>
        <v/>
      </c>
      <c r="O207" s="14" t="str">
        <f aca="false">IF(COUNTA(I207:L207)=0,"",SUMIFS('3 Hazed Questions'!$F$2:$F$23,'3 Hazed Questions'!$A$2:$A$23,"Q1",'3 Hazed Questions'!$C$2:$C$23,I207)+SUMIFS('3 Hazed Questions'!$F$2:$F$23,'3 Hazed Questions'!$A$2:$A$23,"Q2",'3 Hazed Questions'!$C$2:$C$23,J207)+SUMIFS('3 Hazed Questions'!$F$2:$F$23,'3 Hazed Questions'!$A$2:$A$23,"Q3",'3 Hazed Questions'!$C$2:$C$23,K207)+SUMIFS('3 Hazed Questions'!$F$2:$F$23,'3 Hazed Questions'!$A$2:$A$23,"Q4",'3 Hazed Questions'!$C$2:$C$23,L207))</f>
        <v/>
      </c>
      <c r="P207" s="14" t="str">
        <f aca="false">IF(COUNTA(I207:L207)=0,"",SUMIFS('3 Hazed Questions'!$G$2:$G$23,'3 Hazed Questions'!$A$2:$A$23,"Q1",'3 Hazed Questions'!$C$2:$C$23,I207)+SUMIFS('3 Hazed Questions'!$G$2:$G$23,'3 Hazed Questions'!$A$2:$A$23,"Q2",'3 Hazed Questions'!$C$2:$C$23,J207)+SUMIFS('3 Hazed Questions'!$G$2:$G$23,'3 Hazed Questions'!$A$2:$A$23,"Q3",'3 Hazed Questions'!$C$2:$C$23,K207)+SUMIFS('3 Hazed Questions'!$G$2:$G$23,'3 Hazed Questions'!$A$2:$A$23,"Q4",'3 Hazed Questions'!$C$2:$C$23,L207))</f>
        <v/>
      </c>
      <c r="Q207" s="14" t="str">
        <f aca="false">IF(COUNTA(I207:L207)=0,"",SUMIFS('3 Hazed Questions'!$H$2:$H$23,'3 Hazed Questions'!$A$2:$A$23,"Q1",'3 Hazed Questions'!$C$2:$C$23,I207)+SUMIFS('3 Hazed Questions'!$H$2:$H$23,'3 Hazed Questions'!$A$2:$A$23,"Q2",'3 Hazed Questions'!$C$2:$C$23,J207)+SUMIFS('3 Hazed Questions'!$H$2:$H$23,'3 Hazed Questions'!$A$2:$A$23,"Q3",'3 Hazed Questions'!$C$2:$C$23,K207)+SUMIFS('3 Hazed Questions'!$H$2:$H$23,'3 Hazed Questions'!$A$2:$A$23,"Q4",'3 Hazed Questions'!$C$2:$C$23,L207))</f>
        <v/>
      </c>
      <c r="R207" s="14" t="str">
        <f aca="false">IF(COUNTA(I207:L207)=0,"",SUMIFS('3 Hazed Questions'!$I$2:$I$23,'3 Hazed Questions'!$A$2:$A$23,"Q1",'3 Hazed Questions'!$C$2:$C$23,I207)+SUMIFS('3 Hazed Questions'!$I$2:$I$23,'3 Hazed Questions'!$A$2:$A$23,"Q2",'3 Hazed Questions'!$C$2:$C$23,J207)+SUMIFS('3 Hazed Questions'!$I$2:$I$23,'3 Hazed Questions'!$A$2:$A$23,"Q3",'3 Hazed Questions'!$C$2:$C$23,K207)+SUMIFS('3 Hazed Questions'!$I$2:$I$23,'3 Hazed Questions'!$A$2:$A$23,"Q4",'3 Hazed Questions'!$C$2:$C$23,L207))</f>
        <v/>
      </c>
      <c r="S207" s="14" t="str">
        <f aca="false">IF(COUNTA(I207:L207)=0,"",SUMIFS('3 Hazed Questions'!$J$2:$J$23,'3 Hazed Questions'!$A$2:$A$23,"Q1",'3 Hazed Questions'!$C$2:$C$23,I207)+SUMIFS('3 Hazed Questions'!$J$2:$J$23,'3 Hazed Questions'!$A$2:$A$23,"Q2",'3 Hazed Questions'!$C$2:$C$23,J207)+SUMIFS('3 Hazed Questions'!$J$2:$J$23,'3 Hazed Questions'!$A$2:$A$23,"Q3",'3 Hazed Questions'!$C$2:$C$23,K207)+SUMIFS('3 Hazed Questions'!$J$2:$J$23,'3 Hazed Questions'!$A$2:$A$23,"Q4",'3 Hazed Questions'!$C$2:$C$23,L207))</f>
        <v/>
      </c>
      <c r="T207" s="14" t="str">
        <f aca="false">IF(COUNTA(I207:L207)=0,"",SUMIFS('3 Hazed Questions'!$K$2:$K$23,'3 Hazed Questions'!$A$2:$A$23,"Q1",'3 Hazed Questions'!$C$2:$C$23,I207)+SUMIFS('3 Hazed Questions'!$K$2:$K$23,'3 Hazed Questions'!$A$2:$A$23,"Q2",'3 Hazed Questions'!$C$2:$C$23,J207)+SUMIFS('3 Hazed Questions'!$K$2:$K$23,'3 Hazed Questions'!$A$2:$A$23,"Q3",'3 Hazed Questions'!$C$2:$C$23,K207)+SUMIFS('3 Hazed Questions'!$K$2:$K$23,'3 Hazed Questions'!$A$2:$A$23,"Q4",'3 Hazed Questions'!$C$2:$C$23,L207))</f>
        <v/>
      </c>
      <c r="U207" s="14" t="str">
        <f aca="false">IF(COUNTA(I207:L207)=0,"",SUMIFS('3 Hazed Questions'!$L$2:$L$23,'3 Hazed Questions'!$A$2:$A$23,"Q1",'3 Hazed Questions'!$C$2:$C$23,I207)+SUMIFS('3 Hazed Questions'!$L$2:$L$23,'3 Hazed Questions'!$A$2:$A$23,"Q2",'3 Hazed Questions'!$C$2:$C$23,J207)+SUMIFS('3 Hazed Questions'!$L$2:$L$23,'3 Hazed Questions'!$A$2:$A$23,"Q3",'3 Hazed Questions'!$C$2:$C$23,K207)+SUMIFS('3 Hazed Questions'!$L$2:$L$23,'3 Hazed Questions'!$A$2:$A$23,"Q4",'3 Hazed Questions'!$C$2:$C$23,L207))</f>
        <v/>
      </c>
      <c r="V207" s="14" t="str">
        <f aca="false">IF(COUNTA(I207:L207)=0,"",SUMIFS('3 Hazed Questions'!$M$2:$M$23,'3 Hazed Questions'!$A$2:$A$23,"Q1",'3 Hazed Questions'!$C$2:$C$23,I207)+SUMIFS('3 Hazed Questions'!$M$2:$M$23,'3 Hazed Questions'!$A$2:$A$23,"Q2",'3 Hazed Questions'!$C$2:$C$23,J207)+SUMIFS('3 Hazed Questions'!$M$2:$M$23,'3 Hazed Questions'!$A$2:$A$23,"Q3",'3 Hazed Questions'!$C$2:$C$23,K207)+SUMIFS('3 Hazed Questions'!$M$2:$M$23,'3 Hazed Questions'!$A$2:$A$23,"Q4",'3 Hazed Questions'!$C$2:$C$23,L207))</f>
        <v/>
      </c>
      <c r="W207" s="14" t="str">
        <f aca="false">IF(COUNTA(I207:L207)=0,"",SUMIFS('3 Hazed Questions'!$N$2:$N$23,'3 Hazed Questions'!$A$2:$A$23,"Q1",'3 Hazed Questions'!$C$2:$C$23,I207)+SUMIFS('3 Hazed Questions'!$N$2:$N$23,'3 Hazed Questions'!$A$2:$A$23,"Q2",'3 Hazed Questions'!$C$2:$C$23,J207)+SUMIFS('3 Hazed Questions'!$N$2:$N$23,'3 Hazed Questions'!$A$2:$A$23,"Q3",'3 Hazed Questions'!$C$2:$C$23,K207)+SUMIFS('3 Hazed Questions'!$N$2:$N$23,'3 Hazed Questions'!$A$2:$A$23,"Q4",'3 Hazed Questions'!$C$2:$C$23,L207))</f>
        <v/>
      </c>
      <c r="X207" s="14" t="str">
        <f aca="false">IF(COUNTA(I207:L207)=0,"",INDEX(Fields!$B$2:$B$50,MATCH(SUBSTITUTE(INDEX($N$1:$W$1,MATCH(MAX($N207:$W207),$N207:$W207,0)),"Score: ",""),Fields!$A$2:$A$50,0)))</f>
        <v/>
      </c>
      <c r="Y207" s="14" t="str">
        <f aca="true">IF(COUNTA(I207:L207)=0,"",IF(LARGE($N207:$W207,2)=0,"-",INDEX(Fields!$B$2:$B$50,MATCH(SUBSTITUTE(INDEX($N$1:$W$1,IF(LARGE($N207:$W207,2)=MAX($N207:$W207),MATCH(MAX($N207:$W207),OFFSET($N207:$W207,0,MATCH(MAX($N207:$W207),$N207:$W207,0),1,10-MATCH(MAX($N207:$W207),$N207:$W207,0)),0)+MATCH(MAX($N207:$W207),$N207:$W207,0),MATCH(LARGE($N207:$W207,2),$N207:$W207,0))),"Score: ",""),Fields!$A$2:$A$50,0))))</f>
        <v/>
      </c>
      <c r="Z207" s="14" t="str">
        <f aca="false">IF(M207="","",IFERROR(INDEX('3 Hazed Questions'!$O$2:$O$23,MATCH(1,INDEX(('3 Hazed Questions'!$A$2:$A$23="Q5")*('3 Hazed Questions'!$C$2:$C$23=M207),0),0))&amp;"",""))</f>
        <v/>
      </c>
      <c r="AA207" s="18"/>
      <c r="AB207" s="18"/>
      <c r="AC207" s="19"/>
      <c r="AD207" s="19"/>
      <c r="AE207" s="18"/>
      <c r="AF207" s="18"/>
      <c r="AG207" s="18"/>
    </row>
    <row r="208" customFormat="false" ht="15" hidden="false" customHeight="false" outlineLevel="0" collapsed="false">
      <c r="A208" s="18"/>
      <c r="B208" s="19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4" t="str">
        <f aca="false">IF(COUNTA(I208:L208)=0,"",SUMIFS('3 Hazed Questions'!$E$2:$E$23,'3 Hazed Questions'!$A$2:$A$23,"Q1",'3 Hazed Questions'!$C$2:$C$23,I208)+SUMIFS('3 Hazed Questions'!$E$2:$E$23,'3 Hazed Questions'!$A$2:$A$23,"Q2",'3 Hazed Questions'!$C$2:$C$23,J208)+SUMIFS('3 Hazed Questions'!$E$2:$E$23,'3 Hazed Questions'!$A$2:$A$23,"Q3",'3 Hazed Questions'!$C$2:$C$23,K208)+SUMIFS('3 Hazed Questions'!$E$2:$E$23,'3 Hazed Questions'!$A$2:$A$23,"Q4",'3 Hazed Questions'!$C$2:$C$23,L208))</f>
        <v/>
      </c>
      <c r="O208" s="14" t="str">
        <f aca="false">IF(COUNTA(I208:L208)=0,"",SUMIFS('3 Hazed Questions'!$F$2:$F$23,'3 Hazed Questions'!$A$2:$A$23,"Q1",'3 Hazed Questions'!$C$2:$C$23,I208)+SUMIFS('3 Hazed Questions'!$F$2:$F$23,'3 Hazed Questions'!$A$2:$A$23,"Q2",'3 Hazed Questions'!$C$2:$C$23,J208)+SUMIFS('3 Hazed Questions'!$F$2:$F$23,'3 Hazed Questions'!$A$2:$A$23,"Q3",'3 Hazed Questions'!$C$2:$C$23,K208)+SUMIFS('3 Hazed Questions'!$F$2:$F$23,'3 Hazed Questions'!$A$2:$A$23,"Q4",'3 Hazed Questions'!$C$2:$C$23,L208))</f>
        <v/>
      </c>
      <c r="P208" s="14" t="str">
        <f aca="false">IF(COUNTA(I208:L208)=0,"",SUMIFS('3 Hazed Questions'!$G$2:$G$23,'3 Hazed Questions'!$A$2:$A$23,"Q1",'3 Hazed Questions'!$C$2:$C$23,I208)+SUMIFS('3 Hazed Questions'!$G$2:$G$23,'3 Hazed Questions'!$A$2:$A$23,"Q2",'3 Hazed Questions'!$C$2:$C$23,J208)+SUMIFS('3 Hazed Questions'!$G$2:$G$23,'3 Hazed Questions'!$A$2:$A$23,"Q3",'3 Hazed Questions'!$C$2:$C$23,K208)+SUMIFS('3 Hazed Questions'!$G$2:$G$23,'3 Hazed Questions'!$A$2:$A$23,"Q4",'3 Hazed Questions'!$C$2:$C$23,L208))</f>
        <v/>
      </c>
      <c r="Q208" s="14" t="str">
        <f aca="false">IF(COUNTA(I208:L208)=0,"",SUMIFS('3 Hazed Questions'!$H$2:$H$23,'3 Hazed Questions'!$A$2:$A$23,"Q1",'3 Hazed Questions'!$C$2:$C$23,I208)+SUMIFS('3 Hazed Questions'!$H$2:$H$23,'3 Hazed Questions'!$A$2:$A$23,"Q2",'3 Hazed Questions'!$C$2:$C$23,J208)+SUMIFS('3 Hazed Questions'!$H$2:$H$23,'3 Hazed Questions'!$A$2:$A$23,"Q3",'3 Hazed Questions'!$C$2:$C$23,K208)+SUMIFS('3 Hazed Questions'!$H$2:$H$23,'3 Hazed Questions'!$A$2:$A$23,"Q4",'3 Hazed Questions'!$C$2:$C$23,L208))</f>
        <v/>
      </c>
      <c r="R208" s="14" t="str">
        <f aca="false">IF(COUNTA(I208:L208)=0,"",SUMIFS('3 Hazed Questions'!$I$2:$I$23,'3 Hazed Questions'!$A$2:$A$23,"Q1",'3 Hazed Questions'!$C$2:$C$23,I208)+SUMIFS('3 Hazed Questions'!$I$2:$I$23,'3 Hazed Questions'!$A$2:$A$23,"Q2",'3 Hazed Questions'!$C$2:$C$23,J208)+SUMIFS('3 Hazed Questions'!$I$2:$I$23,'3 Hazed Questions'!$A$2:$A$23,"Q3",'3 Hazed Questions'!$C$2:$C$23,K208)+SUMIFS('3 Hazed Questions'!$I$2:$I$23,'3 Hazed Questions'!$A$2:$A$23,"Q4",'3 Hazed Questions'!$C$2:$C$23,L208))</f>
        <v/>
      </c>
      <c r="S208" s="14" t="str">
        <f aca="false">IF(COUNTA(I208:L208)=0,"",SUMIFS('3 Hazed Questions'!$J$2:$J$23,'3 Hazed Questions'!$A$2:$A$23,"Q1",'3 Hazed Questions'!$C$2:$C$23,I208)+SUMIFS('3 Hazed Questions'!$J$2:$J$23,'3 Hazed Questions'!$A$2:$A$23,"Q2",'3 Hazed Questions'!$C$2:$C$23,J208)+SUMIFS('3 Hazed Questions'!$J$2:$J$23,'3 Hazed Questions'!$A$2:$A$23,"Q3",'3 Hazed Questions'!$C$2:$C$23,K208)+SUMIFS('3 Hazed Questions'!$J$2:$J$23,'3 Hazed Questions'!$A$2:$A$23,"Q4",'3 Hazed Questions'!$C$2:$C$23,L208))</f>
        <v/>
      </c>
      <c r="T208" s="14" t="str">
        <f aca="false">IF(COUNTA(I208:L208)=0,"",SUMIFS('3 Hazed Questions'!$K$2:$K$23,'3 Hazed Questions'!$A$2:$A$23,"Q1",'3 Hazed Questions'!$C$2:$C$23,I208)+SUMIFS('3 Hazed Questions'!$K$2:$K$23,'3 Hazed Questions'!$A$2:$A$23,"Q2",'3 Hazed Questions'!$C$2:$C$23,J208)+SUMIFS('3 Hazed Questions'!$K$2:$K$23,'3 Hazed Questions'!$A$2:$A$23,"Q3",'3 Hazed Questions'!$C$2:$C$23,K208)+SUMIFS('3 Hazed Questions'!$K$2:$K$23,'3 Hazed Questions'!$A$2:$A$23,"Q4",'3 Hazed Questions'!$C$2:$C$23,L208))</f>
        <v/>
      </c>
      <c r="U208" s="14" t="str">
        <f aca="false">IF(COUNTA(I208:L208)=0,"",SUMIFS('3 Hazed Questions'!$L$2:$L$23,'3 Hazed Questions'!$A$2:$A$23,"Q1",'3 Hazed Questions'!$C$2:$C$23,I208)+SUMIFS('3 Hazed Questions'!$L$2:$L$23,'3 Hazed Questions'!$A$2:$A$23,"Q2",'3 Hazed Questions'!$C$2:$C$23,J208)+SUMIFS('3 Hazed Questions'!$L$2:$L$23,'3 Hazed Questions'!$A$2:$A$23,"Q3",'3 Hazed Questions'!$C$2:$C$23,K208)+SUMIFS('3 Hazed Questions'!$L$2:$L$23,'3 Hazed Questions'!$A$2:$A$23,"Q4",'3 Hazed Questions'!$C$2:$C$23,L208))</f>
        <v/>
      </c>
      <c r="V208" s="14" t="str">
        <f aca="false">IF(COUNTA(I208:L208)=0,"",SUMIFS('3 Hazed Questions'!$M$2:$M$23,'3 Hazed Questions'!$A$2:$A$23,"Q1",'3 Hazed Questions'!$C$2:$C$23,I208)+SUMIFS('3 Hazed Questions'!$M$2:$M$23,'3 Hazed Questions'!$A$2:$A$23,"Q2",'3 Hazed Questions'!$C$2:$C$23,J208)+SUMIFS('3 Hazed Questions'!$M$2:$M$23,'3 Hazed Questions'!$A$2:$A$23,"Q3",'3 Hazed Questions'!$C$2:$C$23,K208)+SUMIFS('3 Hazed Questions'!$M$2:$M$23,'3 Hazed Questions'!$A$2:$A$23,"Q4",'3 Hazed Questions'!$C$2:$C$23,L208))</f>
        <v/>
      </c>
      <c r="W208" s="14" t="str">
        <f aca="false">IF(COUNTA(I208:L208)=0,"",SUMIFS('3 Hazed Questions'!$N$2:$N$23,'3 Hazed Questions'!$A$2:$A$23,"Q1",'3 Hazed Questions'!$C$2:$C$23,I208)+SUMIFS('3 Hazed Questions'!$N$2:$N$23,'3 Hazed Questions'!$A$2:$A$23,"Q2",'3 Hazed Questions'!$C$2:$C$23,J208)+SUMIFS('3 Hazed Questions'!$N$2:$N$23,'3 Hazed Questions'!$A$2:$A$23,"Q3",'3 Hazed Questions'!$C$2:$C$23,K208)+SUMIFS('3 Hazed Questions'!$N$2:$N$23,'3 Hazed Questions'!$A$2:$A$23,"Q4",'3 Hazed Questions'!$C$2:$C$23,L208))</f>
        <v/>
      </c>
      <c r="X208" s="14" t="str">
        <f aca="false">IF(COUNTA(I208:L208)=0,"",INDEX(Fields!$B$2:$B$50,MATCH(SUBSTITUTE(INDEX($N$1:$W$1,MATCH(MAX($N208:$W208),$N208:$W208,0)),"Score: ",""),Fields!$A$2:$A$50,0)))</f>
        <v/>
      </c>
      <c r="Y208" s="14" t="str">
        <f aca="true">IF(COUNTA(I208:L208)=0,"",IF(LARGE($N208:$W208,2)=0,"-",INDEX(Fields!$B$2:$B$50,MATCH(SUBSTITUTE(INDEX($N$1:$W$1,IF(LARGE($N208:$W208,2)=MAX($N208:$W208),MATCH(MAX($N208:$W208),OFFSET($N208:$W208,0,MATCH(MAX($N208:$W208),$N208:$W208,0),1,10-MATCH(MAX($N208:$W208),$N208:$W208,0)),0)+MATCH(MAX($N208:$W208),$N208:$W208,0),MATCH(LARGE($N208:$W208,2),$N208:$W208,0))),"Score: ",""),Fields!$A$2:$A$50,0))))</f>
        <v/>
      </c>
      <c r="Z208" s="14" t="str">
        <f aca="false">IF(M208="","",IFERROR(INDEX('3 Hazed Questions'!$O$2:$O$23,MATCH(1,INDEX(('3 Hazed Questions'!$A$2:$A$23="Q5")*('3 Hazed Questions'!$C$2:$C$23=M208),0),0))&amp;"",""))</f>
        <v/>
      </c>
      <c r="AA208" s="18"/>
      <c r="AB208" s="18"/>
      <c r="AC208" s="19"/>
      <c r="AD208" s="19"/>
      <c r="AE208" s="18"/>
      <c r="AF208" s="18"/>
      <c r="AG208" s="18"/>
    </row>
    <row r="209" customFormat="false" ht="15" hidden="false" customHeight="false" outlineLevel="0" collapsed="false">
      <c r="A209" s="18"/>
      <c r="B209" s="19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4" t="str">
        <f aca="false">IF(COUNTA(I209:L209)=0,"",SUMIFS('3 Hazed Questions'!$E$2:$E$23,'3 Hazed Questions'!$A$2:$A$23,"Q1",'3 Hazed Questions'!$C$2:$C$23,I209)+SUMIFS('3 Hazed Questions'!$E$2:$E$23,'3 Hazed Questions'!$A$2:$A$23,"Q2",'3 Hazed Questions'!$C$2:$C$23,J209)+SUMIFS('3 Hazed Questions'!$E$2:$E$23,'3 Hazed Questions'!$A$2:$A$23,"Q3",'3 Hazed Questions'!$C$2:$C$23,K209)+SUMIFS('3 Hazed Questions'!$E$2:$E$23,'3 Hazed Questions'!$A$2:$A$23,"Q4",'3 Hazed Questions'!$C$2:$C$23,L209))</f>
        <v/>
      </c>
      <c r="O209" s="14" t="str">
        <f aca="false">IF(COUNTA(I209:L209)=0,"",SUMIFS('3 Hazed Questions'!$F$2:$F$23,'3 Hazed Questions'!$A$2:$A$23,"Q1",'3 Hazed Questions'!$C$2:$C$23,I209)+SUMIFS('3 Hazed Questions'!$F$2:$F$23,'3 Hazed Questions'!$A$2:$A$23,"Q2",'3 Hazed Questions'!$C$2:$C$23,J209)+SUMIFS('3 Hazed Questions'!$F$2:$F$23,'3 Hazed Questions'!$A$2:$A$23,"Q3",'3 Hazed Questions'!$C$2:$C$23,K209)+SUMIFS('3 Hazed Questions'!$F$2:$F$23,'3 Hazed Questions'!$A$2:$A$23,"Q4",'3 Hazed Questions'!$C$2:$C$23,L209))</f>
        <v/>
      </c>
      <c r="P209" s="14" t="str">
        <f aca="false">IF(COUNTA(I209:L209)=0,"",SUMIFS('3 Hazed Questions'!$G$2:$G$23,'3 Hazed Questions'!$A$2:$A$23,"Q1",'3 Hazed Questions'!$C$2:$C$23,I209)+SUMIFS('3 Hazed Questions'!$G$2:$G$23,'3 Hazed Questions'!$A$2:$A$23,"Q2",'3 Hazed Questions'!$C$2:$C$23,J209)+SUMIFS('3 Hazed Questions'!$G$2:$G$23,'3 Hazed Questions'!$A$2:$A$23,"Q3",'3 Hazed Questions'!$C$2:$C$23,K209)+SUMIFS('3 Hazed Questions'!$G$2:$G$23,'3 Hazed Questions'!$A$2:$A$23,"Q4",'3 Hazed Questions'!$C$2:$C$23,L209))</f>
        <v/>
      </c>
      <c r="Q209" s="14" t="str">
        <f aca="false">IF(COUNTA(I209:L209)=0,"",SUMIFS('3 Hazed Questions'!$H$2:$H$23,'3 Hazed Questions'!$A$2:$A$23,"Q1",'3 Hazed Questions'!$C$2:$C$23,I209)+SUMIFS('3 Hazed Questions'!$H$2:$H$23,'3 Hazed Questions'!$A$2:$A$23,"Q2",'3 Hazed Questions'!$C$2:$C$23,J209)+SUMIFS('3 Hazed Questions'!$H$2:$H$23,'3 Hazed Questions'!$A$2:$A$23,"Q3",'3 Hazed Questions'!$C$2:$C$23,K209)+SUMIFS('3 Hazed Questions'!$H$2:$H$23,'3 Hazed Questions'!$A$2:$A$23,"Q4",'3 Hazed Questions'!$C$2:$C$23,L209))</f>
        <v/>
      </c>
      <c r="R209" s="14" t="str">
        <f aca="false">IF(COUNTA(I209:L209)=0,"",SUMIFS('3 Hazed Questions'!$I$2:$I$23,'3 Hazed Questions'!$A$2:$A$23,"Q1",'3 Hazed Questions'!$C$2:$C$23,I209)+SUMIFS('3 Hazed Questions'!$I$2:$I$23,'3 Hazed Questions'!$A$2:$A$23,"Q2",'3 Hazed Questions'!$C$2:$C$23,J209)+SUMIFS('3 Hazed Questions'!$I$2:$I$23,'3 Hazed Questions'!$A$2:$A$23,"Q3",'3 Hazed Questions'!$C$2:$C$23,K209)+SUMIFS('3 Hazed Questions'!$I$2:$I$23,'3 Hazed Questions'!$A$2:$A$23,"Q4",'3 Hazed Questions'!$C$2:$C$23,L209))</f>
        <v/>
      </c>
      <c r="S209" s="14" t="str">
        <f aca="false">IF(COUNTA(I209:L209)=0,"",SUMIFS('3 Hazed Questions'!$J$2:$J$23,'3 Hazed Questions'!$A$2:$A$23,"Q1",'3 Hazed Questions'!$C$2:$C$23,I209)+SUMIFS('3 Hazed Questions'!$J$2:$J$23,'3 Hazed Questions'!$A$2:$A$23,"Q2",'3 Hazed Questions'!$C$2:$C$23,J209)+SUMIFS('3 Hazed Questions'!$J$2:$J$23,'3 Hazed Questions'!$A$2:$A$23,"Q3",'3 Hazed Questions'!$C$2:$C$23,K209)+SUMIFS('3 Hazed Questions'!$J$2:$J$23,'3 Hazed Questions'!$A$2:$A$23,"Q4",'3 Hazed Questions'!$C$2:$C$23,L209))</f>
        <v/>
      </c>
      <c r="T209" s="14" t="str">
        <f aca="false">IF(COUNTA(I209:L209)=0,"",SUMIFS('3 Hazed Questions'!$K$2:$K$23,'3 Hazed Questions'!$A$2:$A$23,"Q1",'3 Hazed Questions'!$C$2:$C$23,I209)+SUMIFS('3 Hazed Questions'!$K$2:$K$23,'3 Hazed Questions'!$A$2:$A$23,"Q2",'3 Hazed Questions'!$C$2:$C$23,J209)+SUMIFS('3 Hazed Questions'!$K$2:$K$23,'3 Hazed Questions'!$A$2:$A$23,"Q3",'3 Hazed Questions'!$C$2:$C$23,K209)+SUMIFS('3 Hazed Questions'!$K$2:$K$23,'3 Hazed Questions'!$A$2:$A$23,"Q4",'3 Hazed Questions'!$C$2:$C$23,L209))</f>
        <v/>
      </c>
      <c r="U209" s="14" t="str">
        <f aca="false">IF(COUNTA(I209:L209)=0,"",SUMIFS('3 Hazed Questions'!$L$2:$L$23,'3 Hazed Questions'!$A$2:$A$23,"Q1",'3 Hazed Questions'!$C$2:$C$23,I209)+SUMIFS('3 Hazed Questions'!$L$2:$L$23,'3 Hazed Questions'!$A$2:$A$23,"Q2",'3 Hazed Questions'!$C$2:$C$23,J209)+SUMIFS('3 Hazed Questions'!$L$2:$L$23,'3 Hazed Questions'!$A$2:$A$23,"Q3",'3 Hazed Questions'!$C$2:$C$23,K209)+SUMIFS('3 Hazed Questions'!$L$2:$L$23,'3 Hazed Questions'!$A$2:$A$23,"Q4",'3 Hazed Questions'!$C$2:$C$23,L209))</f>
        <v/>
      </c>
      <c r="V209" s="14" t="str">
        <f aca="false">IF(COUNTA(I209:L209)=0,"",SUMIFS('3 Hazed Questions'!$M$2:$M$23,'3 Hazed Questions'!$A$2:$A$23,"Q1",'3 Hazed Questions'!$C$2:$C$23,I209)+SUMIFS('3 Hazed Questions'!$M$2:$M$23,'3 Hazed Questions'!$A$2:$A$23,"Q2",'3 Hazed Questions'!$C$2:$C$23,J209)+SUMIFS('3 Hazed Questions'!$M$2:$M$23,'3 Hazed Questions'!$A$2:$A$23,"Q3",'3 Hazed Questions'!$C$2:$C$23,K209)+SUMIFS('3 Hazed Questions'!$M$2:$M$23,'3 Hazed Questions'!$A$2:$A$23,"Q4",'3 Hazed Questions'!$C$2:$C$23,L209))</f>
        <v/>
      </c>
      <c r="W209" s="14" t="str">
        <f aca="false">IF(COUNTA(I209:L209)=0,"",SUMIFS('3 Hazed Questions'!$N$2:$N$23,'3 Hazed Questions'!$A$2:$A$23,"Q1",'3 Hazed Questions'!$C$2:$C$23,I209)+SUMIFS('3 Hazed Questions'!$N$2:$N$23,'3 Hazed Questions'!$A$2:$A$23,"Q2",'3 Hazed Questions'!$C$2:$C$23,J209)+SUMIFS('3 Hazed Questions'!$N$2:$N$23,'3 Hazed Questions'!$A$2:$A$23,"Q3",'3 Hazed Questions'!$C$2:$C$23,K209)+SUMIFS('3 Hazed Questions'!$N$2:$N$23,'3 Hazed Questions'!$A$2:$A$23,"Q4",'3 Hazed Questions'!$C$2:$C$23,L209))</f>
        <v/>
      </c>
      <c r="X209" s="14" t="str">
        <f aca="false">IF(COUNTA(I209:L209)=0,"",INDEX(Fields!$B$2:$B$50,MATCH(SUBSTITUTE(INDEX($N$1:$W$1,MATCH(MAX($N209:$W209),$N209:$W209,0)),"Score: ",""),Fields!$A$2:$A$50,0)))</f>
        <v/>
      </c>
      <c r="Y209" s="14" t="str">
        <f aca="true">IF(COUNTA(I209:L209)=0,"",IF(LARGE($N209:$W209,2)=0,"-",INDEX(Fields!$B$2:$B$50,MATCH(SUBSTITUTE(INDEX($N$1:$W$1,IF(LARGE($N209:$W209,2)=MAX($N209:$W209),MATCH(MAX($N209:$W209),OFFSET($N209:$W209,0,MATCH(MAX($N209:$W209),$N209:$W209,0),1,10-MATCH(MAX($N209:$W209),$N209:$W209,0)),0)+MATCH(MAX($N209:$W209),$N209:$W209,0),MATCH(LARGE($N209:$W209,2),$N209:$W209,0))),"Score: ",""),Fields!$A$2:$A$50,0))))</f>
        <v/>
      </c>
      <c r="Z209" s="14" t="str">
        <f aca="false">IF(M209="","",IFERROR(INDEX('3 Hazed Questions'!$O$2:$O$23,MATCH(1,INDEX(('3 Hazed Questions'!$A$2:$A$23="Q5")*('3 Hazed Questions'!$C$2:$C$23=M209),0),0))&amp;"",""))</f>
        <v/>
      </c>
      <c r="AA209" s="18"/>
      <c r="AB209" s="18"/>
      <c r="AC209" s="19"/>
      <c r="AD209" s="19"/>
      <c r="AE209" s="18"/>
      <c r="AF209" s="18"/>
      <c r="AG209" s="18"/>
    </row>
    <row r="210" customFormat="false" ht="15" hidden="false" customHeight="false" outlineLevel="0" collapsed="false">
      <c r="A210" s="18"/>
      <c r="B210" s="19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4" t="str">
        <f aca="false">IF(COUNTA(I210:L210)=0,"",SUMIFS('3 Hazed Questions'!$E$2:$E$23,'3 Hazed Questions'!$A$2:$A$23,"Q1",'3 Hazed Questions'!$C$2:$C$23,I210)+SUMIFS('3 Hazed Questions'!$E$2:$E$23,'3 Hazed Questions'!$A$2:$A$23,"Q2",'3 Hazed Questions'!$C$2:$C$23,J210)+SUMIFS('3 Hazed Questions'!$E$2:$E$23,'3 Hazed Questions'!$A$2:$A$23,"Q3",'3 Hazed Questions'!$C$2:$C$23,K210)+SUMIFS('3 Hazed Questions'!$E$2:$E$23,'3 Hazed Questions'!$A$2:$A$23,"Q4",'3 Hazed Questions'!$C$2:$C$23,L210))</f>
        <v/>
      </c>
      <c r="O210" s="14" t="str">
        <f aca="false">IF(COUNTA(I210:L210)=0,"",SUMIFS('3 Hazed Questions'!$F$2:$F$23,'3 Hazed Questions'!$A$2:$A$23,"Q1",'3 Hazed Questions'!$C$2:$C$23,I210)+SUMIFS('3 Hazed Questions'!$F$2:$F$23,'3 Hazed Questions'!$A$2:$A$23,"Q2",'3 Hazed Questions'!$C$2:$C$23,J210)+SUMIFS('3 Hazed Questions'!$F$2:$F$23,'3 Hazed Questions'!$A$2:$A$23,"Q3",'3 Hazed Questions'!$C$2:$C$23,K210)+SUMIFS('3 Hazed Questions'!$F$2:$F$23,'3 Hazed Questions'!$A$2:$A$23,"Q4",'3 Hazed Questions'!$C$2:$C$23,L210))</f>
        <v/>
      </c>
      <c r="P210" s="14" t="str">
        <f aca="false">IF(COUNTA(I210:L210)=0,"",SUMIFS('3 Hazed Questions'!$G$2:$G$23,'3 Hazed Questions'!$A$2:$A$23,"Q1",'3 Hazed Questions'!$C$2:$C$23,I210)+SUMIFS('3 Hazed Questions'!$G$2:$G$23,'3 Hazed Questions'!$A$2:$A$23,"Q2",'3 Hazed Questions'!$C$2:$C$23,J210)+SUMIFS('3 Hazed Questions'!$G$2:$G$23,'3 Hazed Questions'!$A$2:$A$23,"Q3",'3 Hazed Questions'!$C$2:$C$23,K210)+SUMIFS('3 Hazed Questions'!$G$2:$G$23,'3 Hazed Questions'!$A$2:$A$23,"Q4",'3 Hazed Questions'!$C$2:$C$23,L210))</f>
        <v/>
      </c>
      <c r="Q210" s="14" t="str">
        <f aca="false">IF(COUNTA(I210:L210)=0,"",SUMIFS('3 Hazed Questions'!$H$2:$H$23,'3 Hazed Questions'!$A$2:$A$23,"Q1",'3 Hazed Questions'!$C$2:$C$23,I210)+SUMIFS('3 Hazed Questions'!$H$2:$H$23,'3 Hazed Questions'!$A$2:$A$23,"Q2",'3 Hazed Questions'!$C$2:$C$23,J210)+SUMIFS('3 Hazed Questions'!$H$2:$H$23,'3 Hazed Questions'!$A$2:$A$23,"Q3",'3 Hazed Questions'!$C$2:$C$23,K210)+SUMIFS('3 Hazed Questions'!$H$2:$H$23,'3 Hazed Questions'!$A$2:$A$23,"Q4",'3 Hazed Questions'!$C$2:$C$23,L210))</f>
        <v/>
      </c>
      <c r="R210" s="14" t="str">
        <f aca="false">IF(COUNTA(I210:L210)=0,"",SUMIFS('3 Hazed Questions'!$I$2:$I$23,'3 Hazed Questions'!$A$2:$A$23,"Q1",'3 Hazed Questions'!$C$2:$C$23,I210)+SUMIFS('3 Hazed Questions'!$I$2:$I$23,'3 Hazed Questions'!$A$2:$A$23,"Q2",'3 Hazed Questions'!$C$2:$C$23,J210)+SUMIFS('3 Hazed Questions'!$I$2:$I$23,'3 Hazed Questions'!$A$2:$A$23,"Q3",'3 Hazed Questions'!$C$2:$C$23,K210)+SUMIFS('3 Hazed Questions'!$I$2:$I$23,'3 Hazed Questions'!$A$2:$A$23,"Q4",'3 Hazed Questions'!$C$2:$C$23,L210))</f>
        <v/>
      </c>
      <c r="S210" s="14" t="str">
        <f aca="false">IF(COUNTA(I210:L210)=0,"",SUMIFS('3 Hazed Questions'!$J$2:$J$23,'3 Hazed Questions'!$A$2:$A$23,"Q1",'3 Hazed Questions'!$C$2:$C$23,I210)+SUMIFS('3 Hazed Questions'!$J$2:$J$23,'3 Hazed Questions'!$A$2:$A$23,"Q2",'3 Hazed Questions'!$C$2:$C$23,J210)+SUMIFS('3 Hazed Questions'!$J$2:$J$23,'3 Hazed Questions'!$A$2:$A$23,"Q3",'3 Hazed Questions'!$C$2:$C$23,K210)+SUMIFS('3 Hazed Questions'!$J$2:$J$23,'3 Hazed Questions'!$A$2:$A$23,"Q4",'3 Hazed Questions'!$C$2:$C$23,L210))</f>
        <v/>
      </c>
      <c r="T210" s="14" t="str">
        <f aca="false">IF(COUNTA(I210:L210)=0,"",SUMIFS('3 Hazed Questions'!$K$2:$K$23,'3 Hazed Questions'!$A$2:$A$23,"Q1",'3 Hazed Questions'!$C$2:$C$23,I210)+SUMIFS('3 Hazed Questions'!$K$2:$K$23,'3 Hazed Questions'!$A$2:$A$23,"Q2",'3 Hazed Questions'!$C$2:$C$23,J210)+SUMIFS('3 Hazed Questions'!$K$2:$K$23,'3 Hazed Questions'!$A$2:$A$23,"Q3",'3 Hazed Questions'!$C$2:$C$23,K210)+SUMIFS('3 Hazed Questions'!$K$2:$K$23,'3 Hazed Questions'!$A$2:$A$23,"Q4",'3 Hazed Questions'!$C$2:$C$23,L210))</f>
        <v/>
      </c>
      <c r="U210" s="14" t="str">
        <f aca="false">IF(COUNTA(I210:L210)=0,"",SUMIFS('3 Hazed Questions'!$L$2:$L$23,'3 Hazed Questions'!$A$2:$A$23,"Q1",'3 Hazed Questions'!$C$2:$C$23,I210)+SUMIFS('3 Hazed Questions'!$L$2:$L$23,'3 Hazed Questions'!$A$2:$A$23,"Q2",'3 Hazed Questions'!$C$2:$C$23,J210)+SUMIFS('3 Hazed Questions'!$L$2:$L$23,'3 Hazed Questions'!$A$2:$A$23,"Q3",'3 Hazed Questions'!$C$2:$C$23,K210)+SUMIFS('3 Hazed Questions'!$L$2:$L$23,'3 Hazed Questions'!$A$2:$A$23,"Q4",'3 Hazed Questions'!$C$2:$C$23,L210))</f>
        <v/>
      </c>
      <c r="V210" s="14" t="str">
        <f aca="false">IF(COUNTA(I210:L210)=0,"",SUMIFS('3 Hazed Questions'!$M$2:$M$23,'3 Hazed Questions'!$A$2:$A$23,"Q1",'3 Hazed Questions'!$C$2:$C$23,I210)+SUMIFS('3 Hazed Questions'!$M$2:$M$23,'3 Hazed Questions'!$A$2:$A$23,"Q2",'3 Hazed Questions'!$C$2:$C$23,J210)+SUMIFS('3 Hazed Questions'!$M$2:$M$23,'3 Hazed Questions'!$A$2:$A$23,"Q3",'3 Hazed Questions'!$C$2:$C$23,K210)+SUMIFS('3 Hazed Questions'!$M$2:$M$23,'3 Hazed Questions'!$A$2:$A$23,"Q4",'3 Hazed Questions'!$C$2:$C$23,L210))</f>
        <v/>
      </c>
      <c r="W210" s="14" t="str">
        <f aca="false">IF(COUNTA(I210:L210)=0,"",SUMIFS('3 Hazed Questions'!$N$2:$N$23,'3 Hazed Questions'!$A$2:$A$23,"Q1",'3 Hazed Questions'!$C$2:$C$23,I210)+SUMIFS('3 Hazed Questions'!$N$2:$N$23,'3 Hazed Questions'!$A$2:$A$23,"Q2",'3 Hazed Questions'!$C$2:$C$23,J210)+SUMIFS('3 Hazed Questions'!$N$2:$N$23,'3 Hazed Questions'!$A$2:$A$23,"Q3",'3 Hazed Questions'!$C$2:$C$23,K210)+SUMIFS('3 Hazed Questions'!$N$2:$N$23,'3 Hazed Questions'!$A$2:$A$23,"Q4",'3 Hazed Questions'!$C$2:$C$23,L210))</f>
        <v/>
      </c>
      <c r="X210" s="14" t="str">
        <f aca="false">IF(COUNTA(I210:L210)=0,"",INDEX(Fields!$B$2:$B$50,MATCH(SUBSTITUTE(INDEX($N$1:$W$1,MATCH(MAX($N210:$W210),$N210:$W210,0)),"Score: ",""),Fields!$A$2:$A$50,0)))</f>
        <v/>
      </c>
      <c r="Y210" s="14" t="str">
        <f aca="true">IF(COUNTA(I210:L210)=0,"",IF(LARGE($N210:$W210,2)=0,"-",INDEX(Fields!$B$2:$B$50,MATCH(SUBSTITUTE(INDEX($N$1:$W$1,IF(LARGE($N210:$W210,2)=MAX($N210:$W210),MATCH(MAX($N210:$W210),OFFSET($N210:$W210,0,MATCH(MAX($N210:$W210),$N210:$W210,0),1,10-MATCH(MAX($N210:$W210),$N210:$W210,0)),0)+MATCH(MAX($N210:$W210),$N210:$W210,0),MATCH(LARGE($N210:$W210,2),$N210:$W210,0))),"Score: ",""),Fields!$A$2:$A$50,0))))</f>
        <v/>
      </c>
      <c r="Z210" s="14" t="str">
        <f aca="false">IF(M210="","",IFERROR(INDEX('3 Hazed Questions'!$O$2:$O$23,MATCH(1,INDEX(('3 Hazed Questions'!$A$2:$A$23="Q5")*('3 Hazed Questions'!$C$2:$C$23=M210),0),0))&amp;"",""))</f>
        <v/>
      </c>
      <c r="AA210" s="18"/>
      <c r="AB210" s="18"/>
      <c r="AC210" s="19"/>
      <c r="AD210" s="19"/>
      <c r="AE210" s="18"/>
      <c r="AF210" s="18"/>
      <c r="AG210" s="18"/>
    </row>
    <row r="211" customFormat="false" ht="15" hidden="false" customHeight="false" outlineLevel="0" collapsed="false">
      <c r="A211" s="18"/>
      <c r="B211" s="19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4" t="str">
        <f aca="false">IF(COUNTA(I211:L211)=0,"",SUMIFS('3 Hazed Questions'!$E$2:$E$23,'3 Hazed Questions'!$A$2:$A$23,"Q1",'3 Hazed Questions'!$C$2:$C$23,I211)+SUMIFS('3 Hazed Questions'!$E$2:$E$23,'3 Hazed Questions'!$A$2:$A$23,"Q2",'3 Hazed Questions'!$C$2:$C$23,J211)+SUMIFS('3 Hazed Questions'!$E$2:$E$23,'3 Hazed Questions'!$A$2:$A$23,"Q3",'3 Hazed Questions'!$C$2:$C$23,K211)+SUMIFS('3 Hazed Questions'!$E$2:$E$23,'3 Hazed Questions'!$A$2:$A$23,"Q4",'3 Hazed Questions'!$C$2:$C$23,L211))</f>
        <v/>
      </c>
      <c r="O211" s="14" t="str">
        <f aca="false">IF(COUNTA(I211:L211)=0,"",SUMIFS('3 Hazed Questions'!$F$2:$F$23,'3 Hazed Questions'!$A$2:$A$23,"Q1",'3 Hazed Questions'!$C$2:$C$23,I211)+SUMIFS('3 Hazed Questions'!$F$2:$F$23,'3 Hazed Questions'!$A$2:$A$23,"Q2",'3 Hazed Questions'!$C$2:$C$23,J211)+SUMIFS('3 Hazed Questions'!$F$2:$F$23,'3 Hazed Questions'!$A$2:$A$23,"Q3",'3 Hazed Questions'!$C$2:$C$23,K211)+SUMIFS('3 Hazed Questions'!$F$2:$F$23,'3 Hazed Questions'!$A$2:$A$23,"Q4",'3 Hazed Questions'!$C$2:$C$23,L211))</f>
        <v/>
      </c>
      <c r="P211" s="14" t="str">
        <f aca="false">IF(COUNTA(I211:L211)=0,"",SUMIFS('3 Hazed Questions'!$G$2:$G$23,'3 Hazed Questions'!$A$2:$A$23,"Q1",'3 Hazed Questions'!$C$2:$C$23,I211)+SUMIFS('3 Hazed Questions'!$G$2:$G$23,'3 Hazed Questions'!$A$2:$A$23,"Q2",'3 Hazed Questions'!$C$2:$C$23,J211)+SUMIFS('3 Hazed Questions'!$G$2:$G$23,'3 Hazed Questions'!$A$2:$A$23,"Q3",'3 Hazed Questions'!$C$2:$C$23,K211)+SUMIFS('3 Hazed Questions'!$G$2:$G$23,'3 Hazed Questions'!$A$2:$A$23,"Q4",'3 Hazed Questions'!$C$2:$C$23,L211))</f>
        <v/>
      </c>
      <c r="Q211" s="14" t="str">
        <f aca="false">IF(COUNTA(I211:L211)=0,"",SUMIFS('3 Hazed Questions'!$H$2:$H$23,'3 Hazed Questions'!$A$2:$A$23,"Q1",'3 Hazed Questions'!$C$2:$C$23,I211)+SUMIFS('3 Hazed Questions'!$H$2:$H$23,'3 Hazed Questions'!$A$2:$A$23,"Q2",'3 Hazed Questions'!$C$2:$C$23,J211)+SUMIFS('3 Hazed Questions'!$H$2:$H$23,'3 Hazed Questions'!$A$2:$A$23,"Q3",'3 Hazed Questions'!$C$2:$C$23,K211)+SUMIFS('3 Hazed Questions'!$H$2:$H$23,'3 Hazed Questions'!$A$2:$A$23,"Q4",'3 Hazed Questions'!$C$2:$C$23,L211))</f>
        <v/>
      </c>
      <c r="R211" s="14" t="str">
        <f aca="false">IF(COUNTA(I211:L211)=0,"",SUMIFS('3 Hazed Questions'!$I$2:$I$23,'3 Hazed Questions'!$A$2:$A$23,"Q1",'3 Hazed Questions'!$C$2:$C$23,I211)+SUMIFS('3 Hazed Questions'!$I$2:$I$23,'3 Hazed Questions'!$A$2:$A$23,"Q2",'3 Hazed Questions'!$C$2:$C$23,J211)+SUMIFS('3 Hazed Questions'!$I$2:$I$23,'3 Hazed Questions'!$A$2:$A$23,"Q3",'3 Hazed Questions'!$C$2:$C$23,K211)+SUMIFS('3 Hazed Questions'!$I$2:$I$23,'3 Hazed Questions'!$A$2:$A$23,"Q4",'3 Hazed Questions'!$C$2:$C$23,L211))</f>
        <v/>
      </c>
      <c r="S211" s="14" t="str">
        <f aca="false">IF(COUNTA(I211:L211)=0,"",SUMIFS('3 Hazed Questions'!$J$2:$J$23,'3 Hazed Questions'!$A$2:$A$23,"Q1",'3 Hazed Questions'!$C$2:$C$23,I211)+SUMIFS('3 Hazed Questions'!$J$2:$J$23,'3 Hazed Questions'!$A$2:$A$23,"Q2",'3 Hazed Questions'!$C$2:$C$23,J211)+SUMIFS('3 Hazed Questions'!$J$2:$J$23,'3 Hazed Questions'!$A$2:$A$23,"Q3",'3 Hazed Questions'!$C$2:$C$23,K211)+SUMIFS('3 Hazed Questions'!$J$2:$J$23,'3 Hazed Questions'!$A$2:$A$23,"Q4",'3 Hazed Questions'!$C$2:$C$23,L211))</f>
        <v/>
      </c>
      <c r="T211" s="14" t="str">
        <f aca="false">IF(COUNTA(I211:L211)=0,"",SUMIFS('3 Hazed Questions'!$K$2:$K$23,'3 Hazed Questions'!$A$2:$A$23,"Q1",'3 Hazed Questions'!$C$2:$C$23,I211)+SUMIFS('3 Hazed Questions'!$K$2:$K$23,'3 Hazed Questions'!$A$2:$A$23,"Q2",'3 Hazed Questions'!$C$2:$C$23,J211)+SUMIFS('3 Hazed Questions'!$K$2:$K$23,'3 Hazed Questions'!$A$2:$A$23,"Q3",'3 Hazed Questions'!$C$2:$C$23,K211)+SUMIFS('3 Hazed Questions'!$K$2:$K$23,'3 Hazed Questions'!$A$2:$A$23,"Q4",'3 Hazed Questions'!$C$2:$C$23,L211))</f>
        <v/>
      </c>
      <c r="U211" s="14" t="str">
        <f aca="false">IF(COUNTA(I211:L211)=0,"",SUMIFS('3 Hazed Questions'!$L$2:$L$23,'3 Hazed Questions'!$A$2:$A$23,"Q1",'3 Hazed Questions'!$C$2:$C$23,I211)+SUMIFS('3 Hazed Questions'!$L$2:$L$23,'3 Hazed Questions'!$A$2:$A$23,"Q2",'3 Hazed Questions'!$C$2:$C$23,J211)+SUMIFS('3 Hazed Questions'!$L$2:$L$23,'3 Hazed Questions'!$A$2:$A$23,"Q3",'3 Hazed Questions'!$C$2:$C$23,K211)+SUMIFS('3 Hazed Questions'!$L$2:$L$23,'3 Hazed Questions'!$A$2:$A$23,"Q4",'3 Hazed Questions'!$C$2:$C$23,L211))</f>
        <v/>
      </c>
      <c r="V211" s="14" t="str">
        <f aca="false">IF(COUNTA(I211:L211)=0,"",SUMIFS('3 Hazed Questions'!$M$2:$M$23,'3 Hazed Questions'!$A$2:$A$23,"Q1",'3 Hazed Questions'!$C$2:$C$23,I211)+SUMIFS('3 Hazed Questions'!$M$2:$M$23,'3 Hazed Questions'!$A$2:$A$23,"Q2",'3 Hazed Questions'!$C$2:$C$23,J211)+SUMIFS('3 Hazed Questions'!$M$2:$M$23,'3 Hazed Questions'!$A$2:$A$23,"Q3",'3 Hazed Questions'!$C$2:$C$23,K211)+SUMIFS('3 Hazed Questions'!$M$2:$M$23,'3 Hazed Questions'!$A$2:$A$23,"Q4",'3 Hazed Questions'!$C$2:$C$23,L211))</f>
        <v/>
      </c>
      <c r="W211" s="14" t="str">
        <f aca="false">IF(COUNTA(I211:L211)=0,"",SUMIFS('3 Hazed Questions'!$N$2:$N$23,'3 Hazed Questions'!$A$2:$A$23,"Q1",'3 Hazed Questions'!$C$2:$C$23,I211)+SUMIFS('3 Hazed Questions'!$N$2:$N$23,'3 Hazed Questions'!$A$2:$A$23,"Q2",'3 Hazed Questions'!$C$2:$C$23,J211)+SUMIFS('3 Hazed Questions'!$N$2:$N$23,'3 Hazed Questions'!$A$2:$A$23,"Q3",'3 Hazed Questions'!$C$2:$C$23,K211)+SUMIFS('3 Hazed Questions'!$N$2:$N$23,'3 Hazed Questions'!$A$2:$A$23,"Q4",'3 Hazed Questions'!$C$2:$C$23,L211))</f>
        <v/>
      </c>
      <c r="X211" s="14" t="str">
        <f aca="false">IF(COUNTA(I211:L211)=0,"",INDEX(Fields!$B$2:$B$50,MATCH(SUBSTITUTE(INDEX($N$1:$W$1,MATCH(MAX($N211:$W211),$N211:$W211,0)),"Score: ",""),Fields!$A$2:$A$50,0)))</f>
        <v/>
      </c>
      <c r="Y211" s="14" t="str">
        <f aca="true">IF(COUNTA(I211:L211)=0,"",IF(LARGE($N211:$W211,2)=0,"-",INDEX(Fields!$B$2:$B$50,MATCH(SUBSTITUTE(INDEX($N$1:$W$1,IF(LARGE($N211:$W211,2)=MAX($N211:$W211),MATCH(MAX($N211:$W211),OFFSET($N211:$W211,0,MATCH(MAX($N211:$W211),$N211:$W211,0),1,10-MATCH(MAX($N211:$W211),$N211:$W211,0)),0)+MATCH(MAX($N211:$W211),$N211:$W211,0),MATCH(LARGE($N211:$W211,2),$N211:$W211,0))),"Score: ",""),Fields!$A$2:$A$50,0))))</f>
        <v/>
      </c>
      <c r="Z211" s="14" t="str">
        <f aca="false">IF(M211="","",IFERROR(INDEX('3 Hazed Questions'!$O$2:$O$23,MATCH(1,INDEX(('3 Hazed Questions'!$A$2:$A$23="Q5")*('3 Hazed Questions'!$C$2:$C$23=M211),0),0))&amp;"",""))</f>
        <v/>
      </c>
      <c r="AA211" s="18"/>
      <c r="AB211" s="18"/>
      <c r="AC211" s="19"/>
      <c r="AD211" s="19"/>
      <c r="AE211" s="18"/>
      <c r="AF211" s="18"/>
      <c r="AG211" s="18"/>
    </row>
    <row r="212" customFormat="false" ht="15" hidden="false" customHeight="false" outlineLevel="0" collapsed="false">
      <c r="A212" s="18"/>
      <c r="B212" s="19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4" t="str">
        <f aca="false">IF(COUNTA(I212:L212)=0,"",SUMIFS('3 Hazed Questions'!$E$2:$E$23,'3 Hazed Questions'!$A$2:$A$23,"Q1",'3 Hazed Questions'!$C$2:$C$23,I212)+SUMIFS('3 Hazed Questions'!$E$2:$E$23,'3 Hazed Questions'!$A$2:$A$23,"Q2",'3 Hazed Questions'!$C$2:$C$23,J212)+SUMIFS('3 Hazed Questions'!$E$2:$E$23,'3 Hazed Questions'!$A$2:$A$23,"Q3",'3 Hazed Questions'!$C$2:$C$23,K212)+SUMIFS('3 Hazed Questions'!$E$2:$E$23,'3 Hazed Questions'!$A$2:$A$23,"Q4",'3 Hazed Questions'!$C$2:$C$23,L212))</f>
        <v/>
      </c>
      <c r="O212" s="14" t="str">
        <f aca="false">IF(COUNTA(I212:L212)=0,"",SUMIFS('3 Hazed Questions'!$F$2:$F$23,'3 Hazed Questions'!$A$2:$A$23,"Q1",'3 Hazed Questions'!$C$2:$C$23,I212)+SUMIFS('3 Hazed Questions'!$F$2:$F$23,'3 Hazed Questions'!$A$2:$A$23,"Q2",'3 Hazed Questions'!$C$2:$C$23,J212)+SUMIFS('3 Hazed Questions'!$F$2:$F$23,'3 Hazed Questions'!$A$2:$A$23,"Q3",'3 Hazed Questions'!$C$2:$C$23,K212)+SUMIFS('3 Hazed Questions'!$F$2:$F$23,'3 Hazed Questions'!$A$2:$A$23,"Q4",'3 Hazed Questions'!$C$2:$C$23,L212))</f>
        <v/>
      </c>
      <c r="P212" s="14" t="str">
        <f aca="false">IF(COUNTA(I212:L212)=0,"",SUMIFS('3 Hazed Questions'!$G$2:$G$23,'3 Hazed Questions'!$A$2:$A$23,"Q1",'3 Hazed Questions'!$C$2:$C$23,I212)+SUMIFS('3 Hazed Questions'!$G$2:$G$23,'3 Hazed Questions'!$A$2:$A$23,"Q2",'3 Hazed Questions'!$C$2:$C$23,J212)+SUMIFS('3 Hazed Questions'!$G$2:$G$23,'3 Hazed Questions'!$A$2:$A$23,"Q3",'3 Hazed Questions'!$C$2:$C$23,K212)+SUMIFS('3 Hazed Questions'!$G$2:$G$23,'3 Hazed Questions'!$A$2:$A$23,"Q4",'3 Hazed Questions'!$C$2:$C$23,L212))</f>
        <v/>
      </c>
      <c r="Q212" s="14" t="str">
        <f aca="false">IF(COUNTA(I212:L212)=0,"",SUMIFS('3 Hazed Questions'!$H$2:$H$23,'3 Hazed Questions'!$A$2:$A$23,"Q1",'3 Hazed Questions'!$C$2:$C$23,I212)+SUMIFS('3 Hazed Questions'!$H$2:$H$23,'3 Hazed Questions'!$A$2:$A$23,"Q2",'3 Hazed Questions'!$C$2:$C$23,J212)+SUMIFS('3 Hazed Questions'!$H$2:$H$23,'3 Hazed Questions'!$A$2:$A$23,"Q3",'3 Hazed Questions'!$C$2:$C$23,K212)+SUMIFS('3 Hazed Questions'!$H$2:$H$23,'3 Hazed Questions'!$A$2:$A$23,"Q4",'3 Hazed Questions'!$C$2:$C$23,L212))</f>
        <v/>
      </c>
      <c r="R212" s="14" t="str">
        <f aca="false">IF(COUNTA(I212:L212)=0,"",SUMIFS('3 Hazed Questions'!$I$2:$I$23,'3 Hazed Questions'!$A$2:$A$23,"Q1",'3 Hazed Questions'!$C$2:$C$23,I212)+SUMIFS('3 Hazed Questions'!$I$2:$I$23,'3 Hazed Questions'!$A$2:$A$23,"Q2",'3 Hazed Questions'!$C$2:$C$23,J212)+SUMIFS('3 Hazed Questions'!$I$2:$I$23,'3 Hazed Questions'!$A$2:$A$23,"Q3",'3 Hazed Questions'!$C$2:$C$23,K212)+SUMIFS('3 Hazed Questions'!$I$2:$I$23,'3 Hazed Questions'!$A$2:$A$23,"Q4",'3 Hazed Questions'!$C$2:$C$23,L212))</f>
        <v/>
      </c>
      <c r="S212" s="14" t="str">
        <f aca="false">IF(COUNTA(I212:L212)=0,"",SUMIFS('3 Hazed Questions'!$J$2:$J$23,'3 Hazed Questions'!$A$2:$A$23,"Q1",'3 Hazed Questions'!$C$2:$C$23,I212)+SUMIFS('3 Hazed Questions'!$J$2:$J$23,'3 Hazed Questions'!$A$2:$A$23,"Q2",'3 Hazed Questions'!$C$2:$C$23,J212)+SUMIFS('3 Hazed Questions'!$J$2:$J$23,'3 Hazed Questions'!$A$2:$A$23,"Q3",'3 Hazed Questions'!$C$2:$C$23,K212)+SUMIFS('3 Hazed Questions'!$J$2:$J$23,'3 Hazed Questions'!$A$2:$A$23,"Q4",'3 Hazed Questions'!$C$2:$C$23,L212))</f>
        <v/>
      </c>
      <c r="T212" s="14" t="str">
        <f aca="false">IF(COUNTA(I212:L212)=0,"",SUMIFS('3 Hazed Questions'!$K$2:$K$23,'3 Hazed Questions'!$A$2:$A$23,"Q1",'3 Hazed Questions'!$C$2:$C$23,I212)+SUMIFS('3 Hazed Questions'!$K$2:$K$23,'3 Hazed Questions'!$A$2:$A$23,"Q2",'3 Hazed Questions'!$C$2:$C$23,J212)+SUMIFS('3 Hazed Questions'!$K$2:$K$23,'3 Hazed Questions'!$A$2:$A$23,"Q3",'3 Hazed Questions'!$C$2:$C$23,K212)+SUMIFS('3 Hazed Questions'!$K$2:$K$23,'3 Hazed Questions'!$A$2:$A$23,"Q4",'3 Hazed Questions'!$C$2:$C$23,L212))</f>
        <v/>
      </c>
      <c r="U212" s="14" t="str">
        <f aca="false">IF(COUNTA(I212:L212)=0,"",SUMIFS('3 Hazed Questions'!$L$2:$L$23,'3 Hazed Questions'!$A$2:$A$23,"Q1",'3 Hazed Questions'!$C$2:$C$23,I212)+SUMIFS('3 Hazed Questions'!$L$2:$L$23,'3 Hazed Questions'!$A$2:$A$23,"Q2",'3 Hazed Questions'!$C$2:$C$23,J212)+SUMIFS('3 Hazed Questions'!$L$2:$L$23,'3 Hazed Questions'!$A$2:$A$23,"Q3",'3 Hazed Questions'!$C$2:$C$23,K212)+SUMIFS('3 Hazed Questions'!$L$2:$L$23,'3 Hazed Questions'!$A$2:$A$23,"Q4",'3 Hazed Questions'!$C$2:$C$23,L212))</f>
        <v/>
      </c>
      <c r="V212" s="14" t="str">
        <f aca="false">IF(COUNTA(I212:L212)=0,"",SUMIFS('3 Hazed Questions'!$M$2:$M$23,'3 Hazed Questions'!$A$2:$A$23,"Q1",'3 Hazed Questions'!$C$2:$C$23,I212)+SUMIFS('3 Hazed Questions'!$M$2:$M$23,'3 Hazed Questions'!$A$2:$A$23,"Q2",'3 Hazed Questions'!$C$2:$C$23,J212)+SUMIFS('3 Hazed Questions'!$M$2:$M$23,'3 Hazed Questions'!$A$2:$A$23,"Q3",'3 Hazed Questions'!$C$2:$C$23,K212)+SUMIFS('3 Hazed Questions'!$M$2:$M$23,'3 Hazed Questions'!$A$2:$A$23,"Q4",'3 Hazed Questions'!$C$2:$C$23,L212))</f>
        <v/>
      </c>
      <c r="W212" s="14" t="str">
        <f aca="false">IF(COUNTA(I212:L212)=0,"",SUMIFS('3 Hazed Questions'!$N$2:$N$23,'3 Hazed Questions'!$A$2:$A$23,"Q1",'3 Hazed Questions'!$C$2:$C$23,I212)+SUMIFS('3 Hazed Questions'!$N$2:$N$23,'3 Hazed Questions'!$A$2:$A$23,"Q2",'3 Hazed Questions'!$C$2:$C$23,J212)+SUMIFS('3 Hazed Questions'!$N$2:$N$23,'3 Hazed Questions'!$A$2:$A$23,"Q3",'3 Hazed Questions'!$C$2:$C$23,K212)+SUMIFS('3 Hazed Questions'!$N$2:$N$23,'3 Hazed Questions'!$A$2:$A$23,"Q4",'3 Hazed Questions'!$C$2:$C$23,L212))</f>
        <v/>
      </c>
      <c r="X212" s="14" t="str">
        <f aca="false">IF(COUNTA(I212:L212)=0,"",INDEX(Fields!$B$2:$B$50,MATCH(SUBSTITUTE(INDEX($N$1:$W$1,MATCH(MAX($N212:$W212),$N212:$W212,0)),"Score: ",""),Fields!$A$2:$A$50,0)))</f>
        <v/>
      </c>
      <c r="Y212" s="14" t="str">
        <f aca="true">IF(COUNTA(I212:L212)=0,"",IF(LARGE($N212:$W212,2)=0,"-",INDEX(Fields!$B$2:$B$50,MATCH(SUBSTITUTE(INDEX($N$1:$W$1,IF(LARGE($N212:$W212,2)=MAX($N212:$W212),MATCH(MAX($N212:$W212),OFFSET($N212:$W212,0,MATCH(MAX($N212:$W212),$N212:$W212,0),1,10-MATCH(MAX($N212:$W212),$N212:$W212,0)),0)+MATCH(MAX($N212:$W212),$N212:$W212,0),MATCH(LARGE($N212:$W212,2),$N212:$W212,0))),"Score: ",""),Fields!$A$2:$A$50,0))))</f>
        <v/>
      </c>
      <c r="Z212" s="14" t="str">
        <f aca="false">IF(M212="","",IFERROR(INDEX('3 Hazed Questions'!$O$2:$O$23,MATCH(1,INDEX(('3 Hazed Questions'!$A$2:$A$23="Q5")*('3 Hazed Questions'!$C$2:$C$23=M212),0),0))&amp;"",""))</f>
        <v/>
      </c>
      <c r="AA212" s="18"/>
      <c r="AB212" s="18"/>
      <c r="AC212" s="19"/>
      <c r="AD212" s="19"/>
      <c r="AE212" s="18"/>
      <c r="AF212" s="18"/>
      <c r="AG212" s="18"/>
    </row>
    <row r="213" customFormat="false" ht="15" hidden="false" customHeight="false" outlineLevel="0" collapsed="false">
      <c r="A213" s="18"/>
      <c r="B213" s="19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4" t="str">
        <f aca="false">IF(COUNTA(I213:L213)=0,"",SUMIFS('3 Hazed Questions'!$E$2:$E$23,'3 Hazed Questions'!$A$2:$A$23,"Q1",'3 Hazed Questions'!$C$2:$C$23,I213)+SUMIFS('3 Hazed Questions'!$E$2:$E$23,'3 Hazed Questions'!$A$2:$A$23,"Q2",'3 Hazed Questions'!$C$2:$C$23,J213)+SUMIFS('3 Hazed Questions'!$E$2:$E$23,'3 Hazed Questions'!$A$2:$A$23,"Q3",'3 Hazed Questions'!$C$2:$C$23,K213)+SUMIFS('3 Hazed Questions'!$E$2:$E$23,'3 Hazed Questions'!$A$2:$A$23,"Q4",'3 Hazed Questions'!$C$2:$C$23,L213))</f>
        <v/>
      </c>
      <c r="O213" s="14" t="str">
        <f aca="false">IF(COUNTA(I213:L213)=0,"",SUMIFS('3 Hazed Questions'!$F$2:$F$23,'3 Hazed Questions'!$A$2:$A$23,"Q1",'3 Hazed Questions'!$C$2:$C$23,I213)+SUMIFS('3 Hazed Questions'!$F$2:$F$23,'3 Hazed Questions'!$A$2:$A$23,"Q2",'3 Hazed Questions'!$C$2:$C$23,J213)+SUMIFS('3 Hazed Questions'!$F$2:$F$23,'3 Hazed Questions'!$A$2:$A$23,"Q3",'3 Hazed Questions'!$C$2:$C$23,K213)+SUMIFS('3 Hazed Questions'!$F$2:$F$23,'3 Hazed Questions'!$A$2:$A$23,"Q4",'3 Hazed Questions'!$C$2:$C$23,L213))</f>
        <v/>
      </c>
      <c r="P213" s="14" t="str">
        <f aca="false">IF(COUNTA(I213:L213)=0,"",SUMIFS('3 Hazed Questions'!$G$2:$G$23,'3 Hazed Questions'!$A$2:$A$23,"Q1",'3 Hazed Questions'!$C$2:$C$23,I213)+SUMIFS('3 Hazed Questions'!$G$2:$G$23,'3 Hazed Questions'!$A$2:$A$23,"Q2",'3 Hazed Questions'!$C$2:$C$23,J213)+SUMIFS('3 Hazed Questions'!$G$2:$G$23,'3 Hazed Questions'!$A$2:$A$23,"Q3",'3 Hazed Questions'!$C$2:$C$23,K213)+SUMIFS('3 Hazed Questions'!$G$2:$G$23,'3 Hazed Questions'!$A$2:$A$23,"Q4",'3 Hazed Questions'!$C$2:$C$23,L213))</f>
        <v/>
      </c>
      <c r="Q213" s="14" t="str">
        <f aca="false">IF(COUNTA(I213:L213)=0,"",SUMIFS('3 Hazed Questions'!$H$2:$H$23,'3 Hazed Questions'!$A$2:$A$23,"Q1",'3 Hazed Questions'!$C$2:$C$23,I213)+SUMIFS('3 Hazed Questions'!$H$2:$H$23,'3 Hazed Questions'!$A$2:$A$23,"Q2",'3 Hazed Questions'!$C$2:$C$23,J213)+SUMIFS('3 Hazed Questions'!$H$2:$H$23,'3 Hazed Questions'!$A$2:$A$23,"Q3",'3 Hazed Questions'!$C$2:$C$23,K213)+SUMIFS('3 Hazed Questions'!$H$2:$H$23,'3 Hazed Questions'!$A$2:$A$23,"Q4",'3 Hazed Questions'!$C$2:$C$23,L213))</f>
        <v/>
      </c>
      <c r="R213" s="14" t="str">
        <f aca="false">IF(COUNTA(I213:L213)=0,"",SUMIFS('3 Hazed Questions'!$I$2:$I$23,'3 Hazed Questions'!$A$2:$A$23,"Q1",'3 Hazed Questions'!$C$2:$C$23,I213)+SUMIFS('3 Hazed Questions'!$I$2:$I$23,'3 Hazed Questions'!$A$2:$A$23,"Q2",'3 Hazed Questions'!$C$2:$C$23,J213)+SUMIFS('3 Hazed Questions'!$I$2:$I$23,'3 Hazed Questions'!$A$2:$A$23,"Q3",'3 Hazed Questions'!$C$2:$C$23,K213)+SUMIFS('3 Hazed Questions'!$I$2:$I$23,'3 Hazed Questions'!$A$2:$A$23,"Q4",'3 Hazed Questions'!$C$2:$C$23,L213))</f>
        <v/>
      </c>
      <c r="S213" s="14" t="str">
        <f aca="false">IF(COUNTA(I213:L213)=0,"",SUMIFS('3 Hazed Questions'!$J$2:$J$23,'3 Hazed Questions'!$A$2:$A$23,"Q1",'3 Hazed Questions'!$C$2:$C$23,I213)+SUMIFS('3 Hazed Questions'!$J$2:$J$23,'3 Hazed Questions'!$A$2:$A$23,"Q2",'3 Hazed Questions'!$C$2:$C$23,J213)+SUMIFS('3 Hazed Questions'!$J$2:$J$23,'3 Hazed Questions'!$A$2:$A$23,"Q3",'3 Hazed Questions'!$C$2:$C$23,K213)+SUMIFS('3 Hazed Questions'!$J$2:$J$23,'3 Hazed Questions'!$A$2:$A$23,"Q4",'3 Hazed Questions'!$C$2:$C$23,L213))</f>
        <v/>
      </c>
      <c r="T213" s="14" t="str">
        <f aca="false">IF(COUNTA(I213:L213)=0,"",SUMIFS('3 Hazed Questions'!$K$2:$K$23,'3 Hazed Questions'!$A$2:$A$23,"Q1",'3 Hazed Questions'!$C$2:$C$23,I213)+SUMIFS('3 Hazed Questions'!$K$2:$K$23,'3 Hazed Questions'!$A$2:$A$23,"Q2",'3 Hazed Questions'!$C$2:$C$23,J213)+SUMIFS('3 Hazed Questions'!$K$2:$K$23,'3 Hazed Questions'!$A$2:$A$23,"Q3",'3 Hazed Questions'!$C$2:$C$23,K213)+SUMIFS('3 Hazed Questions'!$K$2:$K$23,'3 Hazed Questions'!$A$2:$A$23,"Q4",'3 Hazed Questions'!$C$2:$C$23,L213))</f>
        <v/>
      </c>
      <c r="U213" s="14" t="str">
        <f aca="false">IF(COUNTA(I213:L213)=0,"",SUMIFS('3 Hazed Questions'!$L$2:$L$23,'3 Hazed Questions'!$A$2:$A$23,"Q1",'3 Hazed Questions'!$C$2:$C$23,I213)+SUMIFS('3 Hazed Questions'!$L$2:$L$23,'3 Hazed Questions'!$A$2:$A$23,"Q2",'3 Hazed Questions'!$C$2:$C$23,J213)+SUMIFS('3 Hazed Questions'!$L$2:$L$23,'3 Hazed Questions'!$A$2:$A$23,"Q3",'3 Hazed Questions'!$C$2:$C$23,K213)+SUMIFS('3 Hazed Questions'!$L$2:$L$23,'3 Hazed Questions'!$A$2:$A$23,"Q4",'3 Hazed Questions'!$C$2:$C$23,L213))</f>
        <v/>
      </c>
      <c r="V213" s="14" t="str">
        <f aca="false">IF(COUNTA(I213:L213)=0,"",SUMIFS('3 Hazed Questions'!$M$2:$M$23,'3 Hazed Questions'!$A$2:$A$23,"Q1",'3 Hazed Questions'!$C$2:$C$23,I213)+SUMIFS('3 Hazed Questions'!$M$2:$M$23,'3 Hazed Questions'!$A$2:$A$23,"Q2",'3 Hazed Questions'!$C$2:$C$23,J213)+SUMIFS('3 Hazed Questions'!$M$2:$M$23,'3 Hazed Questions'!$A$2:$A$23,"Q3",'3 Hazed Questions'!$C$2:$C$23,K213)+SUMIFS('3 Hazed Questions'!$M$2:$M$23,'3 Hazed Questions'!$A$2:$A$23,"Q4",'3 Hazed Questions'!$C$2:$C$23,L213))</f>
        <v/>
      </c>
      <c r="W213" s="14" t="str">
        <f aca="false">IF(COUNTA(I213:L213)=0,"",SUMIFS('3 Hazed Questions'!$N$2:$N$23,'3 Hazed Questions'!$A$2:$A$23,"Q1",'3 Hazed Questions'!$C$2:$C$23,I213)+SUMIFS('3 Hazed Questions'!$N$2:$N$23,'3 Hazed Questions'!$A$2:$A$23,"Q2",'3 Hazed Questions'!$C$2:$C$23,J213)+SUMIFS('3 Hazed Questions'!$N$2:$N$23,'3 Hazed Questions'!$A$2:$A$23,"Q3",'3 Hazed Questions'!$C$2:$C$23,K213)+SUMIFS('3 Hazed Questions'!$N$2:$N$23,'3 Hazed Questions'!$A$2:$A$23,"Q4",'3 Hazed Questions'!$C$2:$C$23,L213))</f>
        <v/>
      </c>
      <c r="X213" s="14" t="str">
        <f aca="false">IF(COUNTA(I213:L213)=0,"",INDEX(Fields!$B$2:$B$50,MATCH(SUBSTITUTE(INDEX($N$1:$W$1,MATCH(MAX($N213:$W213),$N213:$W213,0)),"Score: ",""),Fields!$A$2:$A$50,0)))</f>
        <v/>
      </c>
      <c r="Y213" s="14" t="str">
        <f aca="true">IF(COUNTA(I213:L213)=0,"",IF(LARGE($N213:$W213,2)=0,"-",INDEX(Fields!$B$2:$B$50,MATCH(SUBSTITUTE(INDEX($N$1:$W$1,IF(LARGE($N213:$W213,2)=MAX($N213:$W213),MATCH(MAX($N213:$W213),OFFSET($N213:$W213,0,MATCH(MAX($N213:$W213),$N213:$W213,0),1,10-MATCH(MAX($N213:$W213),$N213:$W213,0)),0)+MATCH(MAX($N213:$W213),$N213:$W213,0),MATCH(LARGE($N213:$W213,2),$N213:$W213,0))),"Score: ",""),Fields!$A$2:$A$50,0))))</f>
        <v/>
      </c>
      <c r="Z213" s="14" t="str">
        <f aca="false">IF(M213="","",IFERROR(INDEX('3 Hazed Questions'!$O$2:$O$23,MATCH(1,INDEX(('3 Hazed Questions'!$A$2:$A$23="Q5")*('3 Hazed Questions'!$C$2:$C$23=M213),0),0))&amp;"",""))</f>
        <v/>
      </c>
      <c r="AA213" s="18"/>
      <c r="AB213" s="18"/>
      <c r="AC213" s="19"/>
      <c r="AD213" s="19"/>
      <c r="AE213" s="18"/>
      <c r="AF213" s="18"/>
      <c r="AG213" s="18"/>
    </row>
    <row r="214" customFormat="false" ht="15" hidden="false" customHeight="false" outlineLevel="0" collapsed="false">
      <c r="A214" s="18"/>
      <c r="B214" s="19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4" t="str">
        <f aca="false">IF(COUNTA(I214:L214)=0,"",SUMIFS('3 Hazed Questions'!$E$2:$E$23,'3 Hazed Questions'!$A$2:$A$23,"Q1",'3 Hazed Questions'!$C$2:$C$23,I214)+SUMIFS('3 Hazed Questions'!$E$2:$E$23,'3 Hazed Questions'!$A$2:$A$23,"Q2",'3 Hazed Questions'!$C$2:$C$23,J214)+SUMIFS('3 Hazed Questions'!$E$2:$E$23,'3 Hazed Questions'!$A$2:$A$23,"Q3",'3 Hazed Questions'!$C$2:$C$23,K214)+SUMIFS('3 Hazed Questions'!$E$2:$E$23,'3 Hazed Questions'!$A$2:$A$23,"Q4",'3 Hazed Questions'!$C$2:$C$23,L214))</f>
        <v/>
      </c>
      <c r="O214" s="14" t="str">
        <f aca="false">IF(COUNTA(I214:L214)=0,"",SUMIFS('3 Hazed Questions'!$F$2:$F$23,'3 Hazed Questions'!$A$2:$A$23,"Q1",'3 Hazed Questions'!$C$2:$C$23,I214)+SUMIFS('3 Hazed Questions'!$F$2:$F$23,'3 Hazed Questions'!$A$2:$A$23,"Q2",'3 Hazed Questions'!$C$2:$C$23,J214)+SUMIFS('3 Hazed Questions'!$F$2:$F$23,'3 Hazed Questions'!$A$2:$A$23,"Q3",'3 Hazed Questions'!$C$2:$C$23,K214)+SUMIFS('3 Hazed Questions'!$F$2:$F$23,'3 Hazed Questions'!$A$2:$A$23,"Q4",'3 Hazed Questions'!$C$2:$C$23,L214))</f>
        <v/>
      </c>
      <c r="P214" s="14" t="str">
        <f aca="false">IF(COUNTA(I214:L214)=0,"",SUMIFS('3 Hazed Questions'!$G$2:$G$23,'3 Hazed Questions'!$A$2:$A$23,"Q1",'3 Hazed Questions'!$C$2:$C$23,I214)+SUMIFS('3 Hazed Questions'!$G$2:$G$23,'3 Hazed Questions'!$A$2:$A$23,"Q2",'3 Hazed Questions'!$C$2:$C$23,J214)+SUMIFS('3 Hazed Questions'!$G$2:$G$23,'3 Hazed Questions'!$A$2:$A$23,"Q3",'3 Hazed Questions'!$C$2:$C$23,K214)+SUMIFS('3 Hazed Questions'!$G$2:$G$23,'3 Hazed Questions'!$A$2:$A$23,"Q4",'3 Hazed Questions'!$C$2:$C$23,L214))</f>
        <v/>
      </c>
      <c r="Q214" s="14" t="str">
        <f aca="false">IF(COUNTA(I214:L214)=0,"",SUMIFS('3 Hazed Questions'!$H$2:$H$23,'3 Hazed Questions'!$A$2:$A$23,"Q1",'3 Hazed Questions'!$C$2:$C$23,I214)+SUMIFS('3 Hazed Questions'!$H$2:$H$23,'3 Hazed Questions'!$A$2:$A$23,"Q2",'3 Hazed Questions'!$C$2:$C$23,J214)+SUMIFS('3 Hazed Questions'!$H$2:$H$23,'3 Hazed Questions'!$A$2:$A$23,"Q3",'3 Hazed Questions'!$C$2:$C$23,K214)+SUMIFS('3 Hazed Questions'!$H$2:$H$23,'3 Hazed Questions'!$A$2:$A$23,"Q4",'3 Hazed Questions'!$C$2:$C$23,L214))</f>
        <v/>
      </c>
      <c r="R214" s="14" t="str">
        <f aca="false">IF(COUNTA(I214:L214)=0,"",SUMIFS('3 Hazed Questions'!$I$2:$I$23,'3 Hazed Questions'!$A$2:$A$23,"Q1",'3 Hazed Questions'!$C$2:$C$23,I214)+SUMIFS('3 Hazed Questions'!$I$2:$I$23,'3 Hazed Questions'!$A$2:$A$23,"Q2",'3 Hazed Questions'!$C$2:$C$23,J214)+SUMIFS('3 Hazed Questions'!$I$2:$I$23,'3 Hazed Questions'!$A$2:$A$23,"Q3",'3 Hazed Questions'!$C$2:$C$23,K214)+SUMIFS('3 Hazed Questions'!$I$2:$I$23,'3 Hazed Questions'!$A$2:$A$23,"Q4",'3 Hazed Questions'!$C$2:$C$23,L214))</f>
        <v/>
      </c>
      <c r="S214" s="14" t="str">
        <f aca="false">IF(COUNTA(I214:L214)=0,"",SUMIFS('3 Hazed Questions'!$J$2:$J$23,'3 Hazed Questions'!$A$2:$A$23,"Q1",'3 Hazed Questions'!$C$2:$C$23,I214)+SUMIFS('3 Hazed Questions'!$J$2:$J$23,'3 Hazed Questions'!$A$2:$A$23,"Q2",'3 Hazed Questions'!$C$2:$C$23,J214)+SUMIFS('3 Hazed Questions'!$J$2:$J$23,'3 Hazed Questions'!$A$2:$A$23,"Q3",'3 Hazed Questions'!$C$2:$C$23,K214)+SUMIFS('3 Hazed Questions'!$J$2:$J$23,'3 Hazed Questions'!$A$2:$A$23,"Q4",'3 Hazed Questions'!$C$2:$C$23,L214))</f>
        <v/>
      </c>
      <c r="T214" s="14" t="str">
        <f aca="false">IF(COUNTA(I214:L214)=0,"",SUMIFS('3 Hazed Questions'!$K$2:$K$23,'3 Hazed Questions'!$A$2:$A$23,"Q1",'3 Hazed Questions'!$C$2:$C$23,I214)+SUMIFS('3 Hazed Questions'!$K$2:$K$23,'3 Hazed Questions'!$A$2:$A$23,"Q2",'3 Hazed Questions'!$C$2:$C$23,J214)+SUMIFS('3 Hazed Questions'!$K$2:$K$23,'3 Hazed Questions'!$A$2:$A$23,"Q3",'3 Hazed Questions'!$C$2:$C$23,K214)+SUMIFS('3 Hazed Questions'!$K$2:$K$23,'3 Hazed Questions'!$A$2:$A$23,"Q4",'3 Hazed Questions'!$C$2:$C$23,L214))</f>
        <v/>
      </c>
      <c r="U214" s="14" t="str">
        <f aca="false">IF(COUNTA(I214:L214)=0,"",SUMIFS('3 Hazed Questions'!$L$2:$L$23,'3 Hazed Questions'!$A$2:$A$23,"Q1",'3 Hazed Questions'!$C$2:$C$23,I214)+SUMIFS('3 Hazed Questions'!$L$2:$L$23,'3 Hazed Questions'!$A$2:$A$23,"Q2",'3 Hazed Questions'!$C$2:$C$23,J214)+SUMIFS('3 Hazed Questions'!$L$2:$L$23,'3 Hazed Questions'!$A$2:$A$23,"Q3",'3 Hazed Questions'!$C$2:$C$23,K214)+SUMIFS('3 Hazed Questions'!$L$2:$L$23,'3 Hazed Questions'!$A$2:$A$23,"Q4",'3 Hazed Questions'!$C$2:$C$23,L214))</f>
        <v/>
      </c>
      <c r="V214" s="14" t="str">
        <f aca="false">IF(COUNTA(I214:L214)=0,"",SUMIFS('3 Hazed Questions'!$M$2:$M$23,'3 Hazed Questions'!$A$2:$A$23,"Q1",'3 Hazed Questions'!$C$2:$C$23,I214)+SUMIFS('3 Hazed Questions'!$M$2:$M$23,'3 Hazed Questions'!$A$2:$A$23,"Q2",'3 Hazed Questions'!$C$2:$C$23,J214)+SUMIFS('3 Hazed Questions'!$M$2:$M$23,'3 Hazed Questions'!$A$2:$A$23,"Q3",'3 Hazed Questions'!$C$2:$C$23,K214)+SUMIFS('3 Hazed Questions'!$M$2:$M$23,'3 Hazed Questions'!$A$2:$A$23,"Q4",'3 Hazed Questions'!$C$2:$C$23,L214))</f>
        <v/>
      </c>
      <c r="W214" s="14" t="str">
        <f aca="false">IF(COUNTA(I214:L214)=0,"",SUMIFS('3 Hazed Questions'!$N$2:$N$23,'3 Hazed Questions'!$A$2:$A$23,"Q1",'3 Hazed Questions'!$C$2:$C$23,I214)+SUMIFS('3 Hazed Questions'!$N$2:$N$23,'3 Hazed Questions'!$A$2:$A$23,"Q2",'3 Hazed Questions'!$C$2:$C$23,J214)+SUMIFS('3 Hazed Questions'!$N$2:$N$23,'3 Hazed Questions'!$A$2:$A$23,"Q3",'3 Hazed Questions'!$C$2:$C$23,K214)+SUMIFS('3 Hazed Questions'!$N$2:$N$23,'3 Hazed Questions'!$A$2:$A$23,"Q4",'3 Hazed Questions'!$C$2:$C$23,L214))</f>
        <v/>
      </c>
      <c r="X214" s="14" t="str">
        <f aca="false">IF(COUNTA(I214:L214)=0,"",INDEX(Fields!$B$2:$B$50,MATCH(SUBSTITUTE(INDEX($N$1:$W$1,MATCH(MAX($N214:$W214),$N214:$W214,0)),"Score: ",""),Fields!$A$2:$A$50,0)))</f>
        <v/>
      </c>
      <c r="Y214" s="14" t="str">
        <f aca="true">IF(COUNTA(I214:L214)=0,"",IF(LARGE($N214:$W214,2)=0,"-",INDEX(Fields!$B$2:$B$50,MATCH(SUBSTITUTE(INDEX($N$1:$W$1,IF(LARGE($N214:$W214,2)=MAX($N214:$W214),MATCH(MAX($N214:$W214),OFFSET($N214:$W214,0,MATCH(MAX($N214:$W214),$N214:$W214,0),1,10-MATCH(MAX($N214:$W214),$N214:$W214,0)),0)+MATCH(MAX($N214:$W214),$N214:$W214,0),MATCH(LARGE($N214:$W214,2),$N214:$W214,0))),"Score: ",""),Fields!$A$2:$A$50,0))))</f>
        <v/>
      </c>
      <c r="Z214" s="14" t="str">
        <f aca="false">IF(M214="","",IFERROR(INDEX('3 Hazed Questions'!$O$2:$O$23,MATCH(1,INDEX(('3 Hazed Questions'!$A$2:$A$23="Q5")*('3 Hazed Questions'!$C$2:$C$23=M214),0),0))&amp;"",""))</f>
        <v/>
      </c>
      <c r="AA214" s="18"/>
      <c r="AB214" s="18"/>
      <c r="AC214" s="19"/>
      <c r="AD214" s="19"/>
      <c r="AE214" s="18"/>
      <c r="AF214" s="18"/>
      <c r="AG214" s="18"/>
    </row>
    <row r="215" customFormat="false" ht="15" hidden="false" customHeight="false" outlineLevel="0" collapsed="false">
      <c r="A215" s="18"/>
      <c r="B215" s="19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4" t="str">
        <f aca="false">IF(COUNTA(I215:L215)=0,"",SUMIFS('3 Hazed Questions'!$E$2:$E$23,'3 Hazed Questions'!$A$2:$A$23,"Q1",'3 Hazed Questions'!$C$2:$C$23,I215)+SUMIFS('3 Hazed Questions'!$E$2:$E$23,'3 Hazed Questions'!$A$2:$A$23,"Q2",'3 Hazed Questions'!$C$2:$C$23,J215)+SUMIFS('3 Hazed Questions'!$E$2:$E$23,'3 Hazed Questions'!$A$2:$A$23,"Q3",'3 Hazed Questions'!$C$2:$C$23,K215)+SUMIFS('3 Hazed Questions'!$E$2:$E$23,'3 Hazed Questions'!$A$2:$A$23,"Q4",'3 Hazed Questions'!$C$2:$C$23,L215))</f>
        <v/>
      </c>
      <c r="O215" s="14" t="str">
        <f aca="false">IF(COUNTA(I215:L215)=0,"",SUMIFS('3 Hazed Questions'!$F$2:$F$23,'3 Hazed Questions'!$A$2:$A$23,"Q1",'3 Hazed Questions'!$C$2:$C$23,I215)+SUMIFS('3 Hazed Questions'!$F$2:$F$23,'3 Hazed Questions'!$A$2:$A$23,"Q2",'3 Hazed Questions'!$C$2:$C$23,J215)+SUMIFS('3 Hazed Questions'!$F$2:$F$23,'3 Hazed Questions'!$A$2:$A$23,"Q3",'3 Hazed Questions'!$C$2:$C$23,K215)+SUMIFS('3 Hazed Questions'!$F$2:$F$23,'3 Hazed Questions'!$A$2:$A$23,"Q4",'3 Hazed Questions'!$C$2:$C$23,L215))</f>
        <v/>
      </c>
      <c r="P215" s="14" t="str">
        <f aca="false">IF(COUNTA(I215:L215)=0,"",SUMIFS('3 Hazed Questions'!$G$2:$G$23,'3 Hazed Questions'!$A$2:$A$23,"Q1",'3 Hazed Questions'!$C$2:$C$23,I215)+SUMIFS('3 Hazed Questions'!$G$2:$G$23,'3 Hazed Questions'!$A$2:$A$23,"Q2",'3 Hazed Questions'!$C$2:$C$23,J215)+SUMIFS('3 Hazed Questions'!$G$2:$G$23,'3 Hazed Questions'!$A$2:$A$23,"Q3",'3 Hazed Questions'!$C$2:$C$23,K215)+SUMIFS('3 Hazed Questions'!$G$2:$G$23,'3 Hazed Questions'!$A$2:$A$23,"Q4",'3 Hazed Questions'!$C$2:$C$23,L215))</f>
        <v/>
      </c>
      <c r="Q215" s="14" t="str">
        <f aca="false">IF(COUNTA(I215:L215)=0,"",SUMIFS('3 Hazed Questions'!$H$2:$H$23,'3 Hazed Questions'!$A$2:$A$23,"Q1",'3 Hazed Questions'!$C$2:$C$23,I215)+SUMIFS('3 Hazed Questions'!$H$2:$H$23,'3 Hazed Questions'!$A$2:$A$23,"Q2",'3 Hazed Questions'!$C$2:$C$23,J215)+SUMIFS('3 Hazed Questions'!$H$2:$H$23,'3 Hazed Questions'!$A$2:$A$23,"Q3",'3 Hazed Questions'!$C$2:$C$23,K215)+SUMIFS('3 Hazed Questions'!$H$2:$H$23,'3 Hazed Questions'!$A$2:$A$23,"Q4",'3 Hazed Questions'!$C$2:$C$23,L215))</f>
        <v/>
      </c>
      <c r="R215" s="14" t="str">
        <f aca="false">IF(COUNTA(I215:L215)=0,"",SUMIFS('3 Hazed Questions'!$I$2:$I$23,'3 Hazed Questions'!$A$2:$A$23,"Q1",'3 Hazed Questions'!$C$2:$C$23,I215)+SUMIFS('3 Hazed Questions'!$I$2:$I$23,'3 Hazed Questions'!$A$2:$A$23,"Q2",'3 Hazed Questions'!$C$2:$C$23,J215)+SUMIFS('3 Hazed Questions'!$I$2:$I$23,'3 Hazed Questions'!$A$2:$A$23,"Q3",'3 Hazed Questions'!$C$2:$C$23,K215)+SUMIFS('3 Hazed Questions'!$I$2:$I$23,'3 Hazed Questions'!$A$2:$A$23,"Q4",'3 Hazed Questions'!$C$2:$C$23,L215))</f>
        <v/>
      </c>
      <c r="S215" s="14" t="str">
        <f aca="false">IF(COUNTA(I215:L215)=0,"",SUMIFS('3 Hazed Questions'!$J$2:$J$23,'3 Hazed Questions'!$A$2:$A$23,"Q1",'3 Hazed Questions'!$C$2:$C$23,I215)+SUMIFS('3 Hazed Questions'!$J$2:$J$23,'3 Hazed Questions'!$A$2:$A$23,"Q2",'3 Hazed Questions'!$C$2:$C$23,J215)+SUMIFS('3 Hazed Questions'!$J$2:$J$23,'3 Hazed Questions'!$A$2:$A$23,"Q3",'3 Hazed Questions'!$C$2:$C$23,K215)+SUMIFS('3 Hazed Questions'!$J$2:$J$23,'3 Hazed Questions'!$A$2:$A$23,"Q4",'3 Hazed Questions'!$C$2:$C$23,L215))</f>
        <v/>
      </c>
      <c r="T215" s="14" t="str">
        <f aca="false">IF(COUNTA(I215:L215)=0,"",SUMIFS('3 Hazed Questions'!$K$2:$K$23,'3 Hazed Questions'!$A$2:$A$23,"Q1",'3 Hazed Questions'!$C$2:$C$23,I215)+SUMIFS('3 Hazed Questions'!$K$2:$K$23,'3 Hazed Questions'!$A$2:$A$23,"Q2",'3 Hazed Questions'!$C$2:$C$23,J215)+SUMIFS('3 Hazed Questions'!$K$2:$K$23,'3 Hazed Questions'!$A$2:$A$23,"Q3",'3 Hazed Questions'!$C$2:$C$23,K215)+SUMIFS('3 Hazed Questions'!$K$2:$K$23,'3 Hazed Questions'!$A$2:$A$23,"Q4",'3 Hazed Questions'!$C$2:$C$23,L215))</f>
        <v/>
      </c>
      <c r="U215" s="14" t="str">
        <f aca="false">IF(COUNTA(I215:L215)=0,"",SUMIFS('3 Hazed Questions'!$L$2:$L$23,'3 Hazed Questions'!$A$2:$A$23,"Q1",'3 Hazed Questions'!$C$2:$C$23,I215)+SUMIFS('3 Hazed Questions'!$L$2:$L$23,'3 Hazed Questions'!$A$2:$A$23,"Q2",'3 Hazed Questions'!$C$2:$C$23,J215)+SUMIFS('3 Hazed Questions'!$L$2:$L$23,'3 Hazed Questions'!$A$2:$A$23,"Q3",'3 Hazed Questions'!$C$2:$C$23,K215)+SUMIFS('3 Hazed Questions'!$L$2:$L$23,'3 Hazed Questions'!$A$2:$A$23,"Q4",'3 Hazed Questions'!$C$2:$C$23,L215))</f>
        <v/>
      </c>
      <c r="V215" s="14" t="str">
        <f aca="false">IF(COUNTA(I215:L215)=0,"",SUMIFS('3 Hazed Questions'!$M$2:$M$23,'3 Hazed Questions'!$A$2:$A$23,"Q1",'3 Hazed Questions'!$C$2:$C$23,I215)+SUMIFS('3 Hazed Questions'!$M$2:$M$23,'3 Hazed Questions'!$A$2:$A$23,"Q2",'3 Hazed Questions'!$C$2:$C$23,J215)+SUMIFS('3 Hazed Questions'!$M$2:$M$23,'3 Hazed Questions'!$A$2:$A$23,"Q3",'3 Hazed Questions'!$C$2:$C$23,K215)+SUMIFS('3 Hazed Questions'!$M$2:$M$23,'3 Hazed Questions'!$A$2:$A$23,"Q4",'3 Hazed Questions'!$C$2:$C$23,L215))</f>
        <v/>
      </c>
      <c r="W215" s="14" t="str">
        <f aca="false">IF(COUNTA(I215:L215)=0,"",SUMIFS('3 Hazed Questions'!$N$2:$N$23,'3 Hazed Questions'!$A$2:$A$23,"Q1",'3 Hazed Questions'!$C$2:$C$23,I215)+SUMIFS('3 Hazed Questions'!$N$2:$N$23,'3 Hazed Questions'!$A$2:$A$23,"Q2",'3 Hazed Questions'!$C$2:$C$23,J215)+SUMIFS('3 Hazed Questions'!$N$2:$N$23,'3 Hazed Questions'!$A$2:$A$23,"Q3",'3 Hazed Questions'!$C$2:$C$23,K215)+SUMIFS('3 Hazed Questions'!$N$2:$N$23,'3 Hazed Questions'!$A$2:$A$23,"Q4",'3 Hazed Questions'!$C$2:$C$23,L215))</f>
        <v/>
      </c>
      <c r="X215" s="14" t="str">
        <f aca="false">IF(COUNTA(I215:L215)=0,"",INDEX(Fields!$B$2:$B$50,MATCH(SUBSTITUTE(INDEX($N$1:$W$1,MATCH(MAX($N215:$W215),$N215:$W215,0)),"Score: ",""),Fields!$A$2:$A$50,0)))</f>
        <v/>
      </c>
      <c r="Y215" s="14" t="str">
        <f aca="true">IF(COUNTA(I215:L215)=0,"",IF(LARGE($N215:$W215,2)=0,"-",INDEX(Fields!$B$2:$B$50,MATCH(SUBSTITUTE(INDEX($N$1:$W$1,IF(LARGE($N215:$W215,2)=MAX($N215:$W215),MATCH(MAX($N215:$W215),OFFSET($N215:$W215,0,MATCH(MAX($N215:$W215),$N215:$W215,0),1,10-MATCH(MAX($N215:$W215),$N215:$W215,0)),0)+MATCH(MAX($N215:$W215),$N215:$W215,0),MATCH(LARGE($N215:$W215,2),$N215:$W215,0))),"Score: ",""),Fields!$A$2:$A$50,0))))</f>
        <v/>
      </c>
      <c r="Z215" s="14" t="str">
        <f aca="false">IF(M215="","",IFERROR(INDEX('3 Hazed Questions'!$O$2:$O$23,MATCH(1,INDEX(('3 Hazed Questions'!$A$2:$A$23="Q5")*('3 Hazed Questions'!$C$2:$C$23=M215),0),0))&amp;"",""))</f>
        <v/>
      </c>
      <c r="AA215" s="18"/>
      <c r="AB215" s="18"/>
      <c r="AC215" s="19"/>
      <c r="AD215" s="19"/>
      <c r="AE215" s="18"/>
      <c r="AF215" s="18"/>
      <c r="AG215" s="18"/>
    </row>
    <row r="216" customFormat="false" ht="15" hidden="false" customHeight="false" outlineLevel="0" collapsed="false">
      <c r="A216" s="18"/>
      <c r="B216" s="19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4" t="str">
        <f aca="false">IF(COUNTA(I216:L216)=0,"",SUMIFS('3 Hazed Questions'!$E$2:$E$23,'3 Hazed Questions'!$A$2:$A$23,"Q1",'3 Hazed Questions'!$C$2:$C$23,I216)+SUMIFS('3 Hazed Questions'!$E$2:$E$23,'3 Hazed Questions'!$A$2:$A$23,"Q2",'3 Hazed Questions'!$C$2:$C$23,J216)+SUMIFS('3 Hazed Questions'!$E$2:$E$23,'3 Hazed Questions'!$A$2:$A$23,"Q3",'3 Hazed Questions'!$C$2:$C$23,K216)+SUMIFS('3 Hazed Questions'!$E$2:$E$23,'3 Hazed Questions'!$A$2:$A$23,"Q4",'3 Hazed Questions'!$C$2:$C$23,L216))</f>
        <v/>
      </c>
      <c r="O216" s="14" t="str">
        <f aca="false">IF(COUNTA(I216:L216)=0,"",SUMIFS('3 Hazed Questions'!$F$2:$F$23,'3 Hazed Questions'!$A$2:$A$23,"Q1",'3 Hazed Questions'!$C$2:$C$23,I216)+SUMIFS('3 Hazed Questions'!$F$2:$F$23,'3 Hazed Questions'!$A$2:$A$23,"Q2",'3 Hazed Questions'!$C$2:$C$23,J216)+SUMIFS('3 Hazed Questions'!$F$2:$F$23,'3 Hazed Questions'!$A$2:$A$23,"Q3",'3 Hazed Questions'!$C$2:$C$23,K216)+SUMIFS('3 Hazed Questions'!$F$2:$F$23,'3 Hazed Questions'!$A$2:$A$23,"Q4",'3 Hazed Questions'!$C$2:$C$23,L216))</f>
        <v/>
      </c>
      <c r="P216" s="14" t="str">
        <f aca="false">IF(COUNTA(I216:L216)=0,"",SUMIFS('3 Hazed Questions'!$G$2:$G$23,'3 Hazed Questions'!$A$2:$A$23,"Q1",'3 Hazed Questions'!$C$2:$C$23,I216)+SUMIFS('3 Hazed Questions'!$G$2:$G$23,'3 Hazed Questions'!$A$2:$A$23,"Q2",'3 Hazed Questions'!$C$2:$C$23,J216)+SUMIFS('3 Hazed Questions'!$G$2:$G$23,'3 Hazed Questions'!$A$2:$A$23,"Q3",'3 Hazed Questions'!$C$2:$C$23,K216)+SUMIFS('3 Hazed Questions'!$G$2:$G$23,'3 Hazed Questions'!$A$2:$A$23,"Q4",'3 Hazed Questions'!$C$2:$C$23,L216))</f>
        <v/>
      </c>
      <c r="Q216" s="14" t="str">
        <f aca="false">IF(COUNTA(I216:L216)=0,"",SUMIFS('3 Hazed Questions'!$H$2:$H$23,'3 Hazed Questions'!$A$2:$A$23,"Q1",'3 Hazed Questions'!$C$2:$C$23,I216)+SUMIFS('3 Hazed Questions'!$H$2:$H$23,'3 Hazed Questions'!$A$2:$A$23,"Q2",'3 Hazed Questions'!$C$2:$C$23,J216)+SUMIFS('3 Hazed Questions'!$H$2:$H$23,'3 Hazed Questions'!$A$2:$A$23,"Q3",'3 Hazed Questions'!$C$2:$C$23,K216)+SUMIFS('3 Hazed Questions'!$H$2:$H$23,'3 Hazed Questions'!$A$2:$A$23,"Q4",'3 Hazed Questions'!$C$2:$C$23,L216))</f>
        <v/>
      </c>
      <c r="R216" s="14" t="str">
        <f aca="false">IF(COUNTA(I216:L216)=0,"",SUMIFS('3 Hazed Questions'!$I$2:$I$23,'3 Hazed Questions'!$A$2:$A$23,"Q1",'3 Hazed Questions'!$C$2:$C$23,I216)+SUMIFS('3 Hazed Questions'!$I$2:$I$23,'3 Hazed Questions'!$A$2:$A$23,"Q2",'3 Hazed Questions'!$C$2:$C$23,J216)+SUMIFS('3 Hazed Questions'!$I$2:$I$23,'3 Hazed Questions'!$A$2:$A$23,"Q3",'3 Hazed Questions'!$C$2:$C$23,K216)+SUMIFS('3 Hazed Questions'!$I$2:$I$23,'3 Hazed Questions'!$A$2:$A$23,"Q4",'3 Hazed Questions'!$C$2:$C$23,L216))</f>
        <v/>
      </c>
      <c r="S216" s="14" t="str">
        <f aca="false">IF(COUNTA(I216:L216)=0,"",SUMIFS('3 Hazed Questions'!$J$2:$J$23,'3 Hazed Questions'!$A$2:$A$23,"Q1",'3 Hazed Questions'!$C$2:$C$23,I216)+SUMIFS('3 Hazed Questions'!$J$2:$J$23,'3 Hazed Questions'!$A$2:$A$23,"Q2",'3 Hazed Questions'!$C$2:$C$23,J216)+SUMIFS('3 Hazed Questions'!$J$2:$J$23,'3 Hazed Questions'!$A$2:$A$23,"Q3",'3 Hazed Questions'!$C$2:$C$23,K216)+SUMIFS('3 Hazed Questions'!$J$2:$J$23,'3 Hazed Questions'!$A$2:$A$23,"Q4",'3 Hazed Questions'!$C$2:$C$23,L216))</f>
        <v/>
      </c>
      <c r="T216" s="14" t="str">
        <f aca="false">IF(COUNTA(I216:L216)=0,"",SUMIFS('3 Hazed Questions'!$K$2:$K$23,'3 Hazed Questions'!$A$2:$A$23,"Q1",'3 Hazed Questions'!$C$2:$C$23,I216)+SUMIFS('3 Hazed Questions'!$K$2:$K$23,'3 Hazed Questions'!$A$2:$A$23,"Q2",'3 Hazed Questions'!$C$2:$C$23,J216)+SUMIFS('3 Hazed Questions'!$K$2:$K$23,'3 Hazed Questions'!$A$2:$A$23,"Q3",'3 Hazed Questions'!$C$2:$C$23,K216)+SUMIFS('3 Hazed Questions'!$K$2:$K$23,'3 Hazed Questions'!$A$2:$A$23,"Q4",'3 Hazed Questions'!$C$2:$C$23,L216))</f>
        <v/>
      </c>
      <c r="U216" s="14" t="str">
        <f aca="false">IF(COUNTA(I216:L216)=0,"",SUMIFS('3 Hazed Questions'!$L$2:$L$23,'3 Hazed Questions'!$A$2:$A$23,"Q1",'3 Hazed Questions'!$C$2:$C$23,I216)+SUMIFS('3 Hazed Questions'!$L$2:$L$23,'3 Hazed Questions'!$A$2:$A$23,"Q2",'3 Hazed Questions'!$C$2:$C$23,J216)+SUMIFS('3 Hazed Questions'!$L$2:$L$23,'3 Hazed Questions'!$A$2:$A$23,"Q3",'3 Hazed Questions'!$C$2:$C$23,K216)+SUMIFS('3 Hazed Questions'!$L$2:$L$23,'3 Hazed Questions'!$A$2:$A$23,"Q4",'3 Hazed Questions'!$C$2:$C$23,L216))</f>
        <v/>
      </c>
      <c r="V216" s="14" t="str">
        <f aca="false">IF(COUNTA(I216:L216)=0,"",SUMIFS('3 Hazed Questions'!$M$2:$M$23,'3 Hazed Questions'!$A$2:$A$23,"Q1",'3 Hazed Questions'!$C$2:$C$23,I216)+SUMIFS('3 Hazed Questions'!$M$2:$M$23,'3 Hazed Questions'!$A$2:$A$23,"Q2",'3 Hazed Questions'!$C$2:$C$23,J216)+SUMIFS('3 Hazed Questions'!$M$2:$M$23,'3 Hazed Questions'!$A$2:$A$23,"Q3",'3 Hazed Questions'!$C$2:$C$23,K216)+SUMIFS('3 Hazed Questions'!$M$2:$M$23,'3 Hazed Questions'!$A$2:$A$23,"Q4",'3 Hazed Questions'!$C$2:$C$23,L216))</f>
        <v/>
      </c>
      <c r="W216" s="14" t="str">
        <f aca="false">IF(COUNTA(I216:L216)=0,"",SUMIFS('3 Hazed Questions'!$N$2:$N$23,'3 Hazed Questions'!$A$2:$A$23,"Q1",'3 Hazed Questions'!$C$2:$C$23,I216)+SUMIFS('3 Hazed Questions'!$N$2:$N$23,'3 Hazed Questions'!$A$2:$A$23,"Q2",'3 Hazed Questions'!$C$2:$C$23,J216)+SUMIFS('3 Hazed Questions'!$N$2:$N$23,'3 Hazed Questions'!$A$2:$A$23,"Q3",'3 Hazed Questions'!$C$2:$C$23,K216)+SUMIFS('3 Hazed Questions'!$N$2:$N$23,'3 Hazed Questions'!$A$2:$A$23,"Q4",'3 Hazed Questions'!$C$2:$C$23,L216))</f>
        <v/>
      </c>
      <c r="X216" s="14" t="str">
        <f aca="false">IF(COUNTA(I216:L216)=0,"",INDEX(Fields!$B$2:$B$50,MATCH(SUBSTITUTE(INDEX($N$1:$W$1,MATCH(MAX($N216:$W216),$N216:$W216,0)),"Score: ",""),Fields!$A$2:$A$50,0)))</f>
        <v/>
      </c>
      <c r="Y216" s="14" t="str">
        <f aca="true">IF(COUNTA(I216:L216)=0,"",IF(LARGE($N216:$W216,2)=0,"-",INDEX(Fields!$B$2:$B$50,MATCH(SUBSTITUTE(INDEX($N$1:$W$1,IF(LARGE($N216:$W216,2)=MAX($N216:$W216),MATCH(MAX($N216:$W216),OFFSET($N216:$W216,0,MATCH(MAX($N216:$W216),$N216:$W216,0),1,10-MATCH(MAX($N216:$W216),$N216:$W216,0)),0)+MATCH(MAX($N216:$W216),$N216:$W216,0),MATCH(LARGE($N216:$W216,2),$N216:$W216,0))),"Score: ",""),Fields!$A$2:$A$50,0))))</f>
        <v/>
      </c>
      <c r="Z216" s="14" t="str">
        <f aca="false">IF(M216="","",IFERROR(INDEX('3 Hazed Questions'!$O$2:$O$23,MATCH(1,INDEX(('3 Hazed Questions'!$A$2:$A$23="Q5")*('3 Hazed Questions'!$C$2:$C$23=M216),0),0))&amp;"",""))</f>
        <v/>
      </c>
      <c r="AA216" s="18"/>
      <c r="AB216" s="18"/>
      <c r="AC216" s="19"/>
      <c r="AD216" s="19"/>
      <c r="AE216" s="18"/>
      <c r="AF216" s="18"/>
      <c r="AG216" s="18"/>
    </row>
    <row r="217" customFormat="false" ht="15" hidden="false" customHeight="false" outlineLevel="0" collapsed="false">
      <c r="A217" s="18"/>
      <c r="B217" s="19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4" t="str">
        <f aca="false">IF(COUNTA(I217:L217)=0,"",SUMIFS('3 Hazed Questions'!$E$2:$E$23,'3 Hazed Questions'!$A$2:$A$23,"Q1",'3 Hazed Questions'!$C$2:$C$23,I217)+SUMIFS('3 Hazed Questions'!$E$2:$E$23,'3 Hazed Questions'!$A$2:$A$23,"Q2",'3 Hazed Questions'!$C$2:$C$23,J217)+SUMIFS('3 Hazed Questions'!$E$2:$E$23,'3 Hazed Questions'!$A$2:$A$23,"Q3",'3 Hazed Questions'!$C$2:$C$23,K217)+SUMIFS('3 Hazed Questions'!$E$2:$E$23,'3 Hazed Questions'!$A$2:$A$23,"Q4",'3 Hazed Questions'!$C$2:$C$23,L217))</f>
        <v/>
      </c>
      <c r="O217" s="14" t="str">
        <f aca="false">IF(COUNTA(I217:L217)=0,"",SUMIFS('3 Hazed Questions'!$F$2:$F$23,'3 Hazed Questions'!$A$2:$A$23,"Q1",'3 Hazed Questions'!$C$2:$C$23,I217)+SUMIFS('3 Hazed Questions'!$F$2:$F$23,'3 Hazed Questions'!$A$2:$A$23,"Q2",'3 Hazed Questions'!$C$2:$C$23,J217)+SUMIFS('3 Hazed Questions'!$F$2:$F$23,'3 Hazed Questions'!$A$2:$A$23,"Q3",'3 Hazed Questions'!$C$2:$C$23,K217)+SUMIFS('3 Hazed Questions'!$F$2:$F$23,'3 Hazed Questions'!$A$2:$A$23,"Q4",'3 Hazed Questions'!$C$2:$C$23,L217))</f>
        <v/>
      </c>
      <c r="P217" s="14" t="str">
        <f aca="false">IF(COUNTA(I217:L217)=0,"",SUMIFS('3 Hazed Questions'!$G$2:$G$23,'3 Hazed Questions'!$A$2:$A$23,"Q1",'3 Hazed Questions'!$C$2:$C$23,I217)+SUMIFS('3 Hazed Questions'!$G$2:$G$23,'3 Hazed Questions'!$A$2:$A$23,"Q2",'3 Hazed Questions'!$C$2:$C$23,J217)+SUMIFS('3 Hazed Questions'!$G$2:$G$23,'3 Hazed Questions'!$A$2:$A$23,"Q3",'3 Hazed Questions'!$C$2:$C$23,K217)+SUMIFS('3 Hazed Questions'!$G$2:$G$23,'3 Hazed Questions'!$A$2:$A$23,"Q4",'3 Hazed Questions'!$C$2:$C$23,L217))</f>
        <v/>
      </c>
      <c r="Q217" s="14" t="str">
        <f aca="false">IF(COUNTA(I217:L217)=0,"",SUMIFS('3 Hazed Questions'!$H$2:$H$23,'3 Hazed Questions'!$A$2:$A$23,"Q1",'3 Hazed Questions'!$C$2:$C$23,I217)+SUMIFS('3 Hazed Questions'!$H$2:$H$23,'3 Hazed Questions'!$A$2:$A$23,"Q2",'3 Hazed Questions'!$C$2:$C$23,J217)+SUMIFS('3 Hazed Questions'!$H$2:$H$23,'3 Hazed Questions'!$A$2:$A$23,"Q3",'3 Hazed Questions'!$C$2:$C$23,K217)+SUMIFS('3 Hazed Questions'!$H$2:$H$23,'3 Hazed Questions'!$A$2:$A$23,"Q4",'3 Hazed Questions'!$C$2:$C$23,L217))</f>
        <v/>
      </c>
      <c r="R217" s="14" t="str">
        <f aca="false">IF(COUNTA(I217:L217)=0,"",SUMIFS('3 Hazed Questions'!$I$2:$I$23,'3 Hazed Questions'!$A$2:$A$23,"Q1",'3 Hazed Questions'!$C$2:$C$23,I217)+SUMIFS('3 Hazed Questions'!$I$2:$I$23,'3 Hazed Questions'!$A$2:$A$23,"Q2",'3 Hazed Questions'!$C$2:$C$23,J217)+SUMIFS('3 Hazed Questions'!$I$2:$I$23,'3 Hazed Questions'!$A$2:$A$23,"Q3",'3 Hazed Questions'!$C$2:$C$23,K217)+SUMIFS('3 Hazed Questions'!$I$2:$I$23,'3 Hazed Questions'!$A$2:$A$23,"Q4",'3 Hazed Questions'!$C$2:$C$23,L217))</f>
        <v/>
      </c>
      <c r="S217" s="14" t="str">
        <f aca="false">IF(COUNTA(I217:L217)=0,"",SUMIFS('3 Hazed Questions'!$J$2:$J$23,'3 Hazed Questions'!$A$2:$A$23,"Q1",'3 Hazed Questions'!$C$2:$C$23,I217)+SUMIFS('3 Hazed Questions'!$J$2:$J$23,'3 Hazed Questions'!$A$2:$A$23,"Q2",'3 Hazed Questions'!$C$2:$C$23,J217)+SUMIFS('3 Hazed Questions'!$J$2:$J$23,'3 Hazed Questions'!$A$2:$A$23,"Q3",'3 Hazed Questions'!$C$2:$C$23,K217)+SUMIFS('3 Hazed Questions'!$J$2:$J$23,'3 Hazed Questions'!$A$2:$A$23,"Q4",'3 Hazed Questions'!$C$2:$C$23,L217))</f>
        <v/>
      </c>
      <c r="T217" s="14" t="str">
        <f aca="false">IF(COUNTA(I217:L217)=0,"",SUMIFS('3 Hazed Questions'!$K$2:$K$23,'3 Hazed Questions'!$A$2:$A$23,"Q1",'3 Hazed Questions'!$C$2:$C$23,I217)+SUMIFS('3 Hazed Questions'!$K$2:$K$23,'3 Hazed Questions'!$A$2:$A$23,"Q2",'3 Hazed Questions'!$C$2:$C$23,J217)+SUMIFS('3 Hazed Questions'!$K$2:$K$23,'3 Hazed Questions'!$A$2:$A$23,"Q3",'3 Hazed Questions'!$C$2:$C$23,K217)+SUMIFS('3 Hazed Questions'!$K$2:$K$23,'3 Hazed Questions'!$A$2:$A$23,"Q4",'3 Hazed Questions'!$C$2:$C$23,L217))</f>
        <v/>
      </c>
      <c r="U217" s="14" t="str">
        <f aca="false">IF(COUNTA(I217:L217)=0,"",SUMIFS('3 Hazed Questions'!$L$2:$L$23,'3 Hazed Questions'!$A$2:$A$23,"Q1",'3 Hazed Questions'!$C$2:$C$23,I217)+SUMIFS('3 Hazed Questions'!$L$2:$L$23,'3 Hazed Questions'!$A$2:$A$23,"Q2",'3 Hazed Questions'!$C$2:$C$23,J217)+SUMIFS('3 Hazed Questions'!$L$2:$L$23,'3 Hazed Questions'!$A$2:$A$23,"Q3",'3 Hazed Questions'!$C$2:$C$23,K217)+SUMIFS('3 Hazed Questions'!$L$2:$L$23,'3 Hazed Questions'!$A$2:$A$23,"Q4",'3 Hazed Questions'!$C$2:$C$23,L217))</f>
        <v/>
      </c>
      <c r="V217" s="14" t="str">
        <f aca="false">IF(COUNTA(I217:L217)=0,"",SUMIFS('3 Hazed Questions'!$M$2:$M$23,'3 Hazed Questions'!$A$2:$A$23,"Q1",'3 Hazed Questions'!$C$2:$C$23,I217)+SUMIFS('3 Hazed Questions'!$M$2:$M$23,'3 Hazed Questions'!$A$2:$A$23,"Q2",'3 Hazed Questions'!$C$2:$C$23,J217)+SUMIFS('3 Hazed Questions'!$M$2:$M$23,'3 Hazed Questions'!$A$2:$A$23,"Q3",'3 Hazed Questions'!$C$2:$C$23,K217)+SUMIFS('3 Hazed Questions'!$M$2:$M$23,'3 Hazed Questions'!$A$2:$A$23,"Q4",'3 Hazed Questions'!$C$2:$C$23,L217))</f>
        <v/>
      </c>
      <c r="W217" s="14" t="str">
        <f aca="false">IF(COUNTA(I217:L217)=0,"",SUMIFS('3 Hazed Questions'!$N$2:$N$23,'3 Hazed Questions'!$A$2:$A$23,"Q1",'3 Hazed Questions'!$C$2:$C$23,I217)+SUMIFS('3 Hazed Questions'!$N$2:$N$23,'3 Hazed Questions'!$A$2:$A$23,"Q2",'3 Hazed Questions'!$C$2:$C$23,J217)+SUMIFS('3 Hazed Questions'!$N$2:$N$23,'3 Hazed Questions'!$A$2:$A$23,"Q3",'3 Hazed Questions'!$C$2:$C$23,K217)+SUMIFS('3 Hazed Questions'!$N$2:$N$23,'3 Hazed Questions'!$A$2:$A$23,"Q4",'3 Hazed Questions'!$C$2:$C$23,L217))</f>
        <v/>
      </c>
      <c r="X217" s="14" t="str">
        <f aca="false">IF(COUNTA(I217:L217)=0,"",INDEX(Fields!$B$2:$B$50,MATCH(SUBSTITUTE(INDEX($N$1:$W$1,MATCH(MAX($N217:$W217),$N217:$W217,0)),"Score: ",""),Fields!$A$2:$A$50,0)))</f>
        <v/>
      </c>
      <c r="Y217" s="14" t="str">
        <f aca="true">IF(COUNTA(I217:L217)=0,"",IF(LARGE($N217:$W217,2)=0,"-",INDEX(Fields!$B$2:$B$50,MATCH(SUBSTITUTE(INDEX($N$1:$W$1,IF(LARGE($N217:$W217,2)=MAX($N217:$W217),MATCH(MAX($N217:$W217),OFFSET($N217:$W217,0,MATCH(MAX($N217:$W217),$N217:$W217,0),1,10-MATCH(MAX($N217:$W217),$N217:$W217,0)),0)+MATCH(MAX($N217:$W217),$N217:$W217,0),MATCH(LARGE($N217:$W217,2),$N217:$W217,0))),"Score: ",""),Fields!$A$2:$A$50,0))))</f>
        <v/>
      </c>
      <c r="Z217" s="14" t="str">
        <f aca="false">IF(M217="","",IFERROR(INDEX('3 Hazed Questions'!$O$2:$O$23,MATCH(1,INDEX(('3 Hazed Questions'!$A$2:$A$23="Q5")*('3 Hazed Questions'!$C$2:$C$23=M217),0),0))&amp;"",""))</f>
        <v/>
      </c>
      <c r="AA217" s="18"/>
      <c r="AB217" s="18"/>
      <c r="AC217" s="19"/>
      <c r="AD217" s="19"/>
      <c r="AE217" s="18"/>
      <c r="AF217" s="18"/>
      <c r="AG217" s="18"/>
    </row>
    <row r="218" customFormat="false" ht="15" hidden="false" customHeight="false" outlineLevel="0" collapsed="false">
      <c r="A218" s="18"/>
      <c r="B218" s="19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4" t="str">
        <f aca="false">IF(COUNTA(I218:L218)=0,"",SUMIFS('3 Hazed Questions'!$E$2:$E$23,'3 Hazed Questions'!$A$2:$A$23,"Q1",'3 Hazed Questions'!$C$2:$C$23,I218)+SUMIFS('3 Hazed Questions'!$E$2:$E$23,'3 Hazed Questions'!$A$2:$A$23,"Q2",'3 Hazed Questions'!$C$2:$C$23,J218)+SUMIFS('3 Hazed Questions'!$E$2:$E$23,'3 Hazed Questions'!$A$2:$A$23,"Q3",'3 Hazed Questions'!$C$2:$C$23,K218)+SUMIFS('3 Hazed Questions'!$E$2:$E$23,'3 Hazed Questions'!$A$2:$A$23,"Q4",'3 Hazed Questions'!$C$2:$C$23,L218))</f>
        <v/>
      </c>
      <c r="O218" s="14" t="str">
        <f aca="false">IF(COUNTA(I218:L218)=0,"",SUMIFS('3 Hazed Questions'!$F$2:$F$23,'3 Hazed Questions'!$A$2:$A$23,"Q1",'3 Hazed Questions'!$C$2:$C$23,I218)+SUMIFS('3 Hazed Questions'!$F$2:$F$23,'3 Hazed Questions'!$A$2:$A$23,"Q2",'3 Hazed Questions'!$C$2:$C$23,J218)+SUMIFS('3 Hazed Questions'!$F$2:$F$23,'3 Hazed Questions'!$A$2:$A$23,"Q3",'3 Hazed Questions'!$C$2:$C$23,K218)+SUMIFS('3 Hazed Questions'!$F$2:$F$23,'3 Hazed Questions'!$A$2:$A$23,"Q4",'3 Hazed Questions'!$C$2:$C$23,L218))</f>
        <v/>
      </c>
      <c r="P218" s="14" t="str">
        <f aca="false">IF(COUNTA(I218:L218)=0,"",SUMIFS('3 Hazed Questions'!$G$2:$G$23,'3 Hazed Questions'!$A$2:$A$23,"Q1",'3 Hazed Questions'!$C$2:$C$23,I218)+SUMIFS('3 Hazed Questions'!$G$2:$G$23,'3 Hazed Questions'!$A$2:$A$23,"Q2",'3 Hazed Questions'!$C$2:$C$23,J218)+SUMIFS('3 Hazed Questions'!$G$2:$G$23,'3 Hazed Questions'!$A$2:$A$23,"Q3",'3 Hazed Questions'!$C$2:$C$23,K218)+SUMIFS('3 Hazed Questions'!$G$2:$G$23,'3 Hazed Questions'!$A$2:$A$23,"Q4",'3 Hazed Questions'!$C$2:$C$23,L218))</f>
        <v/>
      </c>
      <c r="Q218" s="14" t="str">
        <f aca="false">IF(COUNTA(I218:L218)=0,"",SUMIFS('3 Hazed Questions'!$H$2:$H$23,'3 Hazed Questions'!$A$2:$A$23,"Q1",'3 Hazed Questions'!$C$2:$C$23,I218)+SUMIFS('3 Hazed Questions'!$H$2:$H$23,'3 Hazed Questions'!$A$2:$A$23,"Q2",'3 Hazed Questions'!$C$2:$C$23,J218)+SUMIFS('3 Hazed Questions'!$H$2:$H$23,'3 Hazed Questions'!$A$2:$A$23,"Q3",'3 Hazed Questions'!$C$2:$C$23,K218)+SUMIFS('3 Hazed Questions'!$H$2:$H$23,'3 Hazed Questions'!$A$2:$A$23,"Q4",'3 Hazed Questions'!$C$2:$C$23,L218))</f>
        <v/>
      </c>
      <c r="R218" s="14" t="str">
        <f aca="false">IF(COUNTA(I218:L218)=0,"",SUMIFS('3 Hazed Questions'!$I$2:$I$23,'3 Hazed Questions'!$A$2:$A$23,"Q1",'3 Hazed Questions'!$C$2:$C$23,I218)+SUMIFS('3 Hazed Questions'!$I$2:$I$23,'3 Hazed Questions'!$A$2:$A$23,"Q2",'3 Hazed Questions'!$C$2:$C$23,J218)+SUMIFS('3 Hazed Questions'!$I$2:$I$23,'3 Hazed Questions'!$A$2:$A$23,"Q3",'3 Hazed Questions'!$C$2:$C$23,K218)+SUMIFS('3 Hazed Questions'!$I$2:$I$23,'3 Hazed Questions'!$A$2:$A$23,"Q4",'3 Hazed Questions'!$C$2:$C$23,L218))</f>
        <v/>
      </c>
      <c r="S218" s="14" t="str">
        <f aca="false">IF(COUNTA(I218:L218)=0,"",SUMIFS('3 Hazed Questions'!$J$2:$J$23,'3 Hazed Questions'!$A$2:$A$23,"Q1",'3 Hazed Questions'!$C$2:$C$23,I218)+SUMIFS('3 Hazed Questions'!$J$2:$J$23,'3 Hazed Questions'!$A$2:$A$23,"Q2",'3 Hazed Questions'!$C$2:$C$23,J218)+SUMIFS('3 Hazed Questions'!$J$2:$J$23,'3 Hazed Questions'!$A$2:$A$23,"Q3",'3 Hazed Questions'!$C$2:$C$23,K218)+SUMIFS('3 Hazed Questions'!$J$2:$J$23,'3 Hazed Questions'!$A$2:$A$23,"Q4",'3 Hazed Questions'!$C$2:$C$23,L218))</f>
        <v/>
      </c>
      <c r="T218" s="14" t="str">
        <f aca="false">IF(COUNTA(I218:L218)=0,"",SUMIFS('3 Hazed Questions'!$K$2:$K$23,'3 Hazed Questions'!$A$2:$A$23,"Q1",'3 Hazed Questions'!$C$2:$C$23,I218)+SUMIFS('3 Hazed Questions'!$K$2:$K$23,'3 Hazed Questions'!$A$2:$A$23,"Q2",'3 Hazed Questions'!$C$2:$C$23,J218)+SUMIFS('3 Hazed Questions'!$K$2:$K$23,'3 Hazed Questions'!$A$2:$A$23,"Q3",'3 Hazed Questions'!$C$2:$C$23,K218)+SUMIFS('3 Hazed Questions'!$K$2:$K$23,'3 Hazed Questions'!$A$2:$A$23,"Q4",'3 Hazed Questions'!$C$2:$C$23,L218))</f>
        <v/>
      </c>
      <c r="U218" s="14" t="str">
        <f aca="false">IF(COUNTA(I218:L218)=0,"",SUMIFS('3 Hazed Questions'!$L$2:$L$23,'3 Hazed Questions'!$A$2:$A$23,"Q1",'3 Hazed Questions'!$C$2:$C$23,I218)+SUMIFS('3 Hazed Questions'!$L$2:$L$23,'3 Hazed Questions'!$A$2:$A$23,"Q2",'3 Hazed Questions'!$C$2:$C$23,J218)+SUMIFS('3 Hazed Questions'!$L$2:$L$23,'3 Hazed Questions'!$A$2:$A$23,"Q3",'3 Hazed Questions'!$C$2:$C$23,K218)+SUMIFS('3 Hazed Questions'!$L$2:$L$23,'3 Hazed Questions'!$A$2:$A$23,"Q4",'3 Hazed Questions'!$C$2:$C$23,L218))</f>
        <v/>
      </c>
      <c r="V218" s="14" t="str">
        <f aca="false">IF(COUNTA(I218:L218)=0,"",SUMIFS('3 Hazed Questions'!$M$2:$M$23,'3 Hazed Questions'!$A$2:$A$23,"Q1",'3 Hazed Questions'!$C$2:$C$23,I218)+SUMIFS('3 Hazed Questions'!$M$2:$M$23,'3 Hazed Questions'!$A$2:$A$23,"Q2",'3 Hazed Questions'!$C$2:$C$23,J218)+SUMIFS('3 Hazed Questions'!$M$2:$M$23,'3 Hazed Questions'!$A$2:$A$23,"Q3",'3 Hazed Questions'!$C$2:$C$23,K218)+SUMIFS('3 Hazed Questions'!$M$2:$M$23,'3 Hazed Questions'!$A$2:$A$23,"Q4",'3 Hazed Questions'!$C$2:$C$23,L218))</f>
        <v/>
      </c>
      <c r="W218" s="14" t="str">
        <f aca="false">IF(COUNTA(I218:L218)=0,"",SUMIFS('3 Hazed Questions'!$N$2:$N$23,'3 Hazed Questions'!$A$2:$A$23,"Q1",'3 Hazed Questions'!$C$2:$C$23,I218)+SUMIFS('3 Hazed Questions'!$N$2:$N$23,'3 Hazed Questions'!$A$2:$A$23,"Q2",'3 Hazed Questions'!$C$2:$C$23,J218)+SUMIFS('3 Hazed Questions'!$N$2:$N$23,'3 Hazed Questions'!$A$2:$A$23,"Q3",'3 Hazed Questions'!$C$2:$C$23,K218)+SUMIFS('3 Hazed Questions'!$N$2:$N$23,'3 Hazed Questions'!$A$2:$A$23,"Q4",'3 Hazed Questions'!$C$2:$C$23,L218))</f>
        <v/>
      </c>
      <c r="X218" s="14" t="str">
        <f aca="false">IF(COUNTA(I218:L218)=0,"",INDEX(Fields!$B$2:$B$50,MATCH(SUBSTITUTE(INDEX($N$1:$W$1,MATCH(MAX($N218:$W218),$N218:$W218,0)),"Score: ",""),Fields!$A$2:$A$50,0)))</f>
        <v/>
      </c>
      <c r="Y218" s="14" t="str">
        <f aca="true">IF(COUNTA(I218:L218)=0,"",IF(LARGE($N218:$W218,2)=0,"-",INDEX(Fields!$B$2:$B$50,MATCH(SUBSTITUTE(INDEX($N$1:$W$1,IF(LARGE($N218:$W218,2)=MAX($N218:$W218),MATCH(MAX($N218:$W218),OFFSET($N218:$W218,0,MATCH(MAX($N218:$W218),$N218:$W218,0),1,10-MATCH(MAX($N218:$W218),$N218:$W218,0)),0)+MATCH(MAX($N218:$W218),$N218:$W218,0),MATCH(LARGE($N218:$W218,2),$N218:$W218,0))),"Score: ",""),Fields!$A$2:$A$50,0))))</f>
        <v/>
      </c>
      <c r="Z218" s="14" t="str">
        <f aca="false">IF(M218="","",IFERROR(INDEX('3 Hazed Questions'!$O$2:$O$23,MATCH(1,INDEX(('3 Hazed Questions'!$A$2:$A$23="Q5")*('3 Hazed Questions'!$C$2:$C$23=M218),0),0))&amp;"",""))</f>
        <v/>
      </c>
      <c r="AA218" s="18"/>
      <c r="AB218" s="18"/>
      <c r="AC218" s="19"/>
      <c r="AD218" s="19"/>
      <c r="AE218" s="18"/>
      <c r="AF218" s="18"/>
      <c r="AG218" s="18"/>
    </row>
    <row r="219" customFormat="false" ht="15" hidden="false" customHeight="false" outlineLevel="0" collapsed="false">
      <c r="A219" s="18"/>
      <c r="B219" s="19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4" t="str">
        <f aca="false">IF(COUNTA(I219:L219)=0,"",SUMIFS('3 Hazed Questions'!$E$2:$E$23,'3 Hazed Questions'!$A$2:$A$23,"Q1",'3 Hazed Questions'!$C$2:$C$23,I219)+SUMIFS('3 Hazed Questions'!$E$2:$E$23,'3 Hazed Questions'!$A$2:$A$23,"Q2",'3 Hazed Questions'!$C$2:$C$23,J219)+SUMIFS('3 Hazed Questions'!$E$2:$E$23,'3 Hazed Questions'!$A$2:$A$23,"Q3",'3 Hazed Questions'!$C$2:$C$23,K219)+SUMIFS('3 Hazed Questions'!$E$2:$E$23,'3 Hazed Questions'!$A$2:$A$23,"Q4",'3 Hazed Questions'!$C$2:$C$23,L219))</f>
        <v/>
      </c>
      <c r="O219" s="14" t="str">
        <f aca="false">IF(COUNTA(I219:L219)=0,"",SUMIFS('3 Hazed Questions'!$F$2:$F$23,'3 Hazed Questions'!$A$2:$A$23,"Q1",'3 Hazed Questions'!$C$2:$C$23,I219)+SUMIFS('3 Hazed Questions'!$F$2:$F$23,'3 Hazed Questions'!$A$2:$A$23,"Q2",'3 Hazed Questions'!$C$2:$C$23,J219)+SUMIFS('3 Hazed Questions'!$F$2:$F$23,'3 Hazed Questions'!$A$2:$A$23,"Q3",'3 Hazed Questions'!$C$2:$C$23,K219)+SUMIFS('3 Hazed Questions'!$F$2:$F$23,'3 Hazed Questions'!$A$2:$A$23,"Q4",'3 Hazed Questions'!$C$2:$C$23,L219))</f>
        <v/>
      </c>
      <c r="P219" s="14" t="str">
        <f aca="false">IF(COUNTA(I219:L219)=0,"",SUMIFS('3 Hazed Questions'!$G$2:$G$23,'3 Hazed Questions'!$A$2:$A$23,"Q1",'3 Hazed Questions'!$C$2:$C$23,I219)+SUMIFS('3 Hazed Questions'!$G$2:$G$23,'3 Hazed Questions'!$A$2:$A$23,"Q2",'3 Hazed Questions'!$C$2:$C$23,J219)+SUMIFS('3 Hazed Questions'!$G$2:$G$23,'3 Hazed Questions'!$A$2:$A$23,"Q3",'3 Hazed Questions'!$C$2:$C$23,K219)+SUMIFS('3 Hazed Questions'!$G$2:$G$23,'3 Hazed Questions'!$A$2:$A$23,"Q4",'3 Hazed Questions'!$C$2:$C$23,L219))</f>
        <v/>
      </c>
      <c r="Q219" s="14" t="str">
        <f aca="false">IF(COUNTA(I219:L219)=0,"",SUMIFS('3 Hazed Questions'!$H$2:$H$23,'3 Hazed Questions'!$A$2:$A$23,"Q1",'3 Hazed Questions'!$C$2:$C$23,I219)+SUMIFS('3 Hazed Questions'!$H$2:$H$23,'3 Hazed Questions'!$A$2:$A$23,"Q2",'3 Hazed Questions'!$C$2:$C$23,J219)+SUMIFS('3 Hazed Questions'!$H$2:$H$23,'3 Hazed Questions'!$A$2:$A$23,"Q3",'3 Hazed Questions'!$C$2:$C$23,K219)+SUMIFS('3 Hazed Questions'!$H$2:$H$23,'3 Hazed Questions'!$A$2:$A$23,"Q4",'3 Hazed Questions'!$C$2:$C$23,L219))</f>
        <v/>
      </c>
      <c r="R219" s="14" t="str">
        <f aca="false">IF(COUNTA(I219:L219)=0,"",SUMIFS('3 Hazed Questions'!$I$2:$I$23,'3 Hazed Questions'!$A$2:$A$23,"Q1",'3 Hazed Questions'!$C$2:$C$23,I219)+SUMIFS('3 Hazed Questions'!$I$2:$I$23,'3 Hazed Questions'!$A$2:$A$23,"Q2",'3 Hazed Questions'!$C$2:$C$23,J219)+SUMIFS('3 Hazed Questions'!$I$2:$I$23,'3 Hazed Questions'!$A$2:$A$23,"Q3",'3 Hazed Questions'!$C$2:$C$23,K219)+SUMIFS('3 Hazed Questions'!$I$2:$I$23,'3 Hazed Questions'!$A$2:$A$23,"Q4",'3 Hazed Questions'!$C$2:$C$23,L219))</f>
        <v/>
      </c>
      <c r="S219" s="14" t="str">
        <f aca="false">IF(COUNTA(I219:L219)=0,"",SUMIFS('3 Hazed Questions'!$J$2:$J$23,'3 Hazed Questions'!$A$2:$A$23,"Q1",'3 Hazed Questions'!$C$2:$C$23,I219)+SUMIFS('3 Hazed Questions'!$J$2:$J$23,'3 Hazed Questions'!$A$2:$A$23,"Q2",'3 Hazed Questions'!$C$2:$C$23,J219)+SUMIFS('3 Hazed Questions'!$J$2:$J$23,'3 Hazed Questions'!$A$2:$A$23,"Q3",'3 Hazed Questions'!$C$2:$C$23,K219)+SUMIFS('3 Hazed Questions'!$J$2:$J$23,'3 Hazed Questions'!$A$2:$A$23,"Q4",'3 Hazed Questions'!$C$2:$C$23,L219))</f>
        <v/>
      </c>
      <c r="T219" s="14" t="str">
        <f aca="false">IF(COUNTA(I219:L219)=0,"",SUMIFS('3 Hazed Questions'!$K$2:$K$23,'3 Hazed Questions'!$A$2:$A$23,"Q1",'3 Hazed Questions'!$C$2:$C$23,I219)+SUMIFS('3 Hazed Questions'!$K$2:$K$23,'3 Hazed Questions'!$A$2:$A$23,"Q2",'3 Hazed Questions'!$C$2:$C$23,J219)+SUMIFS('3 Hazed Questions'!$K$2:$K$23,'3 Hazed Questions'!$A$2:$A$23,"Q3",'3 Hazed Questions'!$C$2:$C$23,K219)+SUMIFS('3 Hazed Questions'!$K$2:$K$23,'3 Hazed Questions'!$A$2:$A$23,"Q4",'3 Hazed Questions'!$C$2:$C$23,L219))</f>
        <v/>
      </c>
      <c r="U219" s="14" t="str">
        <f aca="false">IF(COUNTA(I219:L219)=0,"",SUMIFS('3 Hazed Questions'!$L$2:$L$23,'3 Hazed Questions'!$A$2:$A$23,"Q1",'3 Hazed Questions'!$C$2:$C$23,I219)+SUMIFS('3 Hazed Questions'!$L$2:$L$23,'3 Hazed Questions'!$A$2:$A$23,"Q2",'3 Hazed Questions'!$C$2:$C$23,J219)+SUMIFS('3 Hazed Questions'!$L$2:$L$23,'3 Hazed Questions'!$A$2:$A$23,"Q3",'3 Hazed Questions'!$C$2:$C$23,K219)+SUMIFS('3 Hazed Questions'!$L$2:$L$23,'3 Hazed Questions'!$A$2:$A$23,"Q4",'3 Hazed Questions'!$C$2:$C$23,L219))</f>
        <v/>
      </c>
      <c r="V219" s="14" t="str">
        <f aca="false">IF(COUNTA(I219:L219)=0,"",SUMIFS('3 Hazed Questions'!$M$2:$M$23,'3 Hazed Questions'!$A$2:$A$23,"Q1",'3 Hazed Questions'!$C$2:$C$23,I219)+SUMIFS('3 Hazed Questions'!$M$2:$M$23,'3 Hazed Questions'!$A$2:$A$23,"Q2",'3 Hazed Questions'!$C$2:$C$23,J219)+SUMIFS('3 Hazed Questions'!$M$2:$M$23,'3 Hazed Questions'!$A$2:$A$23,"Q3",'3 Hazed Questions'!$C$2:$C$23,K219)+SUMIFS('3 Hazed Questions'!$M$2:$M$23,'3 Hazed Questions'!$A$2:$A$23,"Q4",'3 Hazed Questions'!$C$2:$C$23,L219))</f>
        <v/>
      </c>
      <c r="W219" s="14" t="str">
        <f aca="false">IF(COUNTA(I219:L219)=0,"",SUMIFS('3 Hazed Questions'!$N$2:$N$23,'3 Hazed Questions'!$A$2:$A$23,"Q1",'3 Hazed Questions'!$C$2:$C$23,I219)+SUMIFS('3 Hazed Questions'!$N$2:$N$23,'3 Hazed Questions'!$A$2:$A$23,"Q2",'3 Hazed Questions'!$C$2:$C$23,J219)+SUMIFS('3 Hazed Questions'!$N$2:$N$23,'3 Hazed Questions'!$A$2:$A$23,"Q3",'3 Hazed Questions'!$C$2:$C$23,K219)+SUMIFS('3 Hazed Questions'!$N$2:$N$23,'3 Hazed Questions'!$A$2:$A$23,"Q4",'3 Hazed Questions'!$C$2:$C$23,L219))</f>
        <v/>
      </c>
      <c r="X219" s="14" t="str">
        <f aca="false">IF(COUNTA(I219:L219)=0,"",INDEX(Fields!$B$2:$B$50,MATCH(SUBSTITUTE(INDEX($N$1:$W$1,MATCH(MAX($N219:$W219),$N219:$W219,0)),"Score: ",""),Fields!$A$2:$A$50,0)))</f>
        <v/>
      </c>
      <c r="Y219" s="14" t="str">
        <f aca="true">IF(COUNTA(I219:L219)=0,"",IF(LARGE($N219:$W219,2)=0,"-",INDEX(Fields!$B$2:$B$50,MATCH(SUBSTITUTE(INDEX($N$1:$W$1,IF(LARGE($N219:$W219,2)=MAX($N219:$W219),MATCH(MAX($N219:$W219),OFFSET($N219:$W219,0,MATCH(MAX($N219:$W219),$N219:$W219,0),1,10-MATCH(MAX($N219:$W219),$N219:$W219,0)),0)+MATCH(MAX($N219:$W219),$N219:$W219,0),MATCH(LARGE($N219:$W219,2),$N219:$W219,0))),"Score: ",""),Fields!$A$2:$A$50,0))))</f>
        <v/>
      </c>
      <c r="Z219" s="14" t="str">
        <f aca="false">IF(M219="","",IFERROR(INDEX('3 Hazed Questions'!$O$2:$O$23,MATCH(1,INDEX(('3 Hazed Questions'!$A$2:$A$23="Q5")*('3 Hazed Questions'!$C$2:$C$23=M219),0),0))&amp;"",""))</f>
        <v/>
      </c>
      <c r="AA219" s="18"/>
      <c r="AB219" s="18"/>
      <c r="AC219" s="19"/>
      <c r="AD219" s="19"/>
      <c r="AE219" s="18"/>
      <c r="AF219" s="18"/>
      <c r="AG219" s="18"/>
    </row>
    <row r="220" customFormat="false" ht="15" hidden="false" customHeight="false" outlineLevel="0" collapsed="false">
      <c r="A220" s="18"/>
      <c r="B220" s="19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4" t="str">
        <f aca="false">IF(COUNTA(I220:L220)=0,"",SUMIFS('3 Hazed Questions'!$E$2:$E$23,'3 Hazed Questions'!$A$2:$A$23,"Q1",'3 Hazed Questions'!$C$2:$C$23,I220)+SUMIFS('3 Hazed Questions'!$E$2:$E$23,'3 Hazed Questions'!$A$2:$A$23,"Q2",'3 Hazed Questions'!$C$2:$C$23,J220)+SUMIFS('3 Hazed Questions'!$E$2:$E$23,'3 Hazed Questions'!$A$2:$A$23,"Q3",'3 Hazed Questions'!$C$2:$C$23,K220)+SUMIFS('3 Hazed Questions'!$E$2:$E$23,'3 Hazed Questions'!$A$2:$A$23,"Q4",'3 Hazed Questions'!$C$2:$C$23,L220))</f>
        <v/>
      </c>
      <c r="O220" s="14" t="str">
        <f aca="false">IF(COUNTA(I220:L220)=0,"",SUMIFS('3 Hazed Questions'!$F$2:$F$23,'3 Hazed Questions'!$A$2:$A$23,"Q1",'3 Hazed Questions'!$C$2:$C$23,I220)+SUMIFS('3 Hazed Questions'!$F$2:$F$23,'3 Hazed Questions'!$A$2:$A$23,"Q2",'3 Hazed Questions'!$C$2:$C$23,J220)+SUMIFS('3 Hazed Questions'!$F$2:$F$23,'3 Hazed Questions'!$A$2:$A$23,"Q3",'3 Hazed Questions'!$C$2:$C$23,K220)+SUMIFS('3 Hazed Questions'!$F$2:$F$23,'3 Hazed Questions'!$A$2:$A$23,"Q4",'3 Hazed Questions'!$C$2:$C$23,L220))</f>
        <v/>
      </c>
      <c r="P220" s="14" t="str">
        <f aca="false">IF(COUNTA(I220:L220)=0,"",SUMIFS('3 Hazed Questions'!$G$2:$G$23,'3 Hazed Questions'!$A$2:$A$23,"Q1",'3 Hazed Questions'!$C$2:$C$23,I220)+SUMIFS('3 Hazed Questions'!$G$2:$G$23,'3 Hazed Questions'!$A$2:$A$23,"Q2",'3 Hazed Questions'!$C$2:$C$23,J220)+SUMIFS('3 Hazed Questions'!$G$2:$G$23,'3 Hazed Questions'!$A$2:$A$23,"Q3",'3 Hazed Questions'!$C$2:$C$23,K220)+SUMIFS('3 Hazed Questions'!$G$2:$G$23,'3 Hazed Questions'!$A$2:$A$23,"Q4",'3 Hazed Questions'!$C$2:$C$23,L220))</f>
        <v/>
      </c>
      <c r="Q220" s="14" t="str">
        <f aca="false">IF(COUNTA(I220:L220)=0,"",SUMIFS('3 Hazed Questions'!$H$2:$H$23,'3 Hazed Questions'!$A$2:$A$23,"Q1",'3 Hazed Questions'!$C$2:$C$23,I220)+SUMIFS('3 Hazed Questions'!$H$2:$H$23,'3 Hazed Questions'!$A$2:$A$23,"Q2",'3 Hazed Questions'!$C$2:$C$23,J220)+SUMIFS('3 Hazed Questions'!$H$2:$H$23,'3 Hazed Questions'!$A$2:$A$23,"Q3",'3 Hazed Questions'!$C$2:$C$23,K220)+SUMIFS('3 Hazed Questions'!$H$2:$H$23,'3 Hazed Questions'!$A$2:$A$23,"Q4",'3 Hazed Questions'!$C$2:$C$23,L220))</f>
        <v/>
      </c>
      <c r="R220" s="14" t="str">
        <f aca="false">IF(COUNTA(I220:L220)=0,"",SUMIFS('3 Hazed Questions'!$I$2:$I$23,'3 Hazed Questions'!$A$2:$A$23,"Q1",'3 Hazed Questions'!$C$2:$C$23,I220)+SUMIFS('3 Hazed Questions'!$I$2:$I$23,'3 Hazed Questions'!$A$2:$A$23,"Q2",'3 Hazed Questions'!$C$2:$C$23,J220)+SUMIFS('3 Hazed Questions'!$I$2:$I$23,'3 Hazed Questions'!$A$2:$A$23,"Q3",'3 Hazed Questions'!$C$2:$C$23,K220)+SUMIFS('3 Hazed Questions'!$I$2:$I$23,'3 Hazed Questions'!$A$2:$A$23,"Q4",'3 Hazed Questions'!$C$2:$C$23,L220))</f>
        <v/>
      </c>
      <c r="S220" s="14" t="str">
        <f aca="false">IF(COUNTA(I220:L220)=0,"",SUMIFS('3 Hazed Questions'!$J$2:$J$23,'3 Hazed Questions'!$A$2:$A$23,"Q1",'3 Hazed Questions'!$C$2:$C$23,I220)+SUMIFS('3 Hazed Questions'!$J$2:$J$23,'3 Hazed Questions'!$A$2:$A$23,"Q2",'3 Hazed Questions'!$C$2:$C$23,J220)+SUMIFS('3 Hazed Questions'!$J$2:$J$23,'3 Hazed Questions'!$A$2:$A$23,"Q3",'3 Hazed Questions'!$C$2:$C$23,K220)+SUMIFS('3 Hazed Questions'!$J$2:$J$23,'3 Hazed Questions'!$A$2:$A$23,"Q4",'3 Hazed Questions'!$C$2:$C$23,L220))</f>
        <v/>
      </c>
      <c r="T220" s="14" t="str">
        <f aca="false">IF(COUNTA(I220:L220)=0,"",SUMIFS('3 Hazed Questions'!$K$2:$K$23,'3 Hazed Questions'!$A$2:$A$23,"Q1",'3 Hazed Questions'!$C$2:$C$23,I220)+SUMIFS('3 Hazed Questions'!$K$2:$K$23,'3 Hazed Questions'!$A$2:$A$23,"Q2",'3 Hazed Questions'!$C$2:$C$23,J220)+SUMIFS('3 Hazed Questions'!$K$2:$K$23,'3 Hazed Questions'!$A$2:$A$23,"Q3",'3 Hazed Questions'!$C$2:$C$23,K220)+SUMIFS('3 Hazed Questions'!$K$2:$K$23,'3 Hazed Questions'!$A$2:$A$23,"Q4",'3 Hazed Questions'!$C$2:$C$23,L220))</f>
        <v/>
      </c>
      <c r="U220" s="14" t="str">
        <f aca="false">IF(COUNTA(I220:L220)=0,"",SUMIFS('3 Hazed Questions'!$L$2:$L$23,'3 Hazed Questions'!$A$2:$A$23,"Q1",'3 Hazed Questions'!$C$2:$C$23,I220)+SUMIFS('3 Hazed Questions'!$L$2:$L$23,'3 Hazed Questions'!$A$2:$A$23,"Q2",'3 Hazed Questions'!$C$2:$C$23,J220)+SUMIFS('3 Hazed Questions'!$L$2:$L$23,'3 Hazed Questions'!$A$2:$A$23,"Q3",'3 Hazed Questions'!$C$2:$C$23,K220)+SUMIFS('3 Hazed Questions'!$L$2:$L$23,'3 Hazed Questions'!$A$2:$A$23,"Q4",'3 Hazed Questions'!$C$2:$C$23,L220))</f>
        <v/>
      </c>
      <c r="V220" s="14" t="str">
        <f aca="false">IF(COUNTA(I220:L220)=0,"",SUMIFS('3 Hazed Questions'!$M$2:$M$23,'3 Hazed Questions'!$A$2:$A$23,"Q1",'3 Hazed Questions'!$C$2:$C$23,I220)+SUMIFS('3 Hazed Questions'!$M$2:$M$23,'3 Hazed Questions'!$A$2:$A$23,"Q2",'3 Hazed Questions'!$C$2:$C$23,J220)+SUMIFS('3 Hazed Questions'!$M$2:$M$23,'3 Hazed Questions'!$A$2:$A$23,"Q3",'3 Hazed Questions'!$C$2:$C$23,K220)+SUMIFS('3 Hazed Questions'!$M$2:$M$23,'3 Hazed Questions'!$A$2:$A$23,"Q4",'3 Hazed Questions'!$C$2:$C$23,L220))</f>
        <v/>
      </c>
      <c r="W220" s="14" t="str">
        <f aca="false">IF(COUNTA(I220:L220)=0,"",SUMIFS('3 Hazed Questions'!$N$2:$N$23,'3 Hazed Questions'!$A$2:$A$23,"Q1",'3 Hazed Questions'!$C$2:$C$23,I220)+SUMIFS('3 Hazed Questions'!$N$2:$N$23,'3 Hazed Questions'!$A$2:$A$23,"Q2",'3 Hazed Questions'!$C$2:$C$23,J220)+SUMIFS('3 Hazed Questions'!$N$2:$N$23,'3 Hazed Questions'!$A$2:$A$23,"Q3",'3 Hazed Questions'!$C$2:$C$23,K220)+SUMIFS('3 Hazed Questions'!$N$2:$N$23,'3 Hazed Questions'!$A$2:$A$23,"Q4",'3 Hazed Questions'!$C$2:$C$23,L220))</f>
        <v/>
      </c>
      <c r="X220" s="14" t="str">
        <f aca="false">IF(COUNTA(I220:L220)=0,"",INDEX(Fields!$B$2:$B$50,MATCH(SUBSTITUTE(INDEX($N$1:$W$1,MATCH(MAX($N220:$W220),$N220:$W220,0)),"Score: ",""),Fields!$A$2:$A$50,0)))</f>
        <v/>
      </c>
      <c r="Y220" s="14" t="str">
        <f aca="true">IF(COUNTA(I220:L220)=0,"",IF(LARGE($N220:$W220,2)=0,"-",INDEX(Fields!$B$2:$B$50,MATCH(SUBSTITUTE(INDEX($N$1:$W$1,IF(LARGE($N220:$W220,2)=MAX($N220:$W220),MATCH(MAX($N220:$W220),OFFSET($N220:$W220,0,MATCH(MAX($N220:$W220),$N220:$W220,0),1,10-MATCH(MAX($N220:$W220),$N220:$W220,0)),0)+MATCH(MAX($N220:$W220),$N220:$W220,0),MATCH(LARGE($N220:$W220,2),$N220:$W220,0))),"Score: ",""),Fields!$A$2:$A$50,0))))</f>
        <v/>
      </c>
      <c r="Z220" s="14" t="str">
        <f aca="false">IF(M220="","",IFERROR(INDEX('3 Hazed Questions'!$O$2:$O$23,MATCH(1,INDEX(('3 Hazed Questions'!$A$2:$A$23="Q5")*('3 Hazed Questions'!$C$2:$C$23=M220),0),0))&amp;"",""))</f>
        <v/>
      </c>
      <c r="AA220" s="18"/>
      <c r="AB220" s="18"/>
      <c r="AC220" s="19"/>
      <c r="AD220" s="19"/>
      <c r="AE220" s="18"/>
      <c r="AF220" s="18"/>
      <c r="AG220" s="18"/>
    </row>
    <row r="221" customFormat="false" ht="15" hidden="false" customHeight="false" outlineLevel="0" collapsed="false">
      <c r="A221" s="18"/>
      <c r="B221" s="19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4" t="str">
        <f aca="false">IF(COUNTA(I221:L221)=0,"",SUMIFS('3 Hazed Questions'!$E$2:$E$23,'3 Hazed Questions'!$A$2:$A$23,"Q1",'3 Hazed Questions'!$C$2:$C$23,I221)+SUMIFS('3 Hazed Questions'!$E$2:$E$23,'3 Hazed Questions'!$A$2:$A$23,"Q2",'3 Hazed Questions'!$C$2:$C$23,J221)+SUMIFS('3 Hazed Questions'!$E$2:$E$23,'3 Hazed Questions'!$A$2:$A$23,"Q3",'3 Hazed Questions'!$C$2:$C$23,K221)+SUMIFS('3 Hazed Questions'!$E$2:$E$23,'3 Hazed Questions'!$A$2:$A$23,"Q4",'3 Hazed Questions'!$C$2:$C$23,L221))</f>
        <v/>
      </c>
      <c r="O221" s="14" t="str">
        <f aca="false">IF(COUNTA(I221:L221)=0,"",SUMIFS('3 Hazed Questions'!$F$2:$F$23,'3 Hazed Questions'!$A$2:$A$23,"Q1",'3 Hazed Questions'!$C$2:$C$23,I221)+SUMIFS('3 Hazed Questions'!$F$2:$F$23,'3 Hazed Questions'!$A$2:$A$23,"Q2",'3 Hazed Questions'!$C$2:$C$23,J221)+SUMIFS('3 Hazed Questions'!$F$2:$F$23,'3 Hazed Questions'!$A$2:$A$23,"Q3",'3 Hazed Questions'!$C$2:$C$23,K221)+SUMIFS('3 Hazed Questions'!$F$2:$F$23,'3 Hazed Questions'!$A$2:$A$23,"Q4",'3 Hazed Questions'!$C$2:$C$23,L221))</f>
        <v/>
      </c>
      <c r="P221" s="14" t="str">
        <f aca="false">IF(COUNTA(I221:L221)=0,"",SUMIFS('3 Hazed Questions'!$G$2:$G$23,'3 Hazed Questions'!$A$2:$A$23,"Q1",'3 Hazed Questions'!$C$2:$C$23,I221)+SUMIFS('3 Hazed Questions'!$G$2:$G$23,'3 Hazed Questions'!$A$2:$A$23,"Q2",'3 Hazed Questions'!$C$2:$C$23,J221)+SUMIFS('3 Hazed Questions'!$G$2:$G$23,'3 Hazed Questions'!$A$2:$A$23,"Q3",'3 Hazed Questions'!$C$2:$C$23,K221)+SUMIFS('3 Hazed Questions'!$G$2:$G$23,'3 Hazed Questions'!$A$2:$A$23,"Q4",'3 Hazed Questions'!$C$2:$C$23,L221))</f>
        <v/>
      </c>
      <c r="Q221" s="14" t="str">
        <f aca="false">IF(COUNTA(I221:L221)=0,"",SUMIFS('3 Hazed Questions'!$H$2:$H$23,'3 Hazed Questions'!$A$2:$A$23,"Q1",'3 Hazed Questions'!$C$2:$C$23,I221)+SUMIFS('3 Hazed Questions'!$H$2:$H$23,'3 Hazed Questions'!$A$2:$A$23,"Q2",'3 Hazed Questions'!$C$2:$C$23,J221)+SUMIFS('3 Hazed Questions'!$H$2:$H$23,'3 Hazed Questions'!$A$2:$A$23,"Q3",'3 Hazed Questions'!$C$2:$C$23,K221)+SUMIFS('3 Hazed Questions'!$H$2:$H$23,'3 Hazed Questions'!$A$2:$A$23,"Q4",'3 Hazed Questions'!$C$2:$C$23,L221))</f>
        <v/>
      </c>
      <c r="R221" s="14" t="str">
        <f aca="false">IF(COUNTA(I221:L221)=0,"",SUMIFS('3 Hazed Questions'!$I$2:$I$23,'3 Hazed Questions'!$A$2:$A$23,"Q1",'3 Hazed Questions'!$C$2:$C$23,I221)+SUMIFS('3 Hazed Questions'!$I$2:$I$23,'3 Hazed Questions'!$A$2:$A$23,"Q2",'3 Hazed Questions'!$C$2:$C$23,J221)+SUMIFS('3 Hazed Questions'!$I$2:$I$23,'3 Hazed Questions'!$A$2:$A$23,"Q3",'3 Hazed Questions'!$C$2:$C$23,K221)+SUMIFS('3 Hazed Questions'!$I$2:$I$23,'3 Hazed Questions'!$A$2:$A$23,"Q4",'3 Hazed Questions'!$C$2:$C$23,L221))</f>
        <v/>
      </c>
      <c r="S221" s="14" t="str">
        <f aca="false">IF(COUNTA(I221:L221)=0,"",SUMIFS('3 Hazed Questions'!$J$2:$J$23,'3 Hazed Questions'!$A$2:$A$23,"Q1",'3 Hazed Questions'!$C$2:$C$23,I221)+SUMIFS('3 Hazed Questions'!$J$2:$J$23,'3 Hazed Questions'!$A$2:$A$23,"Q2",'3 Hazed Questions'!$C$2:$C$23,J221)+SUMIFS('3 Hazed Questions'!$J$2:$J$23,'3 Hazed Questions'!$A$2:$A$23,"Q3",'3 Hazed Questions'!$C$2:$C$23,K221)+SUMIFS('3 Hazed Questions'!$J$2:$J$23,'3 Hazed Questions'!$A$2:$A$23,"Q4",'3 Hazed Questions'!$C$2:$C$23,L221))</f>
        <v/>
      </c>
      <c r="T221" s="14" t="str">
        <f aca="false">IF(COUNTA(I221:L221)=0,"",SUMIFS('3 Hazed Questions'!$K$2:$K$23,'3 Hazed Questions'!$A$2:$A$23,"Q1",'3 Hazed Questions'!$C$2:$C$23,I221)+SUMIFS('3 Hazed Questions'!$K$2:$K$23,'3 Hazed Questions'!$A$2:$A$23,"Q2",'3 Hazed Questions'!$C$2:$C$23,J221)+SUMIFS('3 Hazed Questions'!$K$2:$K$23,'3 Hazed Questions'!$A$2:$A$23,"Q3",'3 Hazed Questions'!$C$2:$C$23,K221)+SUMIFS('3 Hazed Questions'!$K$2:$K$23,'3 Hazed Questions'!$A$2:$A$23,"Q4",'3 Hazed Questions'!$C$2:$C$23,L221))</f>
        <v/>
      </c>
      <c r="U221" s="14" t="str">
        <f aca="false">IF(COUNTA(I221:L221)=0,"",SUMIFS('3 Hazed Questions'!$L$2:$L$23,'3 Hazed Questions'!$A$2:$A$23,"Q1",'3 Hazed Questions'!$C$2:$C$23,I221)+SUMIFS('3 Hazed Questions'!$L$2:$L$23,'3 Hazed Questions'!$A$2:$A$23,"Q2",'3 Hazed Questions'!$C$2:$C$23,J221)+SUMIFS('3 Hazed Questions'!$L$2:$L$23,'3 Hazed Questions'!$A$2:$A$23,"Q3",'3 Hazed Questions'!$C$2:$C$23,K221)+SUMIFS('3 Hazed Questions'!$L$2:$L$23,'3 Hazed Questions'!$A$2:$A$23,"Q4",'3 Hazed Questions'!$C$2:$C$23,L221))</f>
        <v/>
      </c>
      <c r="V221" s="14" t="str">
        <f aca="false">IF(COUNTA(I221:L221)=0,"",SUMIFS('3 Hazed Questions'!$M$2:$M$23,'3 Hazed Questions'!$A$2:$A$23,"Q1",'3 Hazed Questions'!$C$2:$C$23,I221)+SUMIFS('3 Hazed Questions'!$M$2:$M$23,'3 Hazed Questions'!$A$2:$A$23,"Q2",'3 Hazed Questions'!$C$2:$C$23,J221)+SUMIFS('3 Hazed Questions'!$M$2:$M$23,'3 Hazed Questions'!$A$2:$A$23,"Q3",'3 Hazed Questions'!$C$2:$C$23,K221)+SUMIFS('3 Hazed Questions'!$M$2:$M$23,'3 Hazed Questions'!$A$2:$A$23,"Q4",'3 Hazed Questions'!$C$2:$C$23,L221))</f>
        <v/>
      </c>
      <c r="W221" s="14" t="str">
        <f aca="false">IF(COUNTA(I221:L221)=0,"",SUMIFS('3 Hazed Questions'!$N$2:$N$23,'3 Hazed Questions'!$A$2:$A$23,"Q1",'3 Hazed Questions'!$C$2:$C$23,I221)+SUMIFS('3 Hazed Questions'!$N$2:$N$23,'3 Hazed Questions'!$A$2:$A$23,"Q2",'3 Hazed Questions'!$C$2:$C$23,J221)+SUMIFS('3 Hazed Questions'!$N$2:$N$23,'3 Hazed Questions'!$A$2:$A$23,"Q3",'3 Hazed Questions'!$C$2:$C$23,K221)+SUMIFS('3 Hazed Questions'!$N$2:$N$23,'3 Hazed Questions'!$A$2:$A$23,"Q4",'3 Hazed Questions'!$C$2:$C$23,L221))</f>
        <v/>
      </c>
      <c r="X221" s="14" t="str">
        <f aca="false">IF(COUNTA(I221:L221)=0,"",INDEX(Fields!$B$2:$B$50,MATCH(SUBSTITUTE(INDEX($N$1:$W$1,MATCH(MAX($N221:$W221),$N221:$W221,0)),"Score: ",""),Fields!$A$2:$A$50,0)))</f>
        <v/>
      </c>
      <c r="Y221" s="14" t="str">
        <f aca="true">IF(COUNTA(I221:L221)=0,"",IF(LARGE($N221:$W221,2)=0,"-",INDEX(Fields!$B$2:$B$50,MATCH(SUBSTITUTE(INDEX($N$1:$W$1,IF(LARGE($N221:$W221,2)=MAX($N221:$W221),MATCH(MAX($N221:$W221),OFFSET($N221:$W221,0,MATCH(MAX($N221:$W221),$N221:$W221,0),1,10-MATCH(MAX($N221:$W221),$N221:$W221,0)),0)+MATCH(MAX($N221:$W221),$N221:$W221,0),MATCH(LARGE($N221:$W221,2),$N221:$W221,0))),"Score: ",""),Fields!$A$2:$A$50,0))))</f>
        <v/>
      </c>
      <c r="Z221" s="14" t="str">
        <f aca="false">IF(M221="","",IFERROR(INDEX('3 Hazed Questions'!$O$2:$O$23,MATCH(1,INDEX(('3 Hazed Questions'!$A$2:$A$23="Q5")*('3 Hazed Questions'!$C$2:$C$23=M221),0),0))&amp;"",""))</f>
        <v/>
      </c>
      <c r="AA221" s="18"/>
      <c r="AB221" s="18"/>
      <c r="AC221" s="19"/>
      <c r="AD221" s="19"/>
      <c r="AE221" s="18"/>
      <c r="AF221" s="18"/>
      <c r="AG221" s="18"/>
    </row>
    <row r="222" customFormat="false" ht="15" hidden="false" customHeight="false" outlineLevel="0" collapsed="false">
      <c r="A222" s="18"/>
      <c r="B222" s="19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4" t="str">
        <f aca="false">IF(COUNTA(I222:L222)=0,"",SUMIFS('3 Hazed Questions'!$E$2:$E$23,'3 Hazed Questions'!$A$2:$A$23,"Q1",'3 Hazed Questions'!$C$2:$C$23,I222)+SUMIFS('3 Hazed Questions'!$E$2:$E$23,'3 Hazed Questions'!$A$2:$A$23,"Q2",'3 Hazed Questions'!$C$2:$C$23,J222)+SUMIFS('3 Hazed Questions'!$E$2:$E$23,'3 Hazed Questions'!$A$2:$A$23,"Q3",'3 Hazed Questions'!$C$2:$C$23,K222)+SUMIFS('3 Hazed Questions'!$E$2:$E$23,'3 Hazed Questions'!$A$2:$A$23,"Q4",'3 Hazed Questions'!$C$2:$C$23,L222))</f>
        <v/>
      </c>
      <c r="O222" s="14" t="str">
        <f aca="false">IF(COUNTA(I222:L222)=0,"",SUMIFS('3 Hazed Questions'!$F$2:$F$23,'3 Hazed Questions'!$A$2:$A$23,"Q1",'3 Hazed Questions'!$C$2:$C$23,I222)+SUMIFS('3 Hazed Questions'!$F$2:$F$23,'3 Hazed Questions'!$A$2:$A$23,"Q2",'3 Hazed Questions'!$C$2:$C$23,J222)+SUMIFS('3 Hazed Questions'!$F$2:$F$23,'3 Hazed Questions'!$A$2:$A$23,"Q3",'3 Hazed Questions'!$C$2:$C$23,K222)+SUMIFS('3 Hazed Questions'!$F$2:$F$23,'3 Hazed Questions'!$A$2:$A$23,"Q4",'3 Hazed Questions'!$C$2:$C$23,L222))</f>
        <v/>
      </c>
      <c r="P222" s="14" t="str">
        <f aca="false">IF(COUNTA(I222:L222)=0,"",SUMIFS('3 Hazed Questions'!$G$2:$G$23,'3 Hazed Questions'!$A$2:$A$23,"Q1",'3 Hazed Questions'!$C$2:$C$23,I222)+SUMIFS('3 Hazed Questions'!$G$2:$G$23,'3 Hazed Questions'!$A$2:$A$23,"Q2",'3 Hazed Questions'!$C$2:$C$23,J222)+SUMIFS('3 Hazed Questions'!$G$2:$G$23,'3 Hazed Questions'!$A$2:$A$23,"Q3",'3 Hazed Questions'!$C$2:$C$23,K222)+SUMIFS('3 Hazed Questions'!$G$2:$G$23,'3 Hazed Questions'!$A$2:$A$23,"Q4",'3 Hazed Questions'!$C$2:$C$23,L222))</f>
        <v/>
      </c>
      <c r="Q222" s="14" t="str">
        <f aca="false">IF(COUNTA(I222:L222)=0,"",SUMIFS('3 Hazed Questions'!$H$2:$H$23,'3 Hazed Questions'!$A$2:$A$23,"Q1",'3 Hazed Questions'!$C$2:$C$23,I222)+SUMIFS('3 Hazed Questions'!$H$2:$H$23,'3 Hazed Questions'!$A$2:$A$23,"Q2",'3 Hazed Questions'!$C$2:$C$23,J222)+SUMIFS('3 Hazed Questions'!$H$2:$H$23,'3 Hazed Questions'!$A$2:$A$23,"Q3",'3 Hazed Questions'!$C$2:$C$23,K222)+SUMIFS('3 Hazed Questions'!$H$2:$H$23,'3 Hazed Questions'!$A$2:$A$23,"Q4",'3 Hazed Questions'!$C$2:$C$23,L222))</f>
        <v/>
      </c>
      <c r="R222" s="14" t="str">
        <f aca="false">IF(COUNTA(I222:L222)=0,"",SUMIFS('3 Hazed Questions'!$I$2:$I$23,'3 Hazed Questions'!$A$2:$A$23,"Q1",'3 Hazed Questions'!$C$2:$C$23,I222)+SUMIFS('3 Hazed Questions'!$I$2:$I$23,'3 Hazed Questions'!$A$2:$A$23,"Q2",'3 Hazed Questions'!$C$2:$C$23,J222)+SUMIFS('3 Hazed Questions'!$I$2:$I$23,'3 Hazed Questions'!$A$2:$A$23,"Q3",'3 Hazed Questions'!$C$2:$C$23,K222)+SUMIFS('3 Hazed Questions'!$I$2:$I$23,'3 Hazed Questions'!$A$2:$A$23,"Q4",'3 Hazed Questions'!$C$2:$C$23,L222))</f>
        <v/>
      </c>
      <c r="S222" s="14" t="str">
        <f aca="false">IF(COUNTA(I222:L222)=0,"",SUMIFS('3 Hazed Questions'!$J$2:$J$23,'3 Hazed Questions'!$A$2:$A$23,"Q1",'3 Hazed Questions'!$C$2:$C$23,I222)+SUMIFS('3 Hazed Questions'!$J$2:$J$23,'3 Hazed Questions'!$A$2:$A$23,"Q2",'3 Hazed Questions'!$C$2:$C$23,J222)+SUMIFS('3 Hazed Questions'!$J$2:$J$23,'3 Hazed Questions'!$A$2:$A$23,"Q3",'3 Hazed Questions'!$C$2:$C$23,K222)+SUMIFS('3 Hazed Questions'!$J$2:$J$23,'3 Hazed Questions'!$A$2:$A$23,"Q4",'3 Hazed Questions'!$C$2:$C$23,L222))</f>
        <v/>
      </c>
      <c r="T222" s="14" t="str">
        <f aca="false">IF(COUNTA(I222:L222)=0,"",SUMIFS('3 Hazed Questions'!$K$2:$K$23,'3 Hazed Questions'!$A$2:$A$23,"Q1",'3 Hazed Questions'!$C$2:$C$23,I222)+SUMIFS('3 Hazed Questions'!$K$2:$K$23,'3 Hazed Questions'!$A$2:$A$23,"Q2",'3 Hazed Questions'!$C$2:$C$23,J222)+SUMIFS('3 Hazed Questions'!$K$2:$K$23,'3 Hazed Questions'!$A$2:$A$23,"Q3",'3 Hazed Questions'!$C$2:$C$23,K222)+SUMIFS('3 Hazed Questions'!$K$2:$K$23,'3 Hazed Questions'!$A$2:$A$23,"Q4",'3 Hazed Questions'!$C$2:$C$23,L222))</f>
        <v/>
      </c>
      <c r="U222" s="14" t="str">
        <f aca="false">IF(COUNTA(I222:L222)=0,"",SUMIFS('3 Hazed Questions'!$L$2:$L$23,'3 Hazed Questions'!$A$2:$A$23,"Q1",'3 Hazed Questions'!$C$2:$C$23,I222)+SUMIFS('3 Hazed Questions'!$L$2:$L$23,'3 Hazed Questions'!$A$2:$A$23,"Q2",'3 Hazed Questions'!$C$2:$C$23,J222)+SUMIFS('3 Hazed Questions'!$L$2:$L$23,'3 Hazed Questions'!$A$2:$A$23,"Q3",'3 Hazed Questions'!$C$2:$C$23,K222)+SUMIFS('3 Hazed Questions'!$L$2:$L$23,'3 Hazed Questions'!$A$2:$A$23,"Q4",'3 Hazed Questions'!$C$2:$C$23,L222))</f>
        <v/>
      </c>
      <c r="V222" s="14" t="str">
        <f aca="false">IF(COUNTA(I222:L222)=0,"",SUMIFS('3 Hazed Questions'!$M$2:$M$23,'3 Hazed Questions'!$A$2:$A$23,"Q1",'3 Hazed Questions'!$C$2:$C$23,I222)+SUMIFS('3 Hazed Questions'!$M$2:$M$23,'3 Hazed Questions'!$A$2:$A$23,"Q2",'3 Hazed Questions'!$C$2:$C$23,J222)+SUMIFS('3 Hazed Questions'!$M$2:$M$23,'3 Hazed Questions'!$A$2:$A$23,"Q3",'3 Hazed Questions'!$C$2:$C$23,K222)+SUMIFS('3 Hazed Questions'!$M$2:$M$23,'3 Hazed Questions'!$A$2:$A$23,"Q4",'3 Hazed Questions'!$C$2:$C$23,L222))</f>
        <v/>
      </c>
      <c r="W222" s="14" t="str">
        <f aca="false">IF(COUNTA(I222:L222)=0,"",SUMIFS('3 Hazed Questions'!$N$2:$N$23,'3 Hazed Questions'!$A$2:$A$23,"Q1",'3 Hazed Questions'!$C$2:$C$23,I222)+SUMIFS('3 Hazed Questions'!$N$2:$N$23,'3 Hazed Questions'!$A$2:$A$23,"Q2",'3 Hazed Questions'!$C$2:$C$23,J222)+SUMIFS('3 Hazed Questions'!$N$2:$N$23,'3 Hazed Questions'!$A$2:$A$23,"Q3",'3 Hazed Questions'!$C$2:$C$23,K222)+SUMIFS('3 Hazed Questions'!$N$2:$N$23,'3 Hazed Questions'!$A$2:$A$23,"Q4",'3 Hazed Questions'!$C$2:$C$23,L222))</f>
        <v/>
      </c>
      <c r="X222" s="14" t="str">
        <f aca="false">IF(COUNTA(I222:L222)=0,"",INDEX(Fields!$B$2:$B$50,MATCH(SUBSTITUTE(INDEX($N$1:$W$1,MATCH(MAX($N222:$W222),$N222:$W222,0)),"Score: ",""),Fields!$A$2:$A$50,0)))</f>
        <v/>
      </c>
      <c r="Y222" s="14" t="str">
        <f aca="true">IF(COUNTA(I222:L222)=0,"",IF(LARGE($N222:$W222,2)=0,"-",INDEX(Fields!$B$2:$B$50,MATCH(SUBSTITUTE(INDEX($N$1:$W$1,IF(LARGE($N222:$W222,2)=MAX($N222:$W222),MATCH(MAX($N222:$W222),OFFSET($N222:$W222,0,MATCH(MAX($N222:$W222),$N222:$W222,0),1,10-MATCH(MAX($N222:$W222),$N222:$W222,0)),0)+MATCH(MAX($N222:$W222),$N222:$W222,0),MATCH(LARGE($N222:$W222,2),$N222:$W222,0))),"Score: ",""),Fields!$A$2:$A$50,0))))</f>
        <v/>
      </c>
      <c r="Z222" s="14" t="str">
        <f aca="false">IF(M222="","",IFERROR(INDEX('3 Hazed Questions'!$O$2:$O$23,MATCH(1,INDEX(('3 Hazed Questions'!$A$2:$A$23="Q5")*('3 Hazed Questions'!$C$2:$C$23=M222),0),0))&amp;"",""))</f>
        <v/>
      </c>
      <c r="AA222" s="18"/>
      <c r="AB222" s="18"/>
      <c r="AC222" s="19"/>
      <c r="AD222" s="19"/>
      <c r="AE222" s="18"/>
      <c r="AF222" s="18"/>
      <c r="AG222" s="18"/>
    </row>
    <row r="223" customFormat="false" ht="15" hidden="false" customHeight="false" outlineLevel="0" collapsed="false">
      <c r="A223" s="18"/>
      <c r="B223" s="19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4" t="str">
        <f aca="false">IF(COUNTA(I223:L223)=0,"",SUMIFS('3 Hazed Questions'!$E$2:$E$23,'3 Hazed Questions'!$A$2:$A$23,"Q1",'3 Hazed Questions'!$C$2:$C$23,I223)+SUMIFS('3 Hazed Questions'!$E$2:$E$23,'3 Hazed Questions'!$A$2:$A$23,"Q2",'3 Hazed Questions'!$C$2:$C$23,J223)+SUMIFS('3 Hazed Questions'!$E$2:$E$23,'3 Hazed Questions'!$A$2:$A$23,"Q3",'3 Hazed Questions'!$C$2:$C$23,K223)+SUMIFS('3 Hazed Questions'!$E$2:$E$23,'3 Hazed Questions'!$A$2:$A$23,"Q4",'3 Hazed Questions'!$C$2:$C$23,L223))</f>
        <v/>
      </c>
      <c r="O223" s="14" t="str">
        <f aca="false">IF(COUNTA(I223:L223)=0,"",SUMIFS('3 Hazed Questions'!$F$2:$F$23,'3 Hazed Questions'!$A$2:$A$23,"Q1",'3 Hazed Questions'!$C$2:$C$23,I223)+SUMIFS('3 Hazed Questions'!$F$2:$F$23,'3 Hazed Questions'!$A$2:$A$23,"Q2",'3 Hazed Questions'!$C$2:$C$23,J223)+SUMIFS('3 Hazed Questions'!$F$2:$F$23,'3 Hazed Questions'!$A$2:$A$23,"Q3",'3 Hazed Questions'!$C$2:$C$23,K223)+SUMIFS('3 Hazed Questions'!$F$2:$F$23,'3 Hazed Questions'!$A$2:$A$23,"Q4",'3 Hazed Questions'!$C$2:$C$23,L223))</f>
        <v/>
      </c>
      <c r="P223" s="14" t="str">
        <f aca="false">IF(COUNTA(I223:L223)=0,"",SUMIFS('3 Hazed Questions'!$G$2:$G$23,'3 Hazed Questions'!$A$2:$A$23,"Q1",'3 Hazed Questions'!$C$2:$C$23,I223)+SUMIFS('3 Hazed Questions'!$G$2:$G$23,'3 Hazed Questions'!$A$2:$A$23,"Q2",'3 Hazed Questions'!$C$2:$C$23,J223)+SUMIFS('3 Hazed Questions'!$G$2:$G$23,'3 Hazed Questions'!$A$2:$A$23,"Q3",'3 Hazed Questions'!$C$2:$C$23,K223)+SUMIFS('3 Hazed Questions'!$G$2:$G$23,'3 Hazed Questions'!$A$2:$A$23,"Q4",'3 Hazed Questions'!$C$2:$C$23,L223))</f>
        <v/>
      </c>
      <c r="Q223" s="14" t="str">
        <f aca="false">IF(COUNTA(I223:L223)=0,"",SUMIFS('3 Hazed Questions'!$H$2:$H$23,'3 Hazed Questions'!$A$2:$A$23,"Q1",'3 Hazed Questions'!$C$2:$C$23,I223)+SUMIFS('3 Hazed Questions'!$H$2:$H$23,'3 Hazed Questions'!$A$2:$A$23,"Q2",'3 Hazed Questions'!$C$2:$C$23,J223)+SUMIFS('3 Hazed Questions'!$H$2:$H$23,'3 Hazed Questions'!$A$2:$A$23,"Q3",'3 Hazed Questions'!$C$2:$C$23,K223)+SUMIFS('3 Hazed Questions'!$H$2:$H$23,'3 Hazed Questions'!$A$2:$A$23,"Q4",'3 Hazed Questions'!$C$2:$C$23,L223))</f>
        <v/>
      </c>
      <c r="R223" s="14" t="str">
        <f aca="false">IF(COUNTA(I223:L223)=0,"",SUMIFS('3 Hazed Questions'!$I$2:$I$23,'3 Hazed Questions'!$A$2:$A$23,"Q1",'3 Hazed Questions'!$C$2:$C$23,I223)+SUMIFS('3 Hazed Questions'!$I$2:$I$23,'3 Hazed Questions'!$A$2:$A$23,"Q2",'3 Hazed Questions'!$C$2:$C$23,J223)+SUMIFS('3 Hazed Questions'!$I$2:$I$23,'3 Hazed Questions'!$A$2:$A$23,"Q3",'3 Hazed Questions'!$C$2:$C$23,K223)+SUMIFS('3 Hazed Questions'!$I$2:$I$23,'3 Hazed Questions'!$A$2:$A$23,"Q4",'3 Hazed Questions'!$C$2:$C$23,L223))</f>
        <v/>
      </c>
      <c r="S223" s="14" t="str">
        <f aca="false">IF(COUNTA(I223:L223)=0,"",SUMIFS('3 Hazed Questions'!$J$2:$J$23,'3 Hazed Questions'!$A$2:$A$23,"Q1",'3 Hazed Questions'!$C$2:$C$23,I223)+SUMIFS('3 Hazed Questions'!$J$2:$J$23,'3 Hazed Questions'!$A$2:$A$23,"Q2",'3 Hazed Questions'!$C$2:$C$23,J223)+SUMIFS('3 Hazed Questions'!$J$2:$J$23,'3 Hazed Questions'!$A$2:$A$23,"Q3",'3 Hazed Questions'!$C$2:$C$23,K223)+SUMIFS('3 Hazed Questions'!$J$2:$J$23,'3 Hazed Questions'!$A$2:$A$23,"Q4",'3 Hazed Questions'!$C$2:$C$23,L223))</f>
        <v/>
      </c>
      <c r="T223" s="14" t="str">
        <f aca="false">IF(COUNTA(I223:L223)=0,"",SUMIFS('3 Hazed Questions'!$K$2:$K$23,'3 Hazed Questions'!$A$2:$A$23,"Q1",'3 Hazed Questions'!$C$2:$C$23,I223)+SUMIFS('3 Hazed Questions'!$K$2:$K$23,'3 Hazed Questions'!$A$2:$A$23,"Q2",'3 Hazed Questions'!$C$2:$C$23,J223)+SUMIFS('3 Hazed Questions'!$K$2:$K$23,'3 Hazed Questions'!$A$2:$A$23,"Q3",'3 Hazed Questions'!$C$2:$C$23,K223)+SUMIFS('3 Hazed Questions'!$K$2:$K$23,'3 Hazed Questions'!$A$2:$A$23,"Q4",'3 Hazed Questions'!$C$2:$C$23,L223))</f>
        <v/>
      </c>
      <c r="U223" s="14" t="str">
        <f aca="false">IF(COUNTA(I223:L223)=0,"",SUMIFS('3 Hazed Questions'!$L$2:$L$23,'3 Hazed Questions'!$A$2:$A$23,"Q1",'3 Hazed Questions'!$C$2:$C$23,I223)+SUMIFS('3 Hazed Questions'!$L$2:$L$23,'3 Hazed Questions'!$A$2:$A$23,"Q2",'3 Hazed Questions'!$C$2:$C$23,J223)+SUMIFS('3 Hazed Questions'!$L$2:$L$23,'3 Hazed Questions'!$A$2:$A$23,"Q3",'3 Hazed Questions'!$C$2:$C$23,K223)+SUMIFS('3 Hazed Questions'!$L$2:$L$23,'3 Hazed Questions'!$A$2:$A$23,"Q4",'3 Hazed Questions'!$C$2:$C$23,L223))</f>
        <v/>
      </c>
      <c r="V223" s="14" t="str">
        <f aca="false">IF(COUNTA(I223:L223)=0,"",SUMIFS('3 Hazed Questions'!$M$2:$M$23,'3 Hazed Questions'!$A$2:$A$23,"Q1",'3 Hazed Questions'!$C$2:$C$23,I223)+SUMIFS('3 Hazed Questions'!$M$2:$M$23,'3 Hazed Questions'!$A$2:$A$23,"Q2",'3 Hazed Questions'!$C$2:$C$23,J223)+SUMIFS('3 Hazed Questions'!$M$2:$M$23,'3 Hazed Questions'!$A$2:$A$23,"Q3",'3 Hazed Questions'!$C$2:$C$23,K223)+SUMIFS('3 Hazed Questions'!$M$2:$M$23,'3 Hazed Questions'!$A$2:$A$23,"Q4",'3 Hazed Questions'!$C$2:$C$23,L223))</f>
        <v/>
      </c>
      <c r="W223" s="14" t="str">
        <f aca="false">IF(COUNTA(I223:L223)=0,"",SUMIFS('3 Hazed Questions'!$N$2:$N$23,'3 Hazed Questions'!$A$2:$A$23,"Q1",'3 Hazed Questions'!$C$2:$C$23,I223)+SUMIFS('3 Hazed Questions'!$N$2:$N$23,'3 Hazed Questions'!$A$2:$A$23,"Q2",'3 Hazed Questions'!$C$2:$C$23,J223)+SUMIFS('3 Hazed Questions'!$N$2:$N$23,'3 Hazed Questions'!$A$2:$A$23,"Q3",'3 Hazed Questions'!$C$2:$C$23,K223)+SUMIFS('3 Hazed Questions'!$N$2:$N$23,'3 Hazed Questions'!$A$2:$A$23,"Q4",'3 Hazed Questions'!$C$2:$C$23,L223))</f>
        <v/>
      </c>
      <c r="X223" s="14" t="str">
        <f aca="false">IF(COUNTA(I223:L223)=0,"",INDEX(Fields!$B$2:$B$50,MATCH(SUBSTITUTE(INDEX($N$1:$W$1,MATCH(MAX($N223:$W223),$N223:$W223,0)),"Score: ",""),Fields!$A$2:$A$50,0)))</f>
        <v/>
      </c>
      <c r="Y223" s="14" t="str">
        <f aca="true">IF(COUNTA(I223:L223)=0,"",IF(LARGE($N223:$W223,2)=0,"-",INDEX(Fields!$B$2:$B$50,MATCH(SUBSTITUTE(INDEX($N$1:$W$1,IF(LARGE($N223:$W223,2)=MAX($N223:$W223),MATCH(MAX($N223:$W223),OFFSET($N223:$W223,0,MATCH(MAX($N223:$W223),$N223:$W223,0),1,10-MATCH(MAX($N223:$W223),$N223:$W223,0)),0)+MATCH(MAX($N223:$W223),$N223:$W223,0),MATCH(LARGE($N223:$W223,2),$N223:$W223,0))),"Score: ",""),Fields!$A$2:$A$50,0))))</f>
        <v/>
      </c>
      <c r="Z223" s="14" t="str">
        <f aca="false">IF(M223="","",IFERROR(INDEX('3 Hazed Questions'!$O$2:$O$23,MATCH(1,INDEX(('3 Hazed Questions'!$A$2:$A$23="Q5")*('3 Hazed Questions'!$C$2:$C$23=M223),0),0))&amp;"",""))</f>
        <v/>
      </c>
      <c r="AA223" s="18"/>
      <c r="AB223" s="18"/>
      <c r="AC223" s="19"/>
      <c r="AD223" s="19"/>
      <c r="AE223" s="18"/>
      <c r="AF223" s="18"/>
      <c r="AG223" s="18"/>
    </row>
    <row r="224" customFormat="false" ht="15" hidden="false" customHeight="false" outlineLevel="0" collapsed="false">
      <c r="A224" s="18"/>
      <c r="B224" s="19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4" t="str">
        <f aca="false">IF(COUNTA(I224:L224)=0,"",SUMIFS('3 Hazed Questions'!$E$2:$E$23,'3 Hazed Questions'!$A$2:$A$23,"Q1",'3 Hazed Questions'!$C$2:$C$23,I224)+SUMIFS('3 Hazed Questions'!$E$2:$E$23,'3 Hazed Questions'!$A$2:$A$23,"Q2",'3 Hazed Questions'!$C$2:$C$23,J224)+SUMIFS('3 Hazed Questions'!$E$2:$E$23,'3 Hazed Questions'!$A$2:$A$23,"Q3",'3 Hazed Questions'!$C$2:$C$23,K224)+SUMIFS('3 Hazed Questions'!$E$2:$E$23,'3 Hazed Questions'!$A$2:$A$23,"Q4",'3 Hazed Questions'!$C$2:$C$23,L224))</f>
        <v/>
      </c>
      <c r="O224" s="14" t="str">
        <f aca="false">IF(COUNTA(I224:L224)=0,"",SUMIFS('3 Hazed Questions'!$F$2:$F$23,'3 Hazed Questions'!$A$2:$A$23,"Q1",'3 Hazed Questions'!$C$2:$C$23,I224)+SUMIFS('3 Hazed Questions'!$F$2:$F$23,'3 Hazed Questions'!$A$2:$A$23,"Q2",'3 Hazed Questions'!$C$2:$C$23,J224)+SUMIFS('3 Hazed Questions'!$F$2:$F$23,'3 Hazed Questions'!$A$2:$A$23,"Q3",'3 Hazed Questions'!$C$2:$C$23,K224)+SUMIFS('3 Hazed Questions'!$F$2:$F$23,'3 Hazed Questions'!$A$2:$A$23,"Q4",'3 Hazed Questions'!$C$2:$C$23,L224))</f>
        <v/>
      </c>
      <c r="P224" s="14" t="str">
        <f aca="false">IF(COUNTA(I224:L224)=0,"",SUMIFS('3 Hazed Questions'!$G$2:$G$23,'3 Hazed Questions'!$A$2:$A$23,"Q1",'3 Hazed Questions'!$C$2:$C$23,I224)+SUMIFS('3 Hazed Questions'!$G$2:$G$23,'3 Hazed Questions'!$A$2:$A$23,"Q2",'3 Hazed Questions'!$C$2:$C$23,J224)+SUMIFS('3 Hazed Questions'!$G$2:$G$23,'3 Hazed Questions'!$A$2:$A$23,"Q3",'3 Hazed Questions'!$C$2:$C$23,K224)+SUMIFS('3 Hazed Questions'!$G$2:$G$23,'3 Hazed Questions'!$A$2:$A$23,"Q4",'3 Hazed Questions'!$C$2:$C$23,L224))</f>
        <v/>
      </c>
      <c r="Q224" s="14" t="str">
        <f aca="false">IF(COUNTA(I224:L224)=0,"",SUMIFS('3 Hazed Questions'!$H$2:$H$23,'3 Hazed Questions'!$A$2:$A$23,"Q1",'3 Hazed Questions'!$C$2:$C$23,I224)+SUMIFS('3 Hazed Questions'!$H$2:$H$23,'3 Hazed Questions'!$A$2:$A$23,"Q2",'3 Hazed Questions'!$C$2:$C$23,J224)+SUMIFS('3 Hazed Questions'!$H$2:$H$23,'3 Hazed Questions'!$A$2:$A$23,"Q3",'3 Hazed Questions'!$C$2:$C$23,K224)+SUMIFS('3 Hazed Questions'!$H$2:$H$23,'3 Hazed Questions'!$A$2:$A$23,"Q4",'3 Hazed Questions'!$C$2:$C$23,L224))</f>
        <v/>
      </c>
      <c r="R224" s="14" t="str">
        <f aca="false">IF(COUNTA(I224:L224)=0,"",SUMIFS('3 Hazed Questions'!$I$2:$I$23,'3 Hazed Questions'!$A$2:$A$23,"Q1",'3 Hazed Questions'!$C$2:$C$23,I224)+SUMIFS('3 Hazed Questions'!$I$2:$I$23,'3 Hazed Questions'!$A$2:$A$23,"Q2",'3 Hazed Questions'!$C$2:$C$23,J224)+SUMIFS('3 Hazed Questions'!$I$2:$I$23,'3 Hazed Questions'!$A$2:$A$23,"Q3",'3 Hazed Questions'!$C$2:$C$23,K224)+SUMIFS('3 Hazed Questions'!$I$2:$I$23,'3 Hazed Questions'!$A$2:$A$23,"Q4",'3 Hazed Questions'!$C$2:$C$23,L224))</f>
        <v/>
      </c>
      <c r="S224" s="14" t="str">
        <f aca="false">IF(COUNTA(I224:L224)=0,"",SUMIFS('3 Hazed Questions'!$J$2:$J$23,'3 Hazed Questions'!$A$2:$A$23,"Q1",'3 Hazed Questions'!$C$2:$C$23,I224)+SUMIFS('3 Hazed Questions'!$J$2:$J$23,'3 Hazed Questions'!$A$2:$A$23,"Q2",'3 Hazed Questions'!$C$2:$C$23,J224)+SUMIFS('3 Hazed Questions'!$J$2:$J$23,'3 Hazed Questions'!$A$2:$A$23,"Q3",'3 Hazed Questions'!$C$2:$C$23,K224)+SUMIFS('3 Hazed Questions'!$J$2:$J$23,'3 Hazed Questions'!$A$2:$A$23,"Q4",'3 Hazed Questions'!$C$2:$C$23,L224))</f>
        <v/>
      </c>
      <c r="T224" s="14" t="str">
        <f aca="false">IF(COUNTA(I224:L224)=0,"",SUMIFS('3 Hazed Questions'!$K$2:$K$23,'3 Hazed Questions'!$A$2:$A$23,"Q1",'3 Hazed Questions'!$C$2:$C$23,I224)+SUMIFS('3 Hazed Questions'!$K$2:$K$23,'3 Hazed Questions'!$A$2:$A$23,"Q2",'3 Hazed Questions'!$C$2:$C$23,J224)+SUMIFS('3 Hazed Questions'!$K$2:$K$23,'3 Hazed Questions'!$A$2:$A$23,"Q3",'3 Hazed Questions'!$C$2:$C$23,K224)+SUMIFS('3 Hazed Questions'!$K$2:$K$23,'3 Hazed Questions'!$A$2:$A$23,"Q4",'3 Hazed Questions'!$C$2:$C$23,L224))</f>
        <v/>
      </c>
      <c r="U224" s="14" t="str">
        <f aca="false">IF(COUNTA(I224:L224)=0,"",SUMIFS('3 Hazed Questions'!$L$2:$L$23,'3 Hazed Questions'!$A$2:$A$23,"Q1",'3 Hazed Questions'!$C$2:$C$23,I224)+SUMIFS('3 Hazed Questions'!$L$2:$L$23,'3 Hazed Questions'!$A$2:$A$23,"Q2",'3 Hazed Questions'!$C$2:$C$23,J224)+SUMIFS('3 Hazed Questions'!$L$2:$L$23,'3 Hazed Questions'!$A$2:$A$23,"Q3",'3 Hazed Questions'!$C$2:$C$23,K224)+SUMIFS('3 Hazed Questions'!$L$2:$L$23,'3 Hazed Questions'!$A$2:$A$23,"Q4",'3 Hazed Questions'!$C$2:$C$23,L224))</f>
        <v/>
      </c>
      <c r="V224" s="14" t="str">
        <f aca="false">IF(COUNTA(I224:L224)=0,"",SUMIFS('3 Hazed Questions'!$M$2:$M$23,'3 Hazed Questions'!$A$2:$A$23,"Q1",'3 Hazed Questions'!$C$2:$C$23,I224)+SUMIFS('3 Hazed Questions'!$M$2:$M$23,'3 Hazed Questions'!$A$2:$A$23,"Q2",'3 Hazed Questions'!$C$2:$C$23,J224)+SUMIFS('3 Hazed Questions'!$M$2:$M$23,'3 Hazed Questions'!$A$2:$A$23,"Q3",'3 Hazed Questions'!$C$2:$C$23,K224)+SUMIFS('3 Hazed Questions'!$M$2:$M$23,'3 Hazed Questions'!$A$2:$A$23,"Q4",'3 Hazed Questions'!$C$2:$C$23,L224))</f>
        <v/>
      </c>
      <c r="W224" s="14" t="str">
        <f aca="false">IF(COUNTA(I224:L224)=0,"",SUMIFS('3 Hazed Questions'!$N$2:$N$23,'3 Hazed Questions'!$A$2:$A$23,"Q1",'3 Hazed Questions'!$C$2:$C$23,I224)+SUMIFS('3 Hazed Questions'!$N$2:$N$23,'3 Hazed Questions'!$A$2:$A$23,"Q2",'3 Hazed Questions'!$C$2:$C$23,J224)+SUMIFS('3 Hazed Questions'!$N$2:$N$23,'3 Hazed Questions'!$A$2:$A$23,"Q3",'3 Hazed Questions'!$C$2:$C$23,K224)+SUMIFS('3 Hazed Questions'!$N$2:$N$23,'3 Hazed Questions'!$A$2:$A$23,"Q4",'3 Hazed Questions'!$C$2:$C$23,L224))</f>
        <v/>
      </c>
      <c r="X224" s="14" t="str">
        <f aca="false">IF(COUNTA(I224:L224)=0,"",INDEX(Fields!$B$2:$B$50,MATCH(SUBSTITUTE(INDEX($N$1:$W$1,MATCH(MAX($N224:$W224),$N224:$W224,0)),"Score: ",""),Fields!$A$2:$A$50,0)))</f>
        <v/>
      </c>
      <c r="Y224" s="14" t="str">
        <f aca="true">IF(COUNTA(I224:L224)=0,"",IF(LARGE($N224:$W224,2)=0,"-",INDEX(Fields!$B$2:$B$50,MATCH(SUBSTITUTE(INDEX($N$1:$W$1,IF(LARGE($N224:$W224,2)=MAX($N224:$W224),MATCH(MAX($N224:$W224),OFFSET($N224:$W224,0,MATCH(MAX($N224:$W224),$N224:$W224,0),1,10-MATCH(MAX($N224:$W224),$N224:$W224,0)),0)+MATCH(MAX($N224:$W224),$N224:$W224,0),MATCH(LARGE($N224:$W224,2),$N224:$W224,0))),"Score: ",""),Fields!$A$2:$A$50,0))))</f>
        <v/>
      </c>
      <c r="Z224" s="14" t="str">
        <f aca="false">IF(M224="","",IFERROR(INDEX('3 Hazed Questions'!$O$2:$O$23,MATCH(1,INDEX(('3 Hazed Questions'!$A$2:$A$23="Q5")*('3 Hazed Questions'!$C$2:$C$23=M224),0),0))&amp;"",""))</f>
        <v/>
      </c>
      <c r="AA224" s="18"/>
      <c r="AB224" s="18"/>
      <c r="AC224" s="19"/>
      <c r="AD224" s="19"/>
      <c r="AE224" s="18"/>
      <c r="AF224" s="18"/>
      <c r="AG224" s="18"/>
    </row>
    <row r="225" customFormat="false" ht="15" hidden="false" customHeight="false" outlineLevel="0" collapsed="false">
      <c r="A225" s="18"/>
      <c r="B225" s="19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4" t="str">
        <f aca="false">IF(COUNTA(I225:L225)=0,"",SUMIFS('3 Hazed Questions'!$E$2:$E$23,'3 Hazed Questions'!$A$2:$A$23,"Q1",'3 Hazed Questions'!$C$2:$C$23,I225)+SUMIFS('3 Hazed Questions'!$E$2:$E$23,'3 Hazed Questions'!$A$2:$A$23,"Q2",'3 Hazed Questions'!$C$2:$C$23,J225)+SUMIFS('3 Hazed Questions'!$E$2:$E$23,'3 Hazed Questions'!$A$2:$A$23,"Q3",'3 Hazed Questions'!$C$2:$C$23,K225)+SUMIFS('3 Hazed Questions'!$E$2:$E$23,'3 Hazed Questions'!$A$2:$A$23,"Q4",'3 Hazed Questions'!$C$2:$C$23,L225))</f>
        <v/>
      </c>
      <c r="O225" s="14" t="str">
        <f aca="false">IF(COUNTA(I225:L225)=0,"",SUMIFS('3 Hazed Questions'!$F$2:$F$23,'3 Hazed Questions'!$A$2:$A$23,"Q1",'3 Hazed Questions'!$C$2:$C$23,I225)+SUMIFS('3 Hazed Questions'!$F$2:$F$23,'3 Hazed Questions'!$A$2:$A$23,"Q2",'3 Hazed Questions'!$C$2:$C$23,J225)+SUMIFS('3 Hazed Questions'!$F$2:$F$23,'3 Hazed Questions'!$A$2:$A$23,"Q3",'3 Hazed Questions'!$C$2:$C$23,K225)+SUMIFS('3 Hazed Questions'!$F$2:$F$23,'3 Hazed Questions'!$A$2:$A$23,"Q4",'3 Hazed Questions'!$C$2:$C$23,L225))</f>
        <v/>
      </c>
      <c r="P225" s="14" t="str">
        <f aca="false">IF(COUNTA(I225:L225)=0,"",SUMIFS('3 Hazed Questions'!$G$2:$G$23,'3 Hazed Questions'!$A$2:$A$23,"Q1",'3 Hazed Questions'!$C$2:$C$23,I225)+SUMIFS('3 Hazed Questions'!$G$2:$G$23,'3 Hazed Questions'!$A$2:$A$23,"Q2",'3 Hazed Questions'!$C$2:$C$23,J225)+SUMIFS('3 Hazed Questions'!$G$2:$G$23,'3 Hazed Questions'!$A$2:$A$23,"Q3",'3 Hazed Questions'!$C$2:$C$23,K225)+SUMIFS('3 Hazed Questions'!$G$2:$G$23,'3 Hazed Questions'!$A$2:$A$23,"Q4",'3 Hazed Questions'!$C$2:$C$23,L225))</f>
        <v/>
      </c>
      <c r="Q225" s="14" t="str">
        <f aca="false">IF(COUNTA(I225:L225)=0,"",SUMIFS('3 Hazed Questions'!$H$2:$H$23,'3 Hazed Questions'!$A$2:$A$23,"Q1",'3 Hazed Questions'!$C$2:$C$23,I225)+SUMIFS('3 Hazed Questions'!$H$2:$H$23,'3 Hazed Questions'!$A$2:$A$23,"Q2",'3 Hazed Questions'!$C$2:$C$23,J225)+SUMIFS('3 Hazed Questions'!$H$2:$H$23,'3 Hazed Questions'!$A$2:$A$23,"Q3",'3 Hazed Questions'!$C$2:$C$23,K225)+SUMIFS('3 Hazed Questions'!$H$2:$H$23,'3 Hazed Questions'!$A$2:$A$23,"Q4",'3 Hazed Questions'!$C$2:$C$23,L225))</f>
        <v/>
      </c>
      <c r="R225" s="14" t="str">
        <f aca="false">IF(COUNTA(I225:L225)=0,"",SUMIFS('3 Hazed Questions'!$I$2:$I$23,'3 Hazed Questions'!$A$2:$A$23,"Q1",'3 Hazed Questions'!$C$2:$C$23,I225)+SUMIFS('3 Hazed Questions'!$I$2:$I$23,'3 Hazed Questions'!$A$2:$A$23,"Q2",'3 Hazed Questions'!$C$2:$C$23,J225)+SUMIFS('3 Hazed Questions'!$I$2:$I$23,'3 Hazed Questions'!$A$2:$A$23,"Q3",'3 Hazed Questions'!$C$2:$C$23,K225)+SUMIFS('3 Hazed Questions'!$I$2:$I$23,'3 Hazed Questions'!$A$2:$A$23,"Q4",'3 Hazed Questions'!$C$2:$C$23,L225))</f>
        <v/>
      </c>
      <c r="S225" s="14" t="str">
        <f aca="false">IF(COUNTA(I225:L225)=0,"",SUMIFS('3 Hazed Questions'!$J$2:$J$23,'3 Hazed Questions'!$A$2:$A$23,"Q1",'3 Hazed Questions'!$C$2:$C$23,I225)+SUMIFS('3 Hazed Questions'!$J$2:$J$23,'3 Hazed Questions'!$A$2:$A$23,"Q2",'3 Hazed Questions'!$C$2:$C$23,J225)+SUMIFS('3 Hazed Questions'!$J$2:$J$23,'3 Hazed Questions'!$A$2:$A$23,"Q3",'3 Hazed Questions'!$C$2:$C$23,K225)+SUMIFS('3 Hazed Questions'!$J$2:$J$23,'3 Hazed Questions'!$A$2:$A$23,"Q4",'3 Hazed Questions'!$C$2:$C$23,L225))</f>
        <v/>
      </c>
      <c r="T225" s="14" t="str">
        <f aca="false">IF(COUNTA(I225:L225)=0,"",SUMIFS('3 Hazed Questions'!$K$2:$K$23,'3 Hazed Questions'!$A$2:$A$23,"Q1",'3 Hazed Questions'!$C$2:$C$23,I225)+SUMIFS('3 Hazed Questions'!$K$2:$K$23,'3 Hazed Questions'!$A$2:$A$23,"Q2",'3 Hazed Questions'!$C$2:$C$23,J225)+SUMIFS('3 Hazed Questions'!$K$2:$K$23,'3 Hazed Questions'!$A$2:$A$23,"Q3",'3 Hazed Questions'!$C$2:$C$23,K225)+SUMIFS('3 Hazed Questions'!$K$2:$K$23,'3 Hazed Questions'!$A$2:$A$23,"Q4",'3 Hazed Questions'!$C$2:$C$23,L225))</f>
        <v/>
      </c>
      <c r="U225" s="14" t="str">
        <f aca="false">IF(COUNTA(I225:L225)=0,"",SUMIFS('3 Hazed Questions'!$L$2:$L$23,'3 Hazed Questions'!$A$2:$A$23,"Q1",'3 Hazed Questions'!$C$2:$C$23,I225)+SUMIFS('3 Hazed Questions'!$L$2:$L$23,'3 Hazed Questions'!$A$2:$A$23,"Q2",'3 Hazed Questions'!$C$2:$C$23,J225)+SUMIFS('3 Hazed Questions'!$L$2:$L$23,'3 Hazed Questions'!$A$2:$A$23,"Q3",'3 Hazed Questions'!$C$2:$C$23,K225)+SUMIFS('3 Hazed Questions'!$L$2:$L$23,'3 Hazed Questions'!$A$2:$A$23,"Q4",'3 Hazed Questions'!$C$2:$C$23,L225))</f>
        <v/>
      </c>
      <c r="V225" s="14" t="str">
        <f aca="false">IF(COUNTA(I225:L225)=0,"",SUMIFS('3 Hazed Questions'!$M$2:$M$23,'3 Hazed Questions'!$A$2:$A$23,"Q1",'3 Hazed Questions'!$C$2:$C$23,I225)+SUMIFS('3 Hazed Questions'!$M$2:$M$23,'3 Hazed Questions'!$A$2:$A$23,"Q2",'3 Hazed Questions'!$C$2:$C$23,J225)+SUMIFS('3 Hazed Questions'!$M$2:$M$23,'3 Hazed Questions'!$A$2:$A$23,"Q3",'3 Hazed Questions'!$C$2:$C$23,K225)+SUMIFS('3 Hazed Questions'!$M$2:$M$23,'3 Hazed Questions'!$A$2:$A$23,"Q4",'3 Hazed Questions'!$C$2:$C$23,L225))</f>
        <v/>
      </c>
      <c r="W225" s="14" t="str">
        <f aca="false">IF(COUNTA(I225:L225)=0,"",SUMIFS('3 Hazed Questions'!$N$2:$N$23,'3 Hazed Questions'!$A$2:$A$23,"Q1",'3 Hazed Questions'!$C$2:$C$23,I225)+SUMIFS('3 Hazed Questions'!$N$2:$N$23,'3 Hazed Questions'!$A$2:$A$23,"Q2",'3 Hazed Questions'!$C$2:$C$23,J225)+SUMIFS('3 Hazed Questions'!$N$2:$N$23,'3 Hazed Questions'!$A$2:$A$23,"Q3",'3 Hazed Questions'!$C$2:$C$23,K225)+SUMIFS('3 Hazed Questions'!$N$2:$N$23,'3 Hazed Questions'!$A$2:$A$23,"Q4",'3 Hazed Questions'!$C$2:$C$23,L225))</f>
        <v/>
      </c>
      <c r="X225" s="14" t="str">
        <f aca="false">IF(COUNTA(I225:L225)=0,"",INDEX(Fields!$B$2:$B$50,MATCH(SUBSTITUTE(INDEX($N$1:$W$1,MATCH(MAX($N225:$W225),$N225:$W225,0)),"Score: ",""),Fields!$A$2:$A$50,0)))</f>
        <v/>
      </c>
      <c r="Y225" s="14" t="str">
        <f aca="true">IF(COUNTA(I225:L225)=0,"",IF(LARGE($N225:$W225,2)=0,"-",INDEX(Fields!$B$2:$B$50,MATCH(SUBSTITUTE(INDEX($N$1:$W$1,IF(LARGE($N225:$W225,2)=MAX($N225:$W225),MATCH(MAX($N225:$W225),OFFSET($N225:$W225,0,MATCH(MAX($N225:$W225),$N225:$W225,0),1,10-MATCH(MAX($N225:$W225),$N225:$W225,0)),0)+MATCH(MAX($N225:$W225),$N225:$W225,0),MATCH(LARGE($N225:$W225,2),$N225:$W225,0))),"Score: ",""),Fields!$A$2:$A$50,0))))</f>
        <v/>
      </c>
      <c r="Z225" s="14" t="str">
        <f aca="false">IF(M225="","",IFERROR(INDEX('3 Hazed Questions'!$O$2:$O$23,MATCH(1,INDEX(('3 Hazed Questions'!$A$2:$A$23="Q5")*('3 Hazed Questions'!$C$2:$C$23=M225),0),0))&amp;"",""))</f>
        <v/>
      </c>
      <c r="AA225" s="18"/>
      <c r="AB225" s="18"/>
      <c r="AC225" s="19"/>
      <c r="AD225" s="19"/>
      <c r="AE225" s="18"/>
      <c r="AF225" s="18"/>
      <c r="AG225" s="18"/>
    </row>
    <row r="226" customFormat="false" ht="15" hidden="false" customHeight="false" outlineLevel="0" collapsed="false">
      <c r="A226" s="18"/>
      <c r="B226" s="19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4" t="str">
        <f aca="false">IF(COUNTA(I226:L226)=0,"",SUMIFS('3 Hazed Questions'!$E$2:$E$23,'3 Hazed Questions'!$A$2:$A$23,"Q1",'3 Hazed Questions'!$C$2:$C$23,I226)+SUMIFS('3 Hazed Questions'!$E$2:$E$23,'3 Hazed Questions'!$A$2:$A$23,"Q2",'3 Hazed Questions'!$C$2:$C$23,J226)+SUMIFS('3 Hazed Questions'!$E$2:$E$23,'3 Hazed Questions'!$A$2:$A$23,"Q3",'3 Hazed Questions'!$C$2:$C$23,K226)+SUMIFS('3 Hazed Questions'!$E$2:$E$23,'3 Hazed Questions'!$A$2:$A$23,"Q4",'3 Hazed Questions'!$C$2:$C$23,L226))</f>
        <v/>
      </c>
      <c r="O226" s="14" t="str">
        <f aca="false">IF(COUNTA(I226:L226)=0,"",SUMIFS('3 Hazed Questions'!$F$2:$F$23,'3 Hazed Questions'!$A$2:$A$23,"Q1",'3 Hazed Questions'!$C$2:$C$23,I226)+SUMIFS('3 Hazed Questions'!$F$2:$F$23,'3 Hazed Questions'!$A$2:$A$23,"Q2",'3 Hazed Questions'!$C$2:$C$23,J226)+SUMIFS('3 Hazed Questions'!$F$2:$F$23,'3 Hazed Questions'!$A$2:$A$23,"Q3",'3 Hazed Questions'!$C$2:$C$23,K226)+SUMIFS('3 Hazed Questions'!$F$2:$F$23,'3 Hazed Questions'!$A$2:$A$23,"Q4",'3 Hazed Questions'!$C$2:$C$23,L226))</f>
        <v/>
      </c>
      <c r="P226" s="14" t="str">
        <f aca="false">IF(COUNTA(I226:L226)=0,"",SUMIFS('3 Hazed Questions'!$G$2:$G$23,'3 Hazed Questions'!$A$2:$A$23,"Q1",'3 Hazed Questions'!$C$2:$C$23,I226)+SUMIFS('3 Hazed Questions'!$G$2:$G$23,'3 Hazed Questions'!$A$2:$A$23,"Q2",'3 Hazed Questions'!$C$2:$C$23,J226)+SUMIFS('3 Hazed Questions'!$G$2:$G$23,'3 Hazed Questions'!$A$2:$A$23,"Q3",'3 Hazed Questions'!$C$2:$C$23,K226)+SUMIFS('3 Hazed Questions'!$G$2:$G$23,'3 Hazed Questions'!$A$2:$A$23,"Q4",'3 Hazed Questions'!$C$2:$C$23,L226))</f>
        <v/>
      </c>
      <c r="Q226" s="14" t="str">
        <f aca="false">IF(COUNTA(I226:L226)=0,"",SUMIFS('3 Hazed Questions'!$H$2:$H$23,'3 Hazed Questions'!$A$2:$A$23,"Q1",'3 Hazed Questions'!$C$2:$C$23,I226)+SUMIFS('3 Hazed Questions'!$H$2:$H$23,'3 Hazed Questions'!$A$2:$A$23,"Q2",'3 Hazed Questions'!$C$2:$C$23,J226)+SUMIFS('3 Hazed Questions'!$H$2:$H$23,'3 Hazed Questions'!$A$2:$A$23,"Q3",'3 Hazed Questions'!$C$2:$C$23,K226)+SUMIFS('3 Hazed Questions'!$H$2:$H$23,'3 Hazed Questions'!$A$2:$A$23,"Q4",'3 Hazed Questions'!$C$2:$C$23,L226))</f>
        <v/>
      </c>
      <c r="R226" s="14" t="str">
        <f aca="false">IF(COUNTA(I226:L226)=0,"",SUMIFS('3 Hazed Questions'!$I$2:$I$23,'3 Hazed Questions'!$A$2:$A$23,"Q1",'3 Hazed Questions'!$C$2:$C$23,I226)+SUMIFS('3 Hazed Questions'!$I$2:$I$23,'3 Hazed Questions'!$A$2:$A$23,"Q2",'3 Hazed Questions'!$C$2:$C$23,J226)+SUMIFS('3 Hazed Questions'!$I$2:$I$23,'3 Hazed Questions'!$A$2:$A$23,"Q3",'3 Hazed Questions'!$C$2:$C$23,K226)+SUMIFS('3 Hazed Questions'!$I$2:$I$23,'3 Hazed Questions'!$A$2:$A$23,"Q4",'3 Hazed Questions'!$C$2:$C$23,L226))</f>
        <v/>
      </c>
      <c r="S226" s="14" t="str">
        <f aca="false">IF(COUNTA(I226:L226)=0,"",SUMIFS('3 Hazed Questions'!$J$2:$J$23,'3 Hazed Questions'!$A$2:$A$23,"Q1",'3 Hazed Questions'!$C$2:$C$23,I226)+SUMIFS('3 Hazed Questions'!$J$2:$J$23,'3 Hazed Questions'!$A$2:$A$23,"Q2",'3 Hazed Questions'!$C$2:$C$23,J226)+SUMIFS('3 Hazed Questions'!$J$2:$J$23,'3 Hazed Questions'!$A$2:$A$23,"Q3",'3 Hazed Questions'!$C$2:$C$23,K226)+SUMIFS('3 Hazed Questions'!$J$2:$J$23,'3 Hazed Questions'!$A$2:$A$23,"Q4",'3 Hazed Questions'!$C$2:$C$23,L226))</f>
        <v/>
      </c>
      <c r="T226" s="14" t="str">
        <f aca="false">IF(COUNTA(I226:L226)=0,"",SUMIFS('3 Hazed Questions'!$K$2:$K$23,'3 Hazed Questions'!$A$2:$A$23,"Q1",'3 Hazed Questions'!$C$2:$C$23,I226)+SUMIFS('3 Hazed Questions'!$K$2:$K$23,'3 Hazed Questions'!$A$2:$A$23,"Q2",'3 Hazed Questions'!$C$2:$C$23,J226)+SUMIFS('3 Hazed Questions'!$K$2:$K$23,'3 Hazed Questions'!$A$2:$A$23,"Q3",'3 Hazed Questions'!$C$2:$C$23,K226)+SUMIFS('3 Hazed Questions'!$K$2:$K$23,'3 Hazed Questions'!$A$2:$A$23,"Q4",'3 Hazed Questions'!$C$2:$C$23,L226))</f>
        <v/>
      </c>
      <c r="U226" s="14" t="str">
        <f aca="false">IF(COUNTA(I226:L226)=0,"",SUMIFS('3 Hazed Questions'!$L$2:$L$23,'3 Hazed Questions'!$A$2:$A$23,"Q1",'3 Hazed Questions'!$C$2:$C$23,I226)+SUMIFS('3 Hazed Questions'!$L$2:$L$23,'3 Hazed Questions'!$A$2:$A$23,"Q2",'3 Hazed Questions'!$C$2:$C$23,J226)+SUMIFS('3 Hazed Questions'!$L$2:$L$23,'3 Hazed Questions'!$A$2:$A$23,"Q3",'3 Hazed Questions'!$C$2:$C$23,K226)+SUMIFS('3 Hazed Questions'!$L$2:$L$23,'3 Hazed Questions'!$A$2:$A$23,"Q4",'3 Hazed Questions'!$C$2:$C$23,L226))</f>
        <v/>
      </c>
      <c r="V226" s="14" t="str">
        <f aca="false">IF(COUNTA(I226:L226)=0,"",SUMIFS('3 Hazed Questions'!$M$2:$M$23,'3 Hazed Questions'!$A$2:$A$23,"Q1",'3 Hazed Questions'!$C$2:$C$23,I226)+SUMIFS('3 Hazed Questions'!$M$2:$M$23,'3 Hazed Questions'!$A$2:$A$23,"Q2",'3 Hazed Questions'!$C$2:$C$23,J226)+SUMIFS('3 Hazed Questions'!$M$2:$M$23,'3 Hazed Questions'!$A$2:$A$23,"Q3",'3 Hazed Questions'!$C$2:$C$23,K226)+SUMIFS('3 Hazed Questions'!$M$2:$M$23,'3 Hazed Questions'!$A$2:$A$23,"Q4",'3 Hazed Questions'!$C$2:$C$23,L226))</f>
        <v/>
      </c>
      <c r="W226" s="14" t="str">
        <f aca="false">IF(COUNTA(I226:L226)=0,"",SUMIFS('3 Hazed Questions'!$N$2:$N$23,'3 Hazed Questions'!$A$2:$A$23,"Q1",'3 Hazed Questions'!$C$2:$C$23,I226)+SUMIFS('3 Hazed Questions'!$N$2:$N$23,'3 Hazed Questions'!$A$2:$A$23,"Q2",'3 Hazed Questions'!$C$2:$C$23,J226)+SUMIFS('3 Hazed Questions'!$N$2:$N$23,'3 Hazed Questions'!$A$2:$A$23,"Q3",'3 Hazed Questions'!$C$2:$C$23,K226)+SUMIFS('3 Hazed Questions'!$N$2:$N$23,'3 Hazed Questions'!$A$2:$A$23,"Q4",'3 Hazed Questions'!$C$2:$C$23,L226))</f>
        <v/>
      </c>
      <c r="X226" s="14" t="str">
        <f aca="false">IF(COUNTA(I226:L226)=0,"",INDEX(Fields!$B$2:$B$50,MATCH(SUBSTITUTE(INDEX($N$1:$W$1,MATCH(MAX($N226:$W226),$N226:$W226,0)),"Score: ",""),Fields!$A$2:$A$50,0)))</f>
        <v/>
      </c>
      <c r="Y226" s="14" t="str">
        <f aca="true">IF(COUNTA(I226:L226)=0,"",IF(LARGE($N226:$W226,2)=0,"-",INDEX(Fields!$B$2:$B$50,MATCH(SUBSTITUTE(INDEX($N$1:$W$1,IF(LARGE($N226:$W226,2)=MAX($N226:$W226),MATCH(MAX($N226:$W226),OFFSET($N226:$W226,0,MATCH(MAX($N226:$W226),$N226:$W226,0),1,10-MATCH(MAX($N226:$W226),$N226:$W226,0)),0)+MATCH(MAX($N226:$W226),$N226:$W226,0),MATCH(LARGE($N226:$W226,2),$N226:$W226,0))),"Score: ",""),Fields!$A$2:$A$50,0))))</f>
        <v/>
      </c>
      <c r="Z226" s="14" t="str">
        <f aca="false">IF(M226="","",IFERROR(INDEX('3 Hazed Questions'!$O$2:$O$23,MATCH(1,INDEX(('3 Hazed Questions'!$A$2:$A$23="Q5")*('3 Hazed Questions'!$C$2:$C$23=M226),0),0))&amp;"",""))</f>
        <v/>
      </c>
      <c r="AA226" s="18"/>
      <c r="AB226" s="18"/>
      <c r="AC226" s="19"/>
      <c r="AD226" s="19"/>
      <c r="AE226" s="18"/>
      <c r="AF226" s="18"/>
      <c r="AG226" s="18"/>
    </row>
    <row r="227" customFormat="false" ht="15" hidden="false" customHeight="false" outlineLevel="0" collapsed="false">
      <c r="A227" s="18"/>
      <c r="B227" s="19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4" t="str">
        <f aca="false">IF(COUNTA(I227:L227)=0,"",SUMIFS('3 Hazed Questions'!$E$2:$E$23,'3 Hazed Questions'!$A$2:$A$23,"Q1",'3 Hazed Questions'!$C$2:$C$23,I227)+SUMIFS('3 Hazed Questions'!$E$2:$E$23,'3 Hazed Questions'!$A$2:$A$23,"Q2",'3 Hazed Questions'!$C$2:$C$23,J227)+SUMIFS('3 Hazed Questions'!$E$2:$E$23,'3 Hazed Questions'!$A$2:$A$23,"Q3",'3 Hazed Questions'!$C$2:$C$23,K227)+SUMIFS('3 Hazed Questions'!$E$2:$E$23,'3 Hazed Questions'!$A$2:$A$23,"Q4",'3 Hazed Questions'!$C$2:$C$23,L227))</f>
        <v/>
      </c>
      <c r="O227" s="14" t="str">
        <f aca="false">IF(COUNTA(I227:L227)=0,"",SUMIFS('3 Hazed Questions'!$F$2:$F$23,'3 Hazed Questions'!$A$2:$A$23,"Q1",'3 Hazed Questions'!$C$2:$C$23,I227)+SUMIFS('3 Hazed Questions'!$F$2:$F$23,'3 Hazed Questions'!$A$2:$A$23,"Q2",'3 Hazed Questions'!$C$2:$C$23,J227)+SUMIFS('3 Hazed Questions'!$F$2:$F$23,'3 Hazed Questions'!$A$2:$A$23,"Q3",'3 Hazed Questions'!$C$2:$C$23,K227)+SUMIFS('3 Hazed Questions'!$F$2:$F$23,'3 Hazed Questions'!$A$2:$A$23,"Q4",'3 Hazed Questions'!$C$2:$C$23,L227))</f>
        <v/>
      </c>
      <c r="P227" s="14" t="str">
        <f aca="false">IF(COUNTA(I227:L227)=0,"",SUMIFS('3 Hazed Questions'!$G$2:$G$23,'3 Hazed Questions'!$A$2:$A$23,"Q1",'3 Hazed Questions'!$C$2:$C$23,I227)+SUMIFS('3 Hazed Questions'!$G$2:$G$23,'3 Hazed Questions'!$A$2:$A$23,"Q2",'3 Hazed Questions'!$C$2:$C$23,J227)+SUMIFS('3 Hazed Questions'!$G$2:$G$23,'3 Hazed Questions'!$A$2:$A$23,"Q3",'3 Hazed Questions'!$C$2:$C$23,K227)+SUMIFS('3 Hazed Questions'!$G$2:$G$23,'3 Hazed Questions'!$A$2:$A$23,"Q4",'3 Hazed Questions'!$C$2:$C$23,L227))</f>
        <v/>
      </c>
      <c r="Q227" s="14" t="str">
        <f aca="false">IF(COUNTA(I227:L227)=0,"",SUMIFS('3 Hazed Questions'!$H$2:$H$23,'3 Hazed Questions'!$A$2:$A$23,"Q1",'3 Hazed Questions'!$C$2:$C$23,I227)+SUMIFS('3 Hazed Questions'!$H$2:$H$23,'3 Hazed Questions'!$A$2:$A$23,"Q2",'3 Hazed Questions'!$C$2:$C$23,J227)+SUMIFS('3 Hazed Questions'!$H$2:$H$23,'3 Hazed Questions'!$A$2:$A$23,"Q3",'3 Hazed Questions'!$C$2:$C$23,K227)+SUMIFS('3 Hazed Questions'!$H$2:$H$23,'3 Hazed Questions'!$A$2:$A$23,"Q4",'3 Hazed Questions'!$C$2:$C$23,L227))</f>
        <v/>
      </c>
      <c r="R227" s="14" t="str">
        <f aca="false">IF(COUNTA(I227:L227)=0,"",SUMIFS('3 Hazed Questions'!$I$2:$I$23,'3 Hazed Questions'!$A$2:$A$23,"Q1",'3 Hazed Questions'!$C$2:$C$23,I227)+SUMIFS('3 Hazed Questions'!$I$2:$I$23,'3 Hazed Questions'!$A$2:$A$23,"Q2",'3 Hazed Questions'!$C$2:$C$23,J227)+SUMIFS('3 Hazed Questions'!$I$2:$I$23,'3 Hazed Questions'!$A$2:$A$23,"Q3",'3 Hazed Questions'!$C$2:$C$23,K227)+SUMIFS('3 Hazed Questions'!$I$2:$I$23,'3 Hazed Questions'!$A$2:$A$23,"Q4",'3 Hazed Questions'!$C$2:$C$23,L227))</f>
        <v/>
      </c>
      <c r="S227" s="14" t="str">
        <f aca="false">IF(COUNTA(I227:L227)=0,"",SUMIFS('3 Hazed Questions'!$J$2:$J$23,'3 Hazed Questions'!$A$2:$A$23,"Q1",'3 Hazed Questions'!$C$2:$C$23,I227)+SUMIFS('3 Hazed Questions'!$J$2:$J$23,'3 Hazed Questions'!$A$2:$A$23,"Q2",'3 Hazed Questions'!$C$2:$C$23,J227)+SUMIFS('3 Hazed Questions'!$J$2:$J$23,'3 Hazed Questions'!$A$2:$A$23,"Q3",'3 Hazed Questions'!$C$2:$C$23,K227)+SUMIFS('3 Hazed Questions'!$J$2:$J$23,'3 Hazed Questions'!$A$2:$A$23,"Q4",'3 Hazed Questions'!$C$2:$C$23,L227))</f>
        <v/>
      </c>
      <c r="T227" s="14" t="str">
        <f aca="false">IF(COUNTA(I227:L227)=0,"",SUMIFS('3 Hazed Questions'!$K$2:$K$23,'3 Hazed Questions'!$A$2:$A$23,"Q1",'3 Hazed Questions'!$C$2:$C$23,I227)+SUMIFS('3 Hazed Questions'!$K$2:$K$23,'3 Hazed Questions'!$A$2:$A$23,"Q2",'3 Hazed Questions'!$C$2:$C$23,J227)+SUMIFS('3 Hazed Questions'!$K$2:$K$23,'3 Hazed Questions'!$A$2:$A$23,"Q3",'3 Hazed Questions'!$C$2:$C$23,K227)+SUMIFS('3 Hazed Questions'!$K$2:$K$23,'3 Hazed Questions'!$A$2:$A$23,"Q4",'3 Hazed Questions'!$C$2:$C$23,L227))</f>
        <v/>
      </c>
      <c r="U227" s="14" t="str">
        <f aca="false">IF(COUNTA(I227:L227)=0,"",SUMIFS('3 Hazed Questions'!$L$2:$L$23,'3 Hazed Questions'!$A$2:$A$23,"Q1",'3 Hazed Questions'!$C$2:$C$23,I227)+SUMIFS('3 Hazed Questions'!$L$2:$L$23,'3 Hazed Questions'!$A$2:$A$23,"Q2",'3 Hazed Questions'!$C$2:$C$23,J227)+SUMIFS('3 Hazed Questions'!$L$2:$L$23,'3 Hazed Questions'!$A$2:$A$23,"Q3",'3 Hazed Questions'!$C$2:$C$23,K227)+SUMIFS('3 Hazed Questions'!$L$2:$L$23,'3 Hazed Questions'!$A$2:$A$23,"Q4",'3 Hazed Questions'!$C$2:$C$23,L227))</f>
        <v/>
      </c>
      <c r="V227" s="14" t="str">
        <f aca="false">IF(COUNTA(I227:L227)=0,"",SUMIFS('3 Hazed Questions'!$M$2:$M$23,'3 Hazed Questions'!$A$2:$A$23,"Q1",'3 Hazed Questions'!$C$2:$C$23,I227)+SUMIFS('3 Hazed Questions'!$M$2:$M$23,'3 Hazed Questions'!$A$2:$A$23,"Q2",'3 Hazed Questions'!$C$2:$C$23,J227)+SUMIFS('3 Hazed Questions'!$M$2:$M$23,'3 Hazed Questions'!$A$2:$A$23,"Q3",'3 Hazed Questions'!$C$2:$C$23,K227)+SUMIFS('3 Hazed Questions'!$M$2:$M$23,'3 Hazed Questions'!$A$2:$A$23,"Q4",'3 Hazed Questions'!$C$2:$C$23,L227))</f>
        <v/>
      </c>
      <c r="W227" s="14" t="str">
        <f aca="false">IF(COUNTA(I227:L227)=0,"",SUMIFS('3 Hazed Questions'!$N$2:$N$23,'3 Hazed Questions'!$A$2:$A$23,"Q1",'3 Hazed Questions'!$C$2:$C$23,I227)+SUMIFS('3 Hazed Questions'!$N$2:$N$23,'3 Hazed Questions'!$A$2:$A$23,"Q2",'3 Hazed Questions'!$C$2:$C$23,J227)+SUMIFS('3 Hazed Questions'!$N$2:$N$23,'3 Hazed Questions'!$A$2:$A$23,"Q3",'3 Hazed Questions'!$C$2:$C$23,K227)+SUMIFS('3 Hazed Questions'!$N$2:$N$23,'3 Hazed Questions'!$A$2:$A$23,"Q4",'3 Hazed Questions'!$C$2:$C$23,L227))</f>
        <v/>
      </c>
      <c r="X227" s="14" t="str">
        <f aca="false">IF(COUNTA(I227:L227)=0,"",INDEX(Fields!$B$2:$B$50,MATCH(SUBSTITUTE(INDEX($N$1:$W$1,MATCH(MAX($N227:$W227),$N227:$W227,0)),"Score: ",""),Fields!$A$2:$A$50,0)))</f>
        <v/>
      </c>
      <c r="Y227" s="14" t="str">
        <f aca="true">IF(COUNTA(I227:L227)=0,"",IF(LARGE($N227:$W227,2)=0,"-",INDEX(Fields!$B$2:$B$50,MATCH(SUBSTITUTE(INDEX($N$1:$W$1,IF(LARGE($N227:$W227,2)=MAX($N227:$W227),MATCH(MAX($N227:$W227),OFFSET($N227:$W227,0,MATCH(MAX($N227:$W227),$N227:$W227,0),1,10-MATCH(MAX($N227:$W227),$N227:$W227,0)),0)+MATCH(MAX($N227:$W227),$N227:$W227,0),MATCH(LARGE($N227:$W227,2),$N227:$W227,0))),"Score: ",""),Fields!$A$2:$A$50,0))))</f>
        <v/>
      </c>
      <c r="Z227" s="14" t="str">
        <f aca="false">IF(M227="","",IFERROR(INDEX('3 Hazed Questions'!$O$2:$O$23,MATCH(1,INDEX(('3 Hazed Questions'!$A$2:$A$23="Q5")*('3 Hazed Questions'!$C$2:$C$23=M227),0),0))&amp;"",""))</f>
        <v/>
      </c>
      <c r="AA227" s="18"/>
      <c r="AB227" s="18"/>
      <c r="AC227" s="19"/>
      <c r="AD227" s="19"/>
      <c r="AE227" s="18"/>
      <c r="AF227" s="18"/>
      <c r="AG227" s="18"/>
    </row>
    <row r="228" customFormat="false" ht="15" hidden="false" customHeight="false" outlineLevel="0" collapsed="false">
      <c r="A228" s="18"/>
      <c r="B228" s="19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4" t="str">
        <f aca="false">IF(COUNTA(I228:L228)=0,"",SUMIFS('3 Hazed Questions'!$E$2:$E$23,'3 Hazed Questions'!$A$2:$A$23,"Q1",'3 Hazed Questions'!$C$2:$C$23,I228)+SUMIFS('3 Hazed Questions'!$E$2:$E$23,'3 Hazed Questions'!$A$2:$A$23,"Q2",'3 Hazed Questions'!$C$2:$C$23,J228)+SUMIFS('3 Hazed Questions'!$E$2:$E$23,'3 Hazed Questions'!$A$2:$A$23,"Q3",'3 Hazed Questions'!$C$2:$C$23,K228)+SUMIFS('3 Hazed Questions'!$E$2:$E$23,'3 Hazed Questions'!$A$2:$A$23,"Q4",'3 Hazed Questions'!$C$2:$C$23,L228))</f>
        <v/>
      </c>
      <c r="O228" s="14" t="str">
        <f aca="false">IF(COUNTA(I228:L228)=0,"",SUMIFS('3 Hazed Questions'!$F$2:$F$23,'3 Hazed Questions'!$A$2:$A$23,"Q1",'3 Hazed Questions'!$C$2:$C$23,I228)+SUMIFS('3 Hazed Questions'!$F$2:$F$23,'3 Hazed Questions'!$A$2:$A$23,"Q2",'3 Hazed Questions'!$C$2:$C$23,J228)+SUMIFS('3 Hazed Questions'!$F$2:$F$23,'3 Hazed Questions'!$A$2:$A$23,"Q3",'3 Hazed Questions'!$C$2:$C$23,K228)+SUMIFS('3 Hazed Questions'!$F$2:$F$23,'3 Hazed Questions'!$A$2:$A$23,"Q4",'3 Hazed Questions'!$C$2:$C$23,L228))</f>
        <v/>
      </c>
      <c r="P228" s="14" t="str">
        <f aca="false">IF(COUNTA(I228:L228)=0,"",SUMIFS('3 Hazed Questions'!$G$2:$G$23,'3 Hazed Questions'!$A$2:$A$23,"Q1",'3 Hazed Questions'!$C$2:$C$23,I228)+SUMIFS('3 Hazed Questions'!$G$2:$G$23,'3 Hazed Questions'!$A$2:$A$23,"Q2",'3 Hazed Questions'!$C$2:$C$23,J228)+SUMIFS('3 Hazed Questions'!$G$2:$G$23,'3 Hazed Questions'!$A$2:$A$23,"Q3",'3 Hazed Questions'!$C$2:$C$23,K228)+SUMIFS('3 Hazed Questions'!$G$2:$G$23,'3 Hazed Questions'!$A$2:$A$23,"Q4",'3 Hazed Questions'!$C$2:$C$23,L228))</f>
        <v/>
      </c>
      <c r="Q228" s="14" t="str">
        <f aca="false">IF(COUNTA(I228:L228)=0,"",SUMIFS('3 Hazed Questions'!$H$2:$H$23,'3 Hazed Questions'!$A$2:$A$23,"Q1",'3 Hazed Questions'!$C$2:$C$23,I228)+SUMIFS('3 Hazed Questions'!$H$2:$H$23,'3 Hazed Questions'!$A$2:$A$23,"Q2",'3 Hazed Questions'!$C$2:$C$23,J228)+SUMIFS('3 Hazed Questions'!$H$2:$H$23,'3 Hazed Questions'!$A$2:$A$23,"Q3",'3 Hazed Questions'!$C$2:$C$23,K228)+SUMIFS('3 Hazed Questions'!$H$2:$H$23,'3 Hazed Questions'!$A$2:$A$23,"Q4",'3 Hazed Questions'!$C$2:$C$23,L228))</f>
        <v/>
      </c>
      <c r="R228" s="14" t="str">
        <f aca="false">IF(COUNTA(I228:L228)=0,"",SUMIFS('3 Hazed Questions'!$I$2:$I$23,'3 Hazed Questions'!$A$2:$A$23,"Q1",'3 Hazed Questions'!$C$2:$C$23,I228)+SUMIFS('3 Hazed Questions'!$I$2:$I$23,'3 Hazed Questions'!$A$2:$A$23,"Q2",'3 Hazed Questions'!$C$2:$C$23,J228)+SUMIFS('3 Hazed Questions'!$I$2:$I$23,'3 Hazed Questions'!$A$2:$A$23,"Q3",'3 Hazed Questions'!$C$2:$C$23,K228)+SUMIFS('3 Hazed Questions'!$I$2:$I$23,'3 Hazed Questions'!$A$2:$A$23,"Q4",'3 Hazed Questions'!$C$2:$C$23,L228))</f>
        <v/>
      </c>
      <c r="S228" s="14" t="str">
        <f aca="false">IF(COUNTA(I228:L228)=0,"",SUMIFS('3 Hazed Questions'!$J$2:$J$23,'3 Hazed Questions'!$A$2:$A$23,"Q1",'3 Hazed Questions'!$C$2:$C$23,I228)+SUMIFS('3 Hazed Questions'!$J$2:$J$23,'3 Hazed Questions'!$A$2:$A$23,"Q2",'3 Hazed Questions'!$C$2:$C$23,J228)+SUMIFS('3 Hazed Questions'!$J$2:$J$23,'3 Hazed Questions'!$A$2:$A$23,"Q3",'3 Hazed Questions'!$C$2:$C$23,K228)+SUMIFS('3 Hazed Questions'!$J$2:$J$23,'3 Hazed Questions'!$A$2:$A$23,"Q4",'3 Hazed Questions'!$C$2:$C$23,L228))</f>
        <v/>
      </c>
      <c r="T228" s="14" t="str">
        <f aca="false">IF(COUNTA(I228:L228)=0,"",SUMIFS('3 Hazed Questions'!$K$2:$K$23,'3 Hazed Questions'!$A$2:$A$23,"Q1",'3 Hazed Questions'!$C$2:$C$23,I228)+SUMIFS('3 Hazed Questions'!$K$2:$K$23,'3 Hazed Questions'!$A$2:$A$23,"Q2",'3 Hazed Questions'!$C$2:$C$23,J228)+SUMIFS('3 Hazed Questions'!$K$2:$K$23,'3 Hazed Questions'!$A$2:$A$23,"Q3",'3 Hazed Questions'!$C$2:$C$23,K228)+SUMIFS('3 Hazed Questions'!$K$2:$K$23,'3 Hazed Questions'!$A$2:$A$23,"Q4",'3 Hazed Questions'!$C$2:$C$23,L228))</f>
        <v/>
      </c>
      <c r="U228" s="14" t="str">
        <f aca="false">IF(COUNTA(I228:L228)=0,"",SUMIFS('3 Hazed Questions'!$L$2:$L$23,'3 Hazed Questions'!$A$2:$A$23,"Q1",'3 Hazed Questions'!$C$2:$C$23,I228)+SUMIFS('3 Hazed Questions'!$L$2:$L$23,'3 Hazed Questions'!$A$2:$A$23,"Q2",'3 Hazed Questions'!$C$2:$C$23,J228)+SUMIFS('3 Hazed Questions'!$L$2:$L$23,'3 Hazed Questions'!$A$2:$A$23,"Q3",'3 Hazed Questions'!$C$2:$C$23,K228)+SUMIFS('3 Hazed Questions'!$L$2:$L$23,'3 Hazed Questions'!$A$2:$A$23,"Q4",'3 Hazed Questions'!$C$2:$C$23,L228))</f>
        <v/>
      </c>
      <c r="V228" s="14" t="str">
        <f aca="false">IF(COUNTA(I228:L228)=0,"",SUMIFS('3 Hazed Questions'!$M$2:$M$23,'3 Hazed Questions'!$A$2:$A$23,"Q1",'3 Hazed Questions'!$C$2:$C$23,I228)+SUMIFS('3 Hazed Questions'!$M$2:$M$23,'3 Hazed Questions'!$A$2:$A$23,"Q2",'3 Hazed Questions'!$C$2:$C$23,J228)+SUMIFS('3 Hazed Questions'!$M$2:$M$23,'3 Hazed Questions'!$A$2:$A$23,"Q3",'3 Hazed Questions'!$C$2:$C$23,K228)+SUMIFS('3 Hazed Questions'!$M$2:$M$23,'3 Hazed Questions'!$A$2:$A$23,"Q4",'3 Hazed Questions'!$C$2:$C$23,L228))</f>
        <v/>
      </c>
      <c r="W228" s="14" t="str">
        <f aca="false">IF(COUNTA(I228:L228)=0,"",SUMIFS('3 Hazed Questions'!$N$2:$N$23,'3 Hazed Questions'!$A$2:$A$23,"Q1",'3 Hazed Questions'!$C$2:$C$23,I228)+SUMIFS('3 Hazed Questions'!$N$2:$N$23,'3 Hazed Questions'!$A$2:$A$23,"Q2",'3 Hazed Questions'!$C$2:$C$23,J228)+SUMIFS('3 Hazed Questions'!$N$2:$N$23,'3 Hazed Questions'!$A$2:$A$23,"Q3",'3 Hazed Questions'!$C$2:$C$23,K228)+SUMIFS('3 Hazed Questions'!$N$2:$N$23,'3 Hazed Questions'!$A$2:$A$23,"Q4",'3 Hazed Questions'!$C$2:$C$23,L228))</f>
        <v/>
      </c>
      <c r="X228" s="14" t="str">
        <f aca="false">IF(COUNTA(I228:L228)=0,"",INDEX(Fields!$B$2:$B$50,MATCH(SUBSTITUTE(INDEX($N$1:$W$1,MATCH(MAX($N228:$W228),$N228:$W228,0)),"Score: ",""),Fields!$A$2:$A$50,0)))</f>
        <v/>
      </c>
      <c r="Y228" s="14" t="str">
        <f aca="true">IF(COUNTA(I228:L228)=0,"",IF(LARGE($N228:$W228,2)=0,"-",INDEX(Fields!$B$2:$B$50,MATCH(SUBSTITUTE(INDEX($N$1:$W$1,IF(LARGE($N228:$W228,2)=MAX($N228:$W228),MATCH(MAX($N228:$W228),OFFSET($N228:$W228,0,MATCH(MAX($N228:$W228),$N228:$W228,0),1,10-MATCH(MAX($N228:$W228),$N228:$W228,0)),0)+MATCH(MAX($N228:$W228),$N228:$W228,0),MATCH(LARGE($N228:$W228,2),$N228:$W228,0))),"Score: ",""),Fields!$A$2:$A$50,0))))</f>
        <v/>
      </c>
      <c r="Z228" s="14" t="str">
        <f aca="false">IF(M228="","",IFERROR(INDEX('3 Hazed Questions'!$O$2:$O$23,MATCH(1,INDEX(('3 Hazed Questions'!$A$2:$A$23="Q5")*('3 Hazed Questions'!$C$2:$C$23=M228),0),0))&amp;"",""))</f>
        <v/>
      </c>
      <c r="AA228" s="18"/>
      <c r="AB228" s="18"/>
      <c r="AC228" s="19"/>
      <c r="AD228" s="19"/>
      <c r="AE228" s="18"/>
      <c r="AF228" s="18"/>
      <c r="AG228" s="18"/>
    </row>
    <row r="229" customFormat="false" ht="15" hidden="false" customHeight="false" outlineLevel="0" collapsed="false">
      <c r="A229" s="18"/>
      <c r="B229" s="19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4" t="str">
        <f aca="false">IF(COUNTA(I229:L229)=0,"",SUMIFS('3 Hazed Questions'!$E$2:$E$23,'3 Hazed Questions'!$A$2:$A$23,"Q1",'3 Hazed Questions'!$C$2:$C$23,I229)+SUMIFS('3 Hazed Questions'!$E$2:$E$23,'3 Hazed Questions'!$A$2:$A$23,"Q2",'3 Hazed Questions'!$C$2:$C$23,J229)+SUMIFS('3 Hazed Questions'!$E$2:$E$23,'3 Hazed Questions'!$A$2:$A$23,"Q3",'3 Hazed Questions'!$C$2:$C$23,K229)+SUMIFS('3 Hazed Questions'!$E$2:$E$23,'3 Hazed Questions'!$A$2:$A$23,"Q4",'3 Hazed Questions'!$C$2:$C$23,L229))</f>
        <v/>
      </c>
      <c r="O229" s="14" t="str">
        <f aca="false">IF(COUNTA(I229:L229)=0,"",SUMIFS('3 Hazed Questions'!$F$2:$F$23,'3 Hazed Questions'!$A$2:$A$23,"Q1",'3 Hazed Questions'!$C$2:$C$23,I229)+SUMIFS('3 Hazed Questions'!$F$2:$F$23,'3 Hazed Questions'!$A$2:$A$23,"Q2",'3 Hazed Questions'!$C$2:$C$23,J229)+SUMIFS('3 Hazed Questions'!$F$2:$F$23,'3 Hazed Questions'!$A$2:$A$23,"Q3",'3 Hazed Questions'!$C$2:$C$23,K229)+SUMIFS('3 Hazed Questions'!$F$2:$F$23,'3 Hazed Questions'!$A$2:$A$23,"Q4",'3 Hazed Questions'!$C$2:$C$23,L229))</f>
        <v/>
      </c>
      <c r="P229" s="14" t="str">
        <f aca="false">IF(COUNTA(I229:L229)=0,"",SUMIFS('3 Hazed Questions'!$G$2:$G$23,'3 Hazed Questions'!$A$2:$A$23,"Q1",'3 Hazed Questions'!$C$2:$C$23,I229)+SUMIFS('3 Hazed Questions'!$G$2:$G$23,'3 Hazed Questions'!$A$2:$A$23,"Q2",'3 Hazed Questions'!$C$2:$C$23,J229)+SUMIFS('3 Hazed Questions'!$G$2:$G$23,'3 Hazed Questions'!$A$2:$A$23,"Q3",'3 Hazed Questions'!$C$2:$C$23,K229)+SUMIFS('3 Hazed Questions'!$G$2:$G$23,'3 Hazed Questions'!$A$2:$A$23,"Q4",'3 Hazed Questions'!$C$2:$C$23,L229))</f>
        <v/>
      </c>
      <c r="Q229" s="14" t="str">
        <f aca="false">IF(COUNTA(I229:L229)=0,"",SUMIFS('3 Hazed Questions'!$H$2:$H$23,'3 Hazed Questions'!$A$2:$A$23,"Q1",'3 Hazed Questions'!$C$2:$C$23,I229)+SUMIFS('3 Hazed Questions'!$H$2:$H$23,'3 Hazed Questions'!$A$2:$A$23,"Q2",'3 Hazed Questions'!$C$2:$C$23,J229)+SUMIFS('3 Hazed Questions'!$H$2:$H$23,'3 Hazed Questions'!$A$2:$A$23,"Q3",'3 Hazed Questions'!$C$2:$C$23,K229)+SUMIFS('3 Hazed Questions'!$H$2:$H$23,'3 Hazed Questions'!$A$2:$A$23,"Q4",'3 Hazed Questions'!$C$2:$C$23,L229))</f>
        <v/>
      </c>
      <c r="R229" s="14" t="str">
        <f aca="false">IF(COUNTA(I229:L229)=0,"",SUMIFS('3 Hazed Questions'!$I$2:$I$23,'3 Hazed Questions'!$A$2:$A$23,"Q1",'3 Hazed Questions'!$C$2:$C$23,I229)+SUMIFS('3 Hazed Questions'!$I$2:$I$23,'3 Hazed Questions'!$A$2:$A$23,"Q2",'3 Hazed Questions'!$C$2:$C$23,J229)+SUMIFS('3 Hazed Questions'!$I$2:$I$23,'3 Hazed Questions'!$A$2:$A$23,"Q3",'3 Hazed Questions'!$C$2:$C$23,K229)+SUMIFS('3 Hazed Questions'!$I$2:$I$23,'3 Hazed Questions'!$A$2:$A$23,"Q4",'3 Hazed Questions'!$C$2:$C$23,L229))</f>
        <v/>
      </c>
      <c r="S229" s="14" t="str">
        <f aca="false">IF(COUNTA(I229:L229)=0,"",SUMIFS('3 Hazed Questions'!$J$2:$J$23,'3 Hazed Questions'!$A$2:$A$23,"Q1",'3 Hazed Questions'!$C$2:$C$23,I229)+SUMIFS('3 Hazed Questions'!$J$2:$J$23,'3 Hazed Questions'!$A$2:$A$23,"Q2",'3 Hazed Questions'!$C$2:$C$23,J229)+SUMIFS('3 Hazed Questions'!$J$2:$J$23,'3 Hazed Questions'!$A$2:$A$23,"Q3",'3 Hazed Questions'!$C$2:$C$23,K229)+SUMIFS('3 Hazed Questions'!$J$2:$J$23,'3 Hazed Questions'!$A$2:$A$23,"Q4",'3 Hazed Questions'!$C$2:$C$23,L229))</f>
        <v/>
      </c>
      <c r="T229" s="14" t="str">
        <f aca="false">IF(COUNTA(I229:L229)=0,"",SUMIFS('3 Hazed Questions'!$K$2:$K$23,'3 Hazed Questions'!$A$2:$A$23,"Q1",'3 Hazed Questions'!$C$2:$C$23,I229)+SUMIFS('3 Hazed Questions'!$K$2:$K$23,'3 Hazed Questions'!$A$2:$A$23,"Q2",'3 Hazed Questions'!$C$2:$C$23,J229)+SUMIFS('3 Hazed Questions'!$K$2:$K$23,'3 Hazed Questions'!$A$2:$A$23,"Q3",'3 Hazed Questions'!$C$2:$C$23,K229)+SUMIFS('3 Hazed Questions'!$K$2:$K$23,'3 Hazed Questions'!$A$2:$A$23,"Q4",'3 Hazed Questions'!$C$2:$C$23,L229))</f>
        <v/>
      </c>
      <c r="U229" s="14" t="str">
        <f aca="false">IF(COUNTA(I229:L229)=0,"",SUMIFS('3 Hazed Questions'!$L$2:$L$23,'3 Hazed Questions'!$A$2:$A$23,"Q1",'3 Hazed Questions'!$C$2:$C$23,I229)+SUMIFS('3 Hazed Questions'!$L$2:$L$23,'3 Hazed Questions'!$A$2:$A$23,"Q2",'3 Hazed Questions'!$C$2:$C$23,J229)+SUMIFS('3 Hazed Questions'!$L$2:$L$23,'3 Hazed Questions'!$A$2:$A$23,"Q3",'3 Hazed Questions'!$C$2:$C$23,K229)+SUMIFS('3 Hazed Questions'!$L$2:$L$23,'3 Hazed Questions'!$A$2:$A$23,"Q4",'3 Hazed Questions'!$C$2:$C$23,L229))</f>
        <v/>
      </c>
      <c r="V229" s="14" t="str">
        <f aca="false">IF(COUNTA(I229:L229)=0,"",SUMIFS('3 Hazed Questions'!$M$2:$M$23,'3 Hazed Questions'!$A$2:$A$23,"Q1",'3 Hazed Questions'!$C$2:$C$23,I229)+SUMIFS('3 Hazed Questions'!$M$2:$M$23,'3 Hazed Questions'!$A$2:$A$23,"Q2",'3 Hazed Questions'!$C$2:$C$23,J229)+SUMIFS('3 Hazed Questions'!$M$2:$M$23,'3 Hazed Questions'!$A$2:$A$23,"Q3",'3 Hazed Questions'!$C$2:$C$23,K229)+SUMIFS('3 Hazed Questions'!$M$2:$M$23,'3 Hazed Questions'!$A$2:$A$23,"Q4",'3 Hazed Questions'!$C$2:$C$23,L229))</f>
        <v/>
      </c>
      <c r="W229" s="14" t="str">
        <f aca="false">IF(COUNTA(I229:L229)=0,"",SUMIFS('3 Hazed Questions'!$N$2:$N$23,'3 Hazed Questions'!$A$2:$A$23,"Q1",'3 Hazed Questions'!$C$2:$C$23,I229)+SUMIFS('3 Hazed Questions'!$N$2:$N$23,'3 Hazed Questions'!$A$2:$A$23,"Q2",'3 Hazed Questions'!$C$2:$C$23,J229)+SUMIFS('3 Hazed Questions'!$N$2:$N$23,'3 Hazed Questions'!$A$2:$A$23,"Q3",'3 Hazed Questions'!$C$2:$C$23,K229)+SUMIFS('3 Hazed Questions'!$N$2:$N$23,'3 Hazed Questions'!$A$2:$A$23,"Q4",'3 Hazed Questions'!$C$2:$C$23,L229))</f>
        <v/>
      </c>
      <c r="X229" s="14" t="str">
        <f aca="false">IF(COUNTA(I229:L229)=0,"",INDEX(Fields!$B$2:$B$50,MATCH(SUBSTITUTE(INDEX($N$1:$W$1,MATCH(MAX($N229:$W229),$N229:$W229,0)),"Score: ",""),Fields!$A$2:$A$50,0)))</f>
        <v/>
      </c>
      <c r="Y229" s="14" t="str">
        <f aca="true">IF(COUNTA(I229:L229)=0,"",IF(LARGE($N229:$W229,2)=0,"-",INDEX(Fields!$B$2:$B$50,MATCH(SUBSTITUTE(INDEX($N$1:$W$1,IF(LARGE($N229:$W229,2)=MAX($N229:$W229),MATCH(MAX($N229:$W229),OFFSET($N229:$W229,0,MATCH(MAX($N229:$W229),$N229:$W229,0),1,10-MATCH(MAX($N229:$W229),$N229:$W229,0)),0)+MATCH(MAX($N229:$W229),$N229:$W229,0),MATCH(LARGE($N229:$W229,2),$N229:$W229,0))),"Score: ",""),Fields!$A$2:$A$50,0))))</f>
        <v/>
      </c>
      <c r="Z229" s="14" t="str">
        <f aca="false">IF(M229="","",IFERROR(INDEX('3 Hazed Questions'!$O$2:$O$23,MATCH(1,INDEX(('3 Hazed Questions'!$A$2:$A$23="Q5")*('3 Hazed Questions'!$C$2:$C$23=M229),0),0))&amp;"",""))</f>
        <v/>
      </c>
      <c r="AA229" s="18"/>
      <c r="AB229" s="18"/>
      <c r="AC229" s="19"/>
      <c r="AD229" s="19"/>
      <c r="AE229" s="18"/>
      <c r="AF229" s="18"/>
      <c r="AG229" s="18"/>
    </row>
    <row r="230" customFormat="false" ht="15" hidden="false" customHeight="false" outlineLevel="0" collapsed="false">
      <c r="A230" s="18"/>
      <c r="B230" s="19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4" t="str">
        <f aca="false">IF(COUNTA(I230:L230)=0,"",SUMIFS('3 Hazed Questions'!$E$2:$E$23,'3 Hazed Questions'!$A$2:$A$23,"Q1",'3 Hazed Questions'!$C$2:$C$23,I230)+SUMIFS('3 Hazed Questions'!$E$2:$E$23,'3 Hazed Questions'!$A$2:$A$23,"Q2",'3 Hazed Questions'!$C$2:$C$23,J230)+SUMIFS('3 Hazed Questions'!$E$2:$E$23,'3 Hazed Questions'!$A$2:$A$23,"Q3",'3 Hazed Questions'!$C$2:$C$23,K230)+SUMIFS('3 Hazed Questions'!$E$2:$E$23,'3 Hazed Questions'!$A$2:$A$23,"Q4",'3 Hazed Questions'!$C$2:$C$23,L230))</f>
        <v/>
      </c>
      <c r="O230" s="14" t="str">
        <f aca="false">IF(COUNTA(I230:L230)=0,"",SUMIFS('3 Hazed Questions'!$F$2:$F$23,'3 Hazed Questions'!$A$2:$A$23,"Q1",'3 Hazed Questions'!$C$2:$C$23,I230)+SUMIFS('3 Hazed Questions'!$F$2:$F$23,'3 Hazed Questions'!$A$2:$A$23,"Q2",'3 Hazed Questions'!$C$2:$C$23,J230)+SUMIFS('3 Hazed Questions'!$F$2:$F$23,'3 Hazed Questions'!$A$2:$A$23,"Q3",'3 Hazed Questions'!$C$2:$C$23,K230)+SUMIFS('3 Hazed Questions'!$F$2:$F$23,'3 Hazed Questions'!$A$2:$A$23,"Q4",'3 Hazed Questions'!$C$2:$C$23,L230))</f>
        <v/>
      </c>
      <c r="P230" s="14" t="str">
        <f aca="false">IF(COUNTA(I230:L230)=0,"",SUMIFS('3 Hazed Questions'!$G$2:$G$23,'3 Hazed Questions'!$A$2:$A$23,"Q1",'3 Hazed Questions'!$C$2:$C$23,I230)+SUMIFS('3 Hazed Questions'!$G$2:$G$23,'3 Hazed Questions'!$A$2:$A$23,"Q2",'3 Hazed Questions'!$C$2:$C$23,J230)+SUMIFS('3 Hazed Questions'!$G$2:$G$23,'3 Hazed Questions'!$A$2:$A$23,"Q3",'3 Hazed Questions'!$C$2:$C$23,K230)+SUMIFS('3 Hazed Questions'!$G$2:$G$23,'3 Hazed Questions'!$A$2:$A$23,"Q4",'3 Hazed Questions'!$C$2:$C$23,L230))</f>
        <v/>
      </c>
      <c r="Q230" s="14" t="str">
        <f aca="false">IF(COUNTA(I230:L230)=0,"",SUMIFS('3 Hazed Questions'!$H$2:$H$23,'3 Hazed Questions'!$A$2:$A$23,"Q1",'3 Hazed Questions'!$C$2:$C$23,I230)+SUMIFS('3 Hazed Questions'!$H$2:$H$23,'3 Hazed Questions'!$A$2:$A$23,"Q2",'3 Hazed Questions'!$C$2:$C$23,J230)+SUMIFS('3 Hazed Questions'!$H$2:$H$23,'3 Hazed Questions'!$A$2:$A$23,"Q3",'3 Hazed Questions'!$C$2:$C$23,K230)+SUMIFS('3 Hazed Questions'!$H$2:$H$23,'3 Hazed Questions'!$A$2:$A$23,"Q4",'3 Hazed Questions'!$C$2:$C$23,L230))</f>
        <v/>
      </c>
      <c r="R230" s="14" t="str">
        <f aca="false">IF(COUNTA(I230:L230)=0,"",SUMIFS('3 Hazed Questions'!$I$2:$I$23,'3 Hazed Questions'!$A$2:$A$23,"Q1",'3 Hazed Questions'!$C$2:$C$23,I230)+SUMIFS('3 Hazed Questions'!$I$2:$I$23,'3 Hazed Questions'!$A$2:$A$23,"Q2",'3 Hazed Questions'!$C$2:$C$23,J230)+SUMIFS('3 Hazed Questions'!$I$2:$I$23,'3 Hazed Questions'!$A$2:$A$23,"Q3",'3 Hazed Questions'!$C$2:$C$23,K230)+SUMIFS('3 Hazed Questions'!$I$2:$I$23,'3 Hazed Questions'!$A$2:$A$23,"Q4",'3 Hazed Questions'!$C$2:$C$23,L230))</f>
        <v/>
      </c>
      <c r="S230" s="14" t="str">
        <f aca="false">IF(COUNTA(I230:L230)=0,"",SUMIFS('3 Hazed Questions'!$J$2:$J$23,'3 Hazed Questions'!$A$2:$A$23,"Q1",'3 Hazed Questions'!$C$2:$C$23,I230)+SUMIFS('3 Hazed Questions'!$J$2:$J$23,'3 Hazed Questions'!$A$2:$A$23,"Q2",'3 Hazed Questions'!$C$2:$C$23,J230)+SUMIFS('3 Hazed Questions'!$J$2:$J$23,'3 Hazed Questions'!$A$2:$A$23,"Q3",'3 Hazed Questions'!$C$2:$C$23,K230)+SUMIFS('3 Hazed Questions'!$J$2:$J$23,'3 Hazed Questions'!$A$2:$A$23,"Q4",'3 Hazed Questions'!$C$2:$C$23,L230))</f>
        <v/>
      </c>
      <c r="T230" s="14" t="str">
        <f aca="false">IF(COUNTA(I230:L230)=0,"",SUMIFS('3 Hazed Questions'!$K$2:$K$23,'3 Hazed Questions'!$A$2:$A$23,"Q1",'3 Hazed Questions'!$C$2:$C$23,I230)+SUMIFS('3 Hazed Questions'!$K$2:$K$23,'3 Hazed Questions'!$A$2:$A$23,"Q2",'3 Hazed Questions'!$C$2:$C$23,J230)+SUMIFS('3 Hazed Questions'!$K$2:$K$23,'3 Hazed Questions'!$A$2:$A$23,"Q3",'3 Hazed Questions'!$C$2:$C$23,K230)+SUMIFS('3 Hazed Questions'!$K$2:$K$23,'3 Hazed Questions'!$A$2:$A$23,"Q4",'3 Hazed Questions'!$C$2:$C$23,L230))</f>
        <v/>
      </c>
      <c r="U230" s="14" t="str">
        <f aca="false">IF(COUNTA(I230:L230)=0,"",SUMIFS('3 Hazed Questions'!$L$2:$L$23,'3 Hazed Questions'!$A$2:$A$23,"Q1",'3 Hazed Questions'!$C$2:$C$23,I230)+SUMIFS('3 Hazed Questions'!$L$2:$L$23,'3 Hazed Questions'!$A$2:$A$23,"Q2",'3 Hazed Questions'!$C$2:$C$23,J230)+SUMIFS('3 Hazed Questions'!$L$2:$L$23,'3 Hazed Questions'!$A$2:$A$23,"Q3",'3 Hazed Questions'!$C$2:$C$23,K230)+SUMIFS('3 Hazed Questions'!$L$2:$L$23,'3 Hazed Questions'!$A$2:$A$23,"Q4",'3 Hazed Questions'!$C$2:$C$23,L230))</f>
        <v/>
      </c>
      <c r="V230" s="14" t="str">
        <f aca="false">IF(COUNTA(I230:L230)=0,"",SUMIFS('3 Hazed Questions'!$M$2:$M$23,'3 Hazed Questions'!$A$2:$A$23,"Q1",'3 Hazed Questions'!$C$2:$C$23,I230)+SUMIFS('3 Hazed Questions'!$M$2:$M$23,'3 Hazed Questions'!$A$2:$A$23,"Q2",'3 Hazed Questions'!$C$2:$C$23,J230)+SUMIFS('3 Hazed Questions'!$M$2:$M$23,'3 Hazed Questions'!$A$2:$A$23,"Q3",'3 Hazed Questions'!$C$2:$C$23,K230)+SUMIFS('3 Hazed Questions'!$M$2:$M$23,'3 Hazed Questions'!$A$2:$A$23,"Q4",'3 Hazed Questions'!$C$2:$C$23,L230))</f>
        <v/>
      </c>
      <c r="W230" s="14" t="str">
        <f aca="false">IF(COUNTA(I230:L230)=0,"",SUMIFS('3 Hazed Questions'!$N$2:$N$23,'3 Hazed Questions'!$A$2:$A$23,"Q1",'3 Hazed Questions'!$C$2:$C$23,I230)+SUMIFS('3 Hazed Questions'!$N$2:$N$23,'3 Hazed Questions'!$A$2:$A$23,"Q2",'3 Hazed Questions'!$C$2:$C$23,J230)+SUMIFS('3 Hazed Questions'!$N$2:$N$23,'3 Hazed Questions'!$A$2:$A$23,"Q3",'3 Hazed Questions'!$C$2:$C$23,K230)+SUMIFS('3 Hazed Questions'!$N$2:$N$23,'3 Hazed Questions'!$A$2:$A$23,"Q4",'3 Hazed Questions'!$C$2:$C$23,L230))</f>
        <v/>
      </c>
      <c r="X230" s="14" t="str">
        <f aca="false">IF(COUNTA(I230:L230)=0,"",INDEX(Fields!$B$2:$B$50,MATCH(SUBSTITUTE(INDEX($N$1:$W$1,MATCH(MAX($N230:$W230),$N230:$W230,0)),"Score: ",""),Fields!$A$2:$A$50,0)))</f>
        <v/>
      </c>
      <c r="Y230" s="14" t="str">
        <f aca="true">IF(COUNTA(I230:L230)=0,"",IF(LARGE($N230:$W230,2)=0,"-",INDEX(Fields!$B$2:$B$50,MATCH(SUBSTITUTE(INDEX($N$1:$W$1,IF(LARGE($N230:$W230,2)=MAX($N230:$W230),MATCH(MAX($N230:$W230),OFFSET($N230:$W230,0,MATCH(MAX($N230:$W230),$N230:$W230,0),1,10-MATCH(MAX($N230:$W230),$N230:$W230,0)),0)+MATCH(MAX($N230:$W230),$N230:$W230,0),MATCH(LARGE($N230:$W230,2),$N230:$W230,0))),"Score: ",""),Fields!$A$2:$A$50,0))))</f>
        <v/>
      </c>
      <c r="Z230" s="14" t="str">
        <f aca="false">IF(M230="","",IFERROR(INDEX('3 Hazed Questions'!$O$2:$O$23,MATCH(1,INDEX(('3 Hazed Questions'!$A$2:$A$23="Q5")*('3 Hazed Questions'!$C$2:$C$23=M230),0),0))&amp;"",""))</f>
        <v/>
      </c>
      <c r="AA230" s="18"/>
      <c r="AB230" s="18"/>
      <c r="AC230" s="19"/>
      <c r="AD230" s="19"/>
      <c r="AE230" s="18"/>
      <c r="AF230" s="18"/>
      <c r="AG230" s="18"/>
    </row>
    <row r="231" customFormat="false" ht="15" hidden="false" customHeight="false" outlineLevel="0" collapsed="false">
      <c r="A231" s="18"/>
      <c r="B231" s="19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4" t="str">
        <f aca="false">IF(COUNTA(I231:L231)=0,"",SUMIFS('3 Hazed Questions'!$E$2:$E$23,'3 Hazed Questions'!$A$2:$A$23,"Q1",'3 Hazed Questions'!$C$2:$C$23,I231)+SUMIFS('3 Hazed Questions'!$E$2:$E$23,'3 Hazed Questions'!$A$2:$A$23,"Q2",'3 Hazed Questions'!$C$2:$C$23,J231)+SUMIFS('3 Hazed Questions'!$E$2:$E$23,'3 Hazed Questions'!$A$2:$A$23,"Q3",'3 Hazed Questions'!$C$2:$C$23,K231)+SUMIFS('3 Hazed Questions'!$E$2:$E$23,'3 Hazed Questions'!$A$2:$A$23,"Q4",'3 Hazed Questions'!$C$2:$C$23,L231))</f>
        <v/>
      </c>
      <c r="O231" s="14" t="str">
        <f aca="false">IF(COUNTA(I231:L231)=0,"",SUMIFS('3 Hazed Questions'!$F$2:$F$23,'3 Hazed Questions'!$A$2:$A$23,"Q1",'3 Hazed Questions'!$C$2:$C$23,I231)+SUMIFS('3 Hazed Questions'!$F$2:$F$23,'3 Hazed Questions'!$A$2:$A$23,"Q2",'3 Hazed Questions'!$C$2:$C$23,J231)+SUMIFS('3 Hazed Questions'!$F$2:$F$23,'3 Hazed Questions'!$A$2:$A$23,"Q3",'3 Hazed Questions'!$C$2:$C$23,K231)+SUMIFS('3 Hazed Questions'!$F$2:$F$23,'3 Hazed Questions'!$A$2:$A$23,"Q4",'3 Hazed Questions'!$C$2:$C$23,L231))</f>
        <v/>
      </c>
      <c r="P231" s="14" t="str">
        <f aca="false">IF(COUNTA(I231:L231)=0,"",SUMIFS('3 Hazed Questions'!$G$2:$G$23,'3 Hazed Questions'!$A$2:$A$23,"Q1",'3 Hazed Questions'!$C$2:$C$23,I231)+SUMIFS('3 Hazed Questions'!$G$2:$G$23,'3 Hazed Questions'!$A$2:$A$23,"Q2",'3 Hazed Questions'!$C$2:$C$23,J231)+SUMIFS('3 Hazed Questions'!$G$2:$G$23,'3 Hazed Questions'!$A$2:$A$23,"Q3",'3 Hazed Questions'!$C$2:$C$23,K231)+SUMIFS('3 Hazed Questions'!$G$2:$G$23,'3 Hazed Questions'!$A$2:$A$23,"Q4",'3 Hazed Questions'!$C$2:$C$23,L231))</f>
        <v/>
      </c>
      <c r="Q231" s="14" t="str">
        <f aca="false">IF(COUNTA(I231:L231)=0,"",SUMIFS('3 Hazed Questions'!$H$2:$H$23,'3 Hazed Questions'!$A$2:$A$23,"Q1",'3 Hazed Questions'!$C$2:$C$23,I231)+SUMIFS('3 Hazed Questions'!$H$2:$H$23,'3 Hazed Questions'!$A$2:$A$23,"Q2",'3 Hazed Questions'!$C$2:$C$23,J231)+SUMIFS('3 Hazed Questions'!$H$2:$H$23,'3 Hazed Questions'!$A$2:$A$23,"Q3",'3 Hazed Questions'!$C$2:$C$23,K231)+SUMIFS('3 Hazed Questions'!$H$2:$H$23,'3 Hazed Questions'!$A$2:$A$23,"Q4",'3 Hazed Questions'!$C$2:$C$23,L231))</f>
        <v/>
      </c>
      <c r="R231" s="14" t="str">
        <f aca="false">IF(COUNTA(I231:L231)=0,"",SUMIFS('3 Hazed Questions'!$I$2:$I$23,'3 Hazed Questions'!$A$2:$A$23,"Q1",'3 Hazed Questions'!$C$2:$C$23,I231)+SUMIFS('3 Hazed Questions'!$I$2:$I$23,'3 Hazed Questions'!$A$2:$A$23,"Q2",'3 Hazed Questions'!$C$2:$C$23,J231)+SUMIFS('3 Hazed Questions'!$I$2:$I$23,'3 Hazed Questions'!$A$2:$A$23,"Q3",'3 Hazed Questions'!$C$2:$C$23,K231)+SUMIFS('3 Hazed Questions'!$I$2:$I$23,'3 Hazed Questions'!$A$2:$A$23,"Q4",'3 Hazed Questions'!$C$2:$C$23,L231))</f>
        <v/>
      </c>
      <c r="S231" s="14" t="str">
        <f aca="false">IF(COUNTA(I231:L231)=0,"",SUMIFS('3 Hazed Questions'!$J$2:$J$23,'3 Hazed Questions'!$A$2:$A$23,"Q1",'3 Hazed Questions'!$C$2:$C$23,I231)+SUMIFS('3 Hazed Questions'!$J$2:$J$23,'3 Hazed Questions'!$A$2:$A$23,"Q2",'3 Hazed Questions'!$C$2:$C$23,J231)+SUMIFS('3 Hazed Questions'!$J$2:$J$23,'3 Hazed Questions'!$A$2:$A$23,"Q3",'3 Hazed Questions'!$C$2:$C$23,K231)+SUMIFS('3 Hazed Questions'!$J$2:$J$23,'3 Hazed Questions'!$A$2:$A$23,"Q4",'3 Hazed Questions'!$C$2:$C$23,L231))</f>
        <v/>
      </c>
      <c r="T231" s="14" t="str">
        <f aca="false">IF(COUNTA(I231:L231)=0,"",SUMIFS('3 Hazed Questions'!$K$2:$K$23,'3 Hazed Questions'!$A$2:$A$23,"Q1",'3 Hazed Questions'!$C$2:$C$23,I231)+SUMIFS('3 Hazed Questions'!$K$2:$K$23,'3 Hazed Questions'!$A$2:$A$23,"Q2",'3 Hazed Questions'!$C$2:$C$23,J231)+SUMIFS('3 Hazed Questions'!$K$2:$K$23,'3 Hazed Questions'!$A$2:$A$23,"Q3",'3 Hazed Questions'!$C$2:$C$23,K231)+SUMIFS('3 Hazed Questions'!$K$2:$K$23,'3 Hazed Questions'!$A$2:$A$23,"Q4",'3 Hazed Questions'!$C$2:$C$23,L231))</f>
        <v/>
      </c>
      <c r="U231" s="14" t="str">
        <f aca="false">IF(COUNTA(I231:L231)=0,"",SUMIFS('3 Hazed Questions'!$L$2:$L$23,'3 Hazed Questions'!$A$2:$A$23,"Q1",'3 Hazed Questions'!$C$2:$C$23,I231)+SUMIFS('3 Hazed Questions'!$L$2:$L$23,'3 Hazed Questions'!$A$2:$A$23,"Q2",'3 Hazed Questions'!$C$2:$C$23,J231)+SUMIFS('3 Hazed Questions'!$L$2:$L$23,'3 Hazed Questions'!$A$2:$A$23,"Q3",'3 Hazed Questions'!$C$2:$C$23,K231)+SUMIFS('3 Hazed Questions'!$L$2:$L$23,'3 Hazed Questions'!$A$2:$A$23,"Q4",'3 Hazed Questions'!$C$2:$C$23,L231))</f>
        <v/>
      </c>
      <c r="V231" s="14" t="str">
        <f aca="false">IF(COUNTA(I231:L231)=0,"",SUMIFS('3 Hazed Questions'!$M$2:$M$23,'3 Hazed Questions'!$A$2:$A$23,"Q1",'3 Hazed Questions'!$C$2:$C$23,I231)+SUMIFS('3 Hazed Questions'!$M$2:$M$23,'3 Hazed Questions'!$A$2:$A$23,"Q2",'3 Hazed Questions'!$C$2:$C$23,J231)+SUMIFS('3 Hazed Questions'!$M$2:$M$23,'3 Hazed Questions'!$A$2:$A$23,"Q3",'3 Hazed Questions'!$C$2:$C$23,K231)+SUMIFS('3 Hazed Questions'!$M$2:$M$23,'3 Hazed Questions'!$A$2:$A$23,"Q4",'3 Hazed Questions'!$C$2:$C$23,L231))</f>
        <v/>
      </c>
      <c r="W231" s="14" t="str">
        <f aca="false">IF(COUNTA(I231:L231)=0,"",SUMIFS('3 Hazed Questions'!$N$2:$N$23,'3 Hazed Questions'!$A$2:$A$23,"Q1",'3 Hazed Questions'!$C$2:$C$23,I231)+SUMIFS('3 Hazed Questions'!$N$2:$N$23,'3 Hazed Questions'!$A$2:$A$23,"Q2",'3 Hazed Questions'!$C$2:$C$23,J231)+SUMIFS('3 Hazed Questions'!$N$2:$N$23,'3 Hazed Questions'!$A$2:$A$23,"Q3",'3 Hazed Questions'!$C$2:$C$23,K231)+SUMIFS('3 Hazed Questions'!$N$2:$N$23,'3 Hazed Questions'!$A$2:$A$23,"Q4",'3 Hazed Questions'!$C$2:$C$23,L231))</f>
        <v/>
      </c>
      <c r="X231" s="14" t="str">
        <f aca="false">IF(COUNTA(I231:L231)=0,"",INDEX(Fields!$B$2:$B$50,MATCH(SUBSTITUTE(INDEX($N$1:$W$1,MATCH(MAX($N231:$W231),$N231:$W231,0)),"Score: ",""),Fields!$A$2:$A$50,0)))</f>
        <v/>
      </c>
      <c r="Y231" s="14" t="str">
        <f aca="true">IF(COUNTA(I231:L231)=0,"",IF(LARGE($N231:$W231,2)=0,"-",INDEX(Fields!$B$2:$B$50,MATCH(SUBSTITUTE(INDEX($N$1:$W$1,IF(LARGE($N231:$W231,2)=MAX($N231:$W231),MATCH(MAX($N231:$W231),OFFSET($N231:$W231,0,MATCH(MAX($N231:$W231),$N231:$W231,0),1,10-MATCH(MAX($N231:$W231),$N231:$W231,0)),0)+MATCH(MAX($N231:$W231),$N231:$W231,0),MATCH(LARGE($N231:$W231,2),$N231:$W231,0))),"Score: ",""),Fields!$A$2:$A$50,0))))</f>
        <v/>
      </c>
      <c r="Z231" s="14" t="str">
        <f aca="false">IF(M231="","",IFERROR(INDEX('3 Hazed Questions'!$O$2:$O$23,MATCH(1,INDEX(('3 Hazed Questions'!$A$2:$A$23="Q5")*('3 Hazed Questions'!$C$2:$C$23=M231),0),0))&amp;"",""))</f>
        <v/>
      </c>
      <c r="AA231" s="18"/>
      <c r="AB231" s="18"/>
      <c r="AC231" s="19"/>
      <c r="AD231" s="19"/>
      <c r="AE231" s="18"/>
      <c r="AF231" s="18"/>
      <c r="AG231" s="18"/>
    </row>
    <row r="232" customFormat="false" ht="15" hidden="false" customHeight="false" outlineLevel="0" collapsed="false">
      <c r="A232" s="18"/>
      <c r="B232" s="19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4" t="str">
        <f aca="false">IF(COUNTA(I232:L232)=0,"",SUMIFS('3 Hazed Questions'!$E$2:$E$23,'3 Hazed Questions'!$A$2:$A$23,"Q1",'3 Hazed Questions'!$C$2:$C$23,I232)+SUMIFS('3 Hazed Questions'!$E$2:$E$23,'3 Hazed Questions'!$A$2:$A$23,"Q2",'3 Hazed Questions'!$C$2:$C$23,J232)+SUMIFS('3 Hazed Questions'!$E$2:$E$23,'3 Hazed Questions'!$A$2:$A$23,"Q3",'3 Hazed Questions'!$C$2:$C$23,K232)+SUMIFS('3 Hazed Questions'!$E$2:$E$23,'3 Hazed Questions'!$A$2:$A$23,"Q4",'3 Hazed Questions'!$C$2:$C$23,L232))</f>
        <v/>
      </c>
      <c r="O232" s="14" t="str">
        <f aca="false">IF(COUNTA(I232:L232)=0,"",SUMIFS('3 Hazed Questions'!$F$2:$F$23,'3 Hazed Questions'!$A$2:$A$23,"Q1",'3 Hazed Questions'!$C$2:$C$23,I232)+SUMIFS('3 Hazed Questions'!$F$2:$F$23,'3 Hazed Questions'!$A$2:$A$23,"Q2",'3 Hazed Questions'!$C$2:$C$23,J232)+SUMIFS('3 Hazed Questions'!$F$2:$F$23,'3 Hazed Questions'!$A$2:$A$23,"Q3",'3 Hazed Questions'!$C$2:$C$23,K232)+SUMIFS('3 Hazed Questions'!$F$2:$F$23,'3 Hazed Questions'!$A$2:$A$23,"Q4",'3 Hazed Questions'!$C$2:$C$23,L232))</f>
        <v/>
      </c>
      <c r="P232" s="14" t="str">
        <f aca="false">IF(COUNTA(I232:L232)=0,"",SUMIFS('3 Hazed Questions'!$G$2:$G$23,'3 Hazed Questions'!$A$2:$A$23,"Q1",'3 Hazed Questions'!$C$2:$C$23,I232)+SUMIFS('3 Hazed Questions'!$G$2:$G$23,'3 Hazed Questions'!$A$2:$A$23,"Q2",'3 Hazed Questions'!$C$2:$C$23,J232)+SUMIFS('3 Hazed Questions'!$G$2:$G$23,'3 Hazed Questions'!$A$2:$A$23,"Q3",'3 Hazed Questions'!$C$2:$C$23,K232)+SUMIFS('3 Hazed Questions'!$G$2:$G$23,'3 Hazed Questions'!$A$2:$A$23,"Q4",'3 Hazed Questions'!$C$2:$C$23,L232))</f>
        <v/>
      </c>
      <c r="Q232" s="14" t="str">
        <f aca="false">IF(COUNTA(I232:L232)=0,"",SUMIFS('3 Hazed Questions'!$H$2:$H$23,'3 Hazed Questions'!$A$2:$A$23,"Q1",'3 Hazed Questions'!$C$2:$C$23,I232)+SUMIFS('3 Hazed Questions'!$H$2:$H$23,'3 Hazed Questions'!$A$2:$A$23,"Q2",'3 Hazed Questions'!$C$2:$C$23,J232)+SUMIFS('3 Hazed Questions'!$H$2:$H$23,'3 Hazed Questions'!$A$2:$A$23,"Q3",'3 Hazed Questions'!$C$2:$C$23,K232)+SUMIFS('3 Hazed Questions'!$H$2:$H$23,'3 Hazed Questions'!$A$2:$A$23,"Q4",'3 Hazed Questions'!$C$2:$C$23,L232))</f>
        <v/>
      </c>
      <c r="R232" s="14" t="str">
        <f aca="false">IF(COUNTA(I232:L232)=0,"",SUMIFS('3 Hazed Questions'!$I$2:$I$23,'3 Hazed Questions'!$A$2:$A$23,"Q1",'3 Hazed Questions'!$C$2:$C$23,I232)+SUMIFS('3 Hazed Questions'!$I$2:$I$23,'3 Hazed Questions'!$A$2:$A$23,"Q2",'3 Hazed Questions'!$C$2:$C$23,J232)+SUMIFS('3 Hazed Questions'!$I$2:$I$23,'3 Hazed Questions'!$A$2:$A$23,"Q3",'3 Hazed Questions'!$C$2:$C$23,K232)+SUMIFS('3 Hazed Questions'!$I$2:$I$23,'3 Hazed Questions'!$A$2:$A$23,"Q4",'3 Hazed Questions'!$C$2:$C$23,L232))</f>
        <v/>
      </c>
      <c r="S232" s="14" t="str">
        <f aca="false">IF(COUNTA(I232:L232)=0,"",SUMIFS('3 Hazed Questions'!$J$2:$J$23,'3 Hazed Questions'!$A$2:$A$23,"Q1",'3 Hazed Questions'!$C$2:$C$23,I232)+SUMIFS('3 Hazed Questions'!$J$2:$J$23,'3 Hazed Questions'!$A$2:$A$23,"Q2",'3 Hazed Questions'!$C$2:$C$23,J232)+SUMIFS('3 Hazed Questions'!$J$2:$J$23,'3 Hazed Questions'!$A$2:$A$23,"Q3",'3 Hazed Questions'!$C$2:$C$23,K232)+SUMIFS('3 Hazed Questions'!$J$2:$J$23,'3 Hazed Questions'!$A$2:$A$23,"Q4",'3 Hazed Questions'!$C$2:$C$23,L232))</f>
        <v/>
      </c>
      <c r="T232" s="14" t="str">
        <f aca="false">IF(COUNTA(I232:L232)=0,"",SUMIFS('3 Hazed Questions'!$K$2:$K$23,'3 Hazed Questions'!$A$2:$A$23,"Q1",'3 Hazed Questions'!$C$2:$C$23,I232)+SUMIFS('3 Hazed Questions'!$K$2:$K$23,'3 Hazed Questions'!$A$2:$A$23,"Q2",'3 Hazed Questions'!$C$2:$C$23,J232)+SUMIFS('3 Hazed Questions'!$K$2:$K$23,'3 Hazed Questions'!$A$2:$A$23,"Q3",'3 Hazed Questions'!$C$2:$C$23,K232)+SUMIFS('3 Hazed Questions'!$K$2:$K$23,'3 Hazed Questions'!$A$2:$A$23,"Q4",'3 Hazed Questions'!$C$2:$C$23,L232))</f>
        <v/>
      </c>
      <c r="U232" s="14" t="str">
        <f aca="false">IF(COUNTA(I232:L232)=0,"",SUMIFS('3 Hazed Questions'!$L$2:$L$23,'3 Hazed Questions'!$A$2:$A$23,"Q1",'3 Hazed Questions'!$C$2:$C$23,I232)+SUMIFS('3 Hazed Questions'!$L$2:$L$23,'3 Hazed Questions'!$A$2:$A$23,"Q2",'3 Hazed Questions'!$C$2:$C$23,J232)+SUMIFS('3 Hazed Questions'!$L$2:$L$23,'3 Hazed Questions'!$A$2:$A$23,"Q3",'3 Hazed Questions'!$C$2:$C$23,K232)+SUMIFS('3 Hazed Questions'!$L$2:$L$23,'3 Hazed Questions'!$A$2:$A$23,"Q4",'3 Hazed Questions'!$C$2:$C$23,L232))</f>
        <v/>
      </c>
      <c r="V232" s="14" t="str">
        <f aca="false">IF(COUNTA(I232:L232)=0,"",SUMIFS('3 Hazed Questions'!$M$2:$M$23,'3 Hazed Questions'!$A$2:$A$23,"Q1",'3 Hazed Questions'!$C$2:$C$23,I232)+SUMIFS('3 Hazed Questions'!$M$2:$M$23,'3 Hazed Questions'!$A$2:$A$23,"Q2",'3 Hazed Questions'!$C$2:$C$23,J232)+SUMIFS('3 Hazed Questions'!$M$2:$M$23,'3 Hazed Questions'!$A$2:$A$23,"Q3",'3 Hazed Questions'!$C$2:$C$23,K232)+SUMIFS('3 Hazed Questions'!$M$2:$M$23,'3 Hazed Questions'!$A$2:$A$23,"Q4",'3 Hazed Questions'!$C$2:$C$23,L232))</f>
        <v/>
      </c>
      <c r="W232" s="14" t="str">
        <f aca="false">IF(COUNTA(I232:L232)=0,"",SUMIFS('3 Hazed Questions'!$N$2:$N$23,'3 Hazed Questions'!$A$2:$A$23,"Q1",'3 Hazed Questions'!$C$2:$C$23,I232)+SUMIFS('3 Hazed Questions'!$N$2:$N$23,'3 Hazed Questions'!$A$2:$A$23,"Q2",'3 Hazed Questions'!$C$2:$C$23,J232)+SUMIFS('3 Hazed Questions'!$N$2:$N$23,'3 Hazed Questions'!$A$2:$A$23,"Q3",'3 Hazed Questions'!$C$2:$C$23,K232)+SUMIFS('3 Hazed Questions'!$N$2:$N$23,'3 Hazed Questions'!$A$2:$A$23,"Q4",'3 Hazed Questions'!$C$2:$C$23,L232))</f>
        <v/>
      </c>
      <c r="X232" s="14" t="str">
        <f aca="false">IF(COUNTA(I232:L232)=0,"",INDEX(Fields!$B$2:$B$50,MATCH(SUBSTITUTE(INDEX($N$1:$W$1,MATCH(MAX($N232:$W232),$N232:$W232,0)),"Score: ",""),Fields!$A$2:$A$50,0)))</f>
        <v/>
      </c>
      <c r="Y232" s="14" t="str">
        <f aca="true">IF(COUNTA(I232:L232)=0,"",IF(LARGE($N232:$W232,2)=0,"-",INDEX(Fields!$B$2:$B$50,MATCH(SUBSTITUTE(INDEX($N$1:$W$1,IF(LARGE($N232:$W232,2)=MAX($N232:$W232),MATCH(MAX($N232:$W232),OFFSET($N232:$W232,0,MATCH(MAX($N232:$W232),$N232:$W232,0),1,10-MATCH(MAX($N232:$W232),$N232:$W232,0)),0)+MATCH(MAX($N232:$W232),$N232:$W232,0),MATCH(LARGE($N232:$W232,2),$N232:$W232,0))),"Score: ",""),Fields!$A$2:$A$50,0))))</f>
        <v/>
      </c>
      <c r="Z232" s="14" t="str">
        <f aca="false">IF(M232="","",IFERROR(INDEX('3 Hazed Questions'!$O$2:$O$23,MATCH(1,INDEX(('3 Hazed Questions'!$A$2:$A$23="Q5")*('3 Hazed Questions'!$C$2:$C$23=M232),0),0))&amp;"",""))</f>
        <v/>
      </c>
      <c r="AA232" s="18"/>
      <c r="AB232" s="18"/>
      <c r="AC232" s="19"/>
      <c r="AD232" s="19"/>
      <c r="AE232" s="18"/>
      <c r="AF232" s="18"/>
      <c r="AG232" s="18"/>
    </row>
    <row r="233" customFormat="false" ht="15" hidden="false" customHeight="false" outlineLevel="0" collapsed="false">
      <c r="A233" s="18"/>
      <c r="B233" s="19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4" t="str">
        <f aca="false">IF(COUNTA(I233:L233)=0,"",SUMIFS('3 Hazed Questions'!$E$2:$E$23,'3 Hazed Questions'!$A$2:$A$23,"Q1",'3 Hazed Questions'!$C$2:$C$23,I233)+SUMIFS('3 Hazed Questions'!$E$2:$E$23,'3 Hazed Questions'!$A$2:$A$23,"Q2",'3 Hazed Questions'!$C$2:$C$23,J233)+SUMIFS('3 Hazed Questions'!$E$2:$E$23,'3 Hazed Questions'!$A$2:$A$23,"Q3",'3 Hazed Questions'!$C$2:$C$23,K233)+SUMIFS('3 Hazed Questions'!$E$2:$E$23,'3 Hazed Questions'!$A$2:$A$23,"Q4",'3 Hazed Questions'!$C$2:$C$23,L233))</f>
        <v/>
      </c>
      <c r="O233" s="14" t="str">
        <f aca="false">IF(COUNTA(I233:L233)=0,"",SUMIFS('3 Hazed Questions'!$F$2:$F$23,'3 Hazed Questions'!$A$2:$A$23,"Q1",'3 Hazed Questions'!$C$2:$C$23,I233)+SUMIFS('3 Hazed Questions'!$F$2:$F$23,'3 Hazed Questions'!$A$2:$A$23,"Q2",'3 Hazed Questions'!$C$2:$C$23,J233)+SUMIFS('3 Hazed Questions'!$F$2:$F$23,'3 Hazed Questions'!$A$2:$A$23,"Q3",'3 Hazed Questions'!$C$2:$C$23,K233)+SUMIFS('3 Hazed Questions'!$F$2:$F$23,'3 Hazed Questions'!$A$2:$A$23,"Q4",'3 Hazed Questions'!$C$2:$C$23,L233))</f>
        <v/>
      </c>
      <c r="P233" s="14" t="str">
        <f aca="false">IF(COUNTA(I233:L233)=0,"",SUMIFS('3 Hazed Questions'!$G$2:$G$23,'3 Hazed Questions'!$A$2:$A$23,"Q1",'3 Hazed Questions'!$C$2:$C$23,I233)+SUMIFS('3 Hazed Questions'!$G$2:$G$23,'3 Hazed Questions'!$A$2:$A$23,"Q2",'3 Hazed Questions'!$C$2:$C$23,J233)+SUMIFS('3 Hazed Questions'!$G$2:$G$23,'3 Hazed Questions'!$A$2:$A$23,"Q3",'3 Hazed Questions'!$C$2:$C$23,K233)+SUMIFS('3 Hazed Questions'!$G$2:$G$23,'3 Hazed Questions'!$A$2:$A$23,"Q4",'3 Hazed Questions'!$C$2:$C$23,L233))</f>
        <v/>
      </c>
      <c r="Q233" s="14" t="str">
        <f aca="false">IF(COUNTA(I233:L233)=0,"",SUMIFS('3 Hazed Questions'!$H$2:$H$23,'3 Hazed Questions'!$A$2:$A$23,"Q1",'3 Hazed Questions'!$C$2:$C$23,I233)+SUMIFS('3 Hazed Questions'!$H$2:$H$23,'3 Hazed Questions'!$A$2:$A$23,"Q2",'3 Hazed Questions'!$C$2:$C$23,J233)+SUMIFS('3 Hazed Questions'!$H$2:$H$23,'3 Hazed Questions'!$A$2:$A$23,"Q3",'3 Hazed Questions'!$C$2:$C$23,K233)+SUMIFS('3 Hazed Questions'!$H$2:$H$23,'3 Hazed Questions'!$A$2:$A$23,"Q4",'3 Hazed Questions'!$C$2:$C$23,L233))</f>
        <v/>
      </c>
      <c r="R233" s="14" t="str">
        <f aca="false">IF(COUNTA(I233:L233)=0,"",SUMIFS('3 Hazed Questions'!$I$2:$I$23,'3 Hazed Questions'!$A$2:$A$23,"Q1",'3 Hazed Questions'!$C$2:$C$23,I233)+SUMIFS('3 Hazed Questions'!$I$2:$I$23,'3 Hazed Questions'!$A$2:$A$23,"Q2",'3 Hazed Questions'!$C$2:$C$23,J233)+SUMIFS('3 Hazed Questions'!$I$2:$I$23,'3 Hazed Questions'!$A$2:$A$23,"Q3",'3 Hazed Questions'!$C$2:$C$23,K233)+SUMIFS('3 Hazed Questions'!$I$2:$I$23,'3 Hazed Questions'!$A$2:$A$23,"Q4",'3 Hazed Questions'!$C$2:$C$23,L233))</f>
        <v/>
      </c>
      <c r="S233" s="14" t="str">
        <f aca="false">IF(COUNTA(I233:L233)=0,"",SUMIFS('3 Hazed Questions'!$J$2:$J$23,'3 Hazed Questions'!$A$2:$A$23,"Q1",'3 Hazed Questions'!$C$2:$C$23,I233)+SUMIFS('3 Hazed Questions'!$J$2:$J$23,'3 Hazed Questions'!$A$2:$A$23,"Q2",'3 Hazed Questions'!$C$2:$C$23,J233)+SUMIFS('3 Hazed Questions'!$J$2:$J$23,'3 Hazed Questions'!$A$2:$A$23,"Q3",'3 Hazed Questions'!$C$2:$C$23,K233)+SUMIFS('3 Hazed Questions'!$J$2:$J$23,'3 Hazed Questions'!$A$2:$A$23,"Q4",'3 Hazed Questions'!$C$2:$C$23,L233))</f>
        <v/>
      </c>
      <c r="T233" s="14" t="str">
        <f aca="false">IF(COUNTA(I233:L233)=0,"",SUMIFS('3 Hazed Questions'!$K$2:$K$23,'3 Hazed Questions'!$A$2:$A$23,"Q1",'3 Hazed Questions'!$C$2:$C$23,I233)+SUMIFS('3 Hazed Questions'!$K$2:$K$23,'3 Hazed Questions'!$A$2:$A$23,"Q2",'3 Hazed Questions'!$C$2:$C$23,J233)+SUMIFS('3 Hazed Questions'!$K$2:$K$23,'3 Hazed Questions'!$A$2:$A$23,"Q3",'3 Hazed Questions'!$C$2:$C$23,K233)+SUMIFS('3 Hazed Questions'!$K$2:$K$23,'3 Hazed Questions'!$A$2:$A$23,"Q4",'3 Hazed Questions'!$C$2:$C$23,L233))</f>
        <v/>
      </c>
      <c r="U233" s="14" t="str">
        <f aca="false">IF(COUNTA(I233:L233)=0,"",SUMIFS('3 Hazed Questions'!$L$2:$L$23,'3 Hazed Questions'!$A$2:$A$23,"Q1",'3 Hazed Questions'!$C$2:$C$23,I233)+SUMIFS('3 Hazed Questions'!$L$2:$L$23,'3 Hazed Questions'!$A$2:$A$23,"Q2",'3 Hazed Questions'!$C$2:$C$23,J233)+SUMIFS('3 Hazed Questions'!$L$2:$L$23,'3 Hazed Questions'!$A$2:$A$23,"Q3",'3 Hazed Questions'!$C$2:$C$23,K233)+SUMIFS('3 Hazed Questions'!$L$2:$L$23,'3 Hazed Questions'!$A$2:$A$23,"Q4",'3 Hazed Questions'!$C$2:$C$23,L233))</f>
        <v/>
      </c>
      <c r="V233" s="14" t="str">
        <f aca="false">IF(COUNTA(I233:L233)=0,"",SUMIFS('3 Hazed Questions'!$M$2:$M$23,'3 Hazed Questions'!$A$2:$A$23,"Q1",'3 Hazed Questions'!$C$2:$C$23,I233)+SUMIFS('3 Hazed Questions'!$M$2:$M$23,'3 Hazed Questions'!$A$2:$A$23,"Q2",'3 Hazed Questions'!$C$2:$C$23,J233)+SUMIFS('3 Hazed Questions'!$M$2:$M$23,'3 Hazed Questions'!$A$2:$A$23,"Q3",'3 Hazed Questions'!$C$2:$C$23,K233)+SUMIFS('3 Hazed Questions'!$M$2:$M$23,'3 Hazed Questions'!$A$2:$A$23,"Q4",'3 Hazed Questions'!$C$2:$C$23,L233))</f>
        <v/>
      </c>
      <c r="W233" s="14" t="str">
        <f aca="false">IF(COUNTA(I233:L233)=0,"",SUMIFS('3 Hazed Questions'!$N$2:$N$23,'3 Hazed Questions'!$A$2:$A$23,"Q1",'3 Hazed Questions'!$C$2:$C$23,I233)+SUMIFS('3 Hazed Questions'!$N$2:$N$23,'3 Hazed Questions'!$A$2:$A$23,"Q2",'3 Hazed Questions'!$C$2:$C$23,J233)+SUMIFS('3 Hazed Questions'!$N$2:$N$23,'3 Hazed Questions'!$A$2:$A$23,"Q3",'3 Hazed Questions'!$C$2:$C$23,K233)+SUMIFS('3 Hazed Questions'!$N$2:$N$23,'3 Hazed Questions'!$A$2:$A$23,"Q4",'3 Hazed Questions'!$C$2:$C$23,L233))</f>
        <v/>
      </c>
      <c r="X233" s="14" t="str">
        <f aca="false">IF(COUNTA(I233:L233)=0,"",INDEX(Fields!$B$2:$B$50,MATCH(SUBSTITUTE(INDEX($N$1:$W$1,MATCH(MAX($N233:$W233),$N233:$W233,0)),"Score: ",""),Fields!$A$2:$A$50,0)))</f>
        <v/>
      </c>
      <c r="Y233" s="14" t="str">
        <f aca="true">IF(COUNTA(I233:L233)=0,"",IF(LARGE($N233:$W233,2)=0,"-",INDEX(Fields!$B$2:$B$50,MATCH(SUBSTITUTE(INDEX($N$1:$W$1,IF(LARGE($N233:$W233,2)=MAX($N233:$W233),MATCH(MAX($N233:$W233),OFFSET($N233:$W233,0,MATCH(MAX($N233:$W233),$N233:$W233,0),1,10-MATCH(MAX($N233:$W233),$N233:$W233,0)),0)+MATCH(MAX($N233:$W233),$N233:$W233,0),MATCH(LARGE($N233:$W233,2),$N233:$W233,0))),"Score: ",""),Fields!$A$2:$A$50,0))))</f>
        <v/>
      </c>
      <c r="Z233" s="14" t="str">
        <f aca="false">IF(M233="","",IFERROR(INDEX('3 Hazed Questions'!$O$2:$O$23,MATCH(1,INDEX(('3 Hazed Questions'!$A$2:$A$23="Q5")*('3 Hazed Questions'!$C$2:$C$23=M233),0),0))&amp;"",""))</f>
        <v/>
      </c>
      <c r="AA233" s="18"/>
      <c r="AB233" s="18"/>
      <c r="AC233" s="19"/>
      <c r="AD233" s="19"/>
      <c r="AE233" s="18"/>
      <c r="AF233" s="18"/>
      <c r="AG233" s="18"/>
    </row>
    <row r="234" customFormat="false" ht="15" hidden="false" customHeight="false" outlineLevel="0" collapsed="false">
      <c r="A234" s="18"/>
      <c r="B234" s="19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4" t="str">
        <f aca="false">IF(COUNTA(I234:L234)=0,"",SUMIFS('3 Hazed Questions'!$E$2:$E$23,'3 Hazed Questions'!$A$2:$A$23,"Q1",'3 Hazed Questions'!$C$2:$C$23,I234)+SUMIFS('3 Hazed Questions'!$E$2:$E$23,'3 Hazed Questions'!$A$2:$A$23,"Q2",'3 Hazed Questions'!$C$2:$C$23,J234)+SUMIFS('3 Hazed Questions'!$E$2:$E$23,'3 Hazed Questions'!$A$2:$A$23,"Q3",'3 Hazed Questions'!$C$2:$C$23,K234)+SUMIFS('3 Hazed Questions'!$E$2:$E$23,'3 Hazed Questions'!$A$2:$A$23,"Q4",'3 Hazed Questions'!$C$2:$C$23,L234))</f>
        <v/>
      </c>
      <c r="O234" s="14" t="str">
        <f aca="false">IF(COUNTA(I234:L234)=0,"",SUMIFS('3 Hazed Questions'!$F$2:$F$23,'3 Hazed Questions'!$A$2:$A$23,"Q1",'3 Hazed Questions'!$C$2:$C$23,I234)+SUMIFS('3 Hazed Questions'!$F$2:$F$23,'3 Hazed Questions'!$A$2:$A$23,"Q2",'3 Hazed Questions'!$C$2:$C$23,J234)+SUMIFS('3 Hazed Questions'!$F$2:$F$23,'3 Hazed Questions'!$A$2:$A$23,"Q3",'3 Hazed Questions'!$C$2:$C$23,K234)+SUMIFS('3 Hazed Questions'!$F$2:$F$23,'3 Hazed Questions'!$A$2:$A$23,"Q4",'3 Hazed Questions'!$C$2:$C$23,L234))</f>
        <v/>
      </c>
      <c r="P234" s="14" t="str">
        <f aca="false">IF(COUNTA(I234:L234)=0,"",SUMIFS('3 Hazed Questions'!$G$2:$G$23,'3 Hazed Questions'!$A$2:$A$23,"Q1",'3 Hazed Questions'!$C$2:$C$23,I234)+SUMIFS('3 Hazed Questions'!$G$2:$G$23,'3 Hazed Questions'!$A$2:$A$23,"Q2",'3 Hazed Questions'!$C$2:$C$23,J234)+SUMIFS('3 Hazed Questions'!$G$2:$G$23,'3 Hazed Questions'!$A$2:$A$23,"Q3",'3 Hazed Questions'!$C$2:$C$23,K234)+SUMIFS('3 Hazed Questions'!$G$2:$G$23,'3 Hazed Questions'!$A$2:$A$23,"Q4",'3 Hazed Questions'!$C$2:$C$23,L234))</f>
        <v/>
      </c>
      <c r="Q234" s="14" t="str">
        <f aca="false">IF(COUNTA(I234:L234)=0,"",SUMIFS('3 Hazed Questions'!$H$2:$H$23,'3 Hazed Questions'!$A$2:$A$23,"Q1",'3 Hazed Questions'!$C$2:$C$23,I234)+SUMIFS('3 Hazed Questions'!$H$2:$H$23,'3 Hazed Questions'!$A$2:$A$23,"Q2",'3 Hazed Questions'!$C$2:$C$23,J234)+SUMIFS('3 Hazed Questions'!$H$2:$H$23,'3 Hazed Questions'!$A$2:$A$23,"Q3",'3 Hazed Questions'!$C$2:$C$23,K234)+SUMIFS('3 Hazed Questions'!$H$2:$H$23,'3 Hazed Questions'!$A$2:$A$23,"Q4",'3 Hazed Questions'!$C$2:$C$23,L234))</f>
        <v/>
      </c>
      <c r="R234" s="14" t="str">
        <f aca="false">IF(COUNTA(I234:L234)=0,"",SUMIFS('3 Hazed Questions'!$I$2:$I$23,'3 Hazed Questions'!$A$2:$A$23,"Q1",'3 Hazed Questions'!$C$2:$C$23,I234)+SUMIFS('3 Hazed Questions'!$I$2:$I$23,'3 Hazed Questions'!$A$2:$A$23,"Q2",'3 Hazed Questions'!$C$2:$C$23,J234)+SUMIFS('3 Hazed Questions'!$I$2:$I$23,'3 Hazed Questions'!$A$2:$A$23,"Q3",'3 Hazed Questions'!$C$2:$C$23,K234)+SUMIFS('3 Hazed Questions'!$I$2:$I$23,'3 Hazed Questions'!$A$2:$A$23,"Q4",'3 Hazed Questions'!$C$2:$C$23,L234))</f>
        <v/>
      </c>
      <c r="S234" s="14" t="str">
        <f aca="false">IF(COUNTA(I234:L234)=0,"",SUMIFS('3 Hazed Questions'!$J$2:$J$23,'3 Hazed Questions'!$A$2:$A$23,"Q1",'3 Hazed Questions'!$C$2:$C$23,I234)+SUMIFS('3 Hazed Questions'!$J$2:$J$23,'3 Hazed Questions'!$A$2:$A$23,"Q2",'3 Hazed Questions'!$C$2:$C$23,J234)+SUMIFS('3 Hazed Questions'!$J$2:$J$23,'3 Hazed Questions'!$A$2:$A$23,"Q3",'3 Hazed Questions'!$C$2:$C$23,K234)+SUMIFS('3 Hazed Questions'!$J$2:$J$23,'3 Hazed Questions'!$A$2:$A$23,"Q4",'3 Hazed Questions'!$C$2:$C$23,L234))</f>
        <v/>
      </c>
      <c r="T234" s="14" t="str">
        <f aca="false">IF(COUNTA(I234:L234)=0,"",SUMIFS('3 Hazed Questions'!$K$2:$K$23,'3 Hazed Questions'!$A$2:$A$23,"Q1",'3 Hazed Questions'!$C$2:$C$23,I234)+SUMIFS('3 Hazed Questions'!$K$2:$K$23,'3 Hazed Questions'!$A$2:$A$23,"Q2",'3 Hazed Questions'!$C$2:$C$23,J234)+SUMIFS('3 Hazed Questions'!$K$2:$K$23,'3 Hazed Questions'!$A$2:$A$23,"Q3",'3 Hazed Questions'!$C$2:$C$23,K234)+SUMIFS('3 Hazed Questions'!$K$2:$K$23,'3 Hazed Questions'!$A$2:$A$23,"Q4",'3 Hazed Questions'!$C$2:$C$23,L234))</f>
        <v/>
      </c>
      <c r="U234" s="14" t="str">
        <f aca="false">IF(COUNTA(I234:L234)=0,"",SUMIFS('3 Hazed Questions'!$L$2:$L$23,'3 Hazed Questions'!$A$2:$A$23,"Q1",'3 Hazed Questions'!$C$2:$C$23,I234)+SUMIFS('3 Hazed Questions'!$L$2:$L$23,'3 Hazed Questions'!$A$2:$A$23,"Q2",'3 Hazed Questions'!$C$2:$C$23,J234)+SUMIFS('3 Hazed Questions'!$L$2:$L$23,'3 Hazed Questions'!$A$2:$A$23,"Q3",'3 Hazed Questions'!$C$2:$C$23,K234)+SUMIFS('3 Hazed Questions'!$L$2:$L$23,'3 Hazed Questions'!$A$2:$A$23,"Q4",'3 Hazed Questions'!$C$2:$C$23,L234))</f>
        <v/>
      </c>
      <c r="V234" s="14" t="str">
        <f aca="false">IF(COUNTA(I234:L234)=0,"",SUMIFS('3 Hazed Questions'!$M$2:$M$23,'3 Hazed Questions'!$A$2:$A$23,"Q1",'3 Hazed Questions'!$C$2:$C$23,I234)+SUMIFS('3 Hazed Questions'!$M$2:$M$23,'3 Hazed Questions'!$A$2:$A$23,"Q2",'3 Hazed Questions'!$C$2:$C$23,J234)+SUMIFS('3 Hazed Questions'!$M$2:$M$23,'3 Hazed Questions'!$A$2:$A$23,"Q3",'3 Hazed Questions'!$C$2:$C$23,K234)+SUMIFS('3 Hazed Questions'!$M$2:$M$23,'3 Hazed Questions'!$A$2:$A$23,"Q4",'3 Hazed Questions'!$C$2:$C$23,L234))</f>
        <v/>
      </c>
      <c r="W234" s="14" t="str">
        <f aca="false">IF(COUNTA(I234:L234)=0,"",SUMIFS('3 Hazed Questions'!$N$2:$N$23,'3 Hazed Questions'!$A$2:$A$23,"Q1",'3 Hazed Questions'!$C$2:$C$23,I234)+SUMIFS('3 Hazed Questions'!$N$2:$N$23,'3 Hazed Questions'!$A$2:$A$23,"Q2",'3 Hazed Questions'!$C$2:$C$23,J234)+SUMIFS('3 Hazed Questions'!$N$2:$N$23,'3 Hazed Questions'!$A$2:$A$23,"Q3",'3 Hazed Questions'!$C$2:$C$23,K234)+SUMIFS('3 Hazed Questions'!$N$2:$N$23,'3 Hazed Questions'!$A$2:$A$23,"Q4",'3 Hazed Questions'!$C$2:$C$23,L234))</f>
        <v/>
      </c>
      <c r="X234" s="14" t="str">
        <f aca="false">IF(COUNTA(I234:L234)=0,"",INDEX(Fields!$B$2:$B$50,MATCH(SUBSTITUTE(INDEX($N$1:$W$1,MATCH(MAX($N234:$W234),$N234:$W234,0)),"Score: ",""),Fields!$A$2:$A$50,0)))</f>
        <v/>
      </c>
      <c r="Y234" s="14" t="str">
        <f aca="true">IF(COUNTA(I234:L234)=0,"",IF(LARGE($N234:$W234,2)=0,"-",INDEX(Fields!$B$2:$B$50,MATCH(SUBSTITUTE(INDEX($N$1:$W$1,IF(LARGE($N234:$W234,2)=MAX($N234:$W234),MATCH(MAX($N234:$W234),OFFSET($N234:$W234,0,MATCH(MAX($N234:$W234),$N234:$W234,0),1,10-MATCH(MAX($N234:$W234),$N234:$W234,0)),0)+MATCH(MAX($N234:$W234),$N234:$W234,0),MATCH(LARGE($N234:$W234,2),$N234:$W234,0))),"Score: ",""),Fields!$A$2:$A$50,0))))</f>
        <v/>
      </c>
      <c r="Z234" s="14" t="str">
        <f aca="false">IF(M234="","",IFERROR(INDEX('3 Hazed Questions'!$O$2:$O$23,MATCH(1,INDEX(('3 Hazed Questions'!$A$2:$A$23="Q5")*('3 Hazed Questions'!$C$2:$C$23=M234),0),0))&amp;"",""))</f>
        <v/>
      </c>
      <c r="AA234" s="18"/>
      <c r="AB234" s="18"/>
      <c r="AC234" s="19"/>
      <c r="AD234" s="19"/>
      <c r="AE234" s="18"/>
      <c r="AF234" s="18"/>
      <c r="AG234" s="18"/>
    </row>
    <row r="235" customFormat="false" ht="15" hidden="false" customHeight="false" outlineLevel="0" collapsed="false">
      <c r="A235" s="18"/>
      <c r="B235" s="19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4" t="str">
        <f aca="false">IF(COUNTA(I235:L235)=0,"",SUMIFS('3 Hazed Questions'!$E$2:$E$23,'3 Hazed Questions'!$A$2:$A$23,"Q1",'3 Hazed Questions'!$C$2:$C$23,I235)+SUMIFS('3 Hazed Questions'!$E$2:$E$23,'3 Hazed Questions'!$A$2:$A$23,"Q2",'3 Hazed Questions'!$C$2:$C$23,J235)+SUMIFS('3 Hazed Questions'!$E$2:$E$23,'3 Hazed Questions'!$A$2:$A$23,"Q3",'3 Hazed Questions'!$C$2:$C$23,K235)+SUMIFS('3 Hazed Questions'!$E$2:$E$23,'3 Hazed Questions'!$A$2:$A$23,"Q4",'3 Hazed Questions'!$C$2:$C$23,L235))</f>
        <v/>
      </c>
      <c r="O235" s="14" t="str">
        <f aca="false">IF(COUNTA(I235:L235)=0,"",SUMIFS('3 Hazed Questions'!$F$2:$F$23,'3 Hazed Questions'!$A$2:$A$23,"Q1",'3 Hazed Questions'!$C$2:$C$23,I235)+SUMIFS('3 Hazed Questions'!$F$2:$F$23,'3 Hazed Questions'!$A$2:$A$23,"Q2",'3 Hazed Questions'!$C$2:$C$23,J235)+SUMIFS('3 Hazed Questions'!$F$2:$F$23,'3 Hazed Questions'!$A$2:$A$23,"Q3",'3 Hazed Questions'!$C$2:$C$23,K235)+SUMIFS('3 Hazed Questions'!$F$2:$F$23,'3 Hazed Questions'!$A$2:$A$23,"Q4",'3 Hazed Questions'!$C$2:$C$23,L235))</f>
        <v/>
      </c>
      <c r="P235" s="14" t="str">
        <f aca="false">IF(COUNTA(I235:L235)=0,"",SUMIFS('3 Hazed Questions'!$G$2:$G$23,'3 Hazed Questions'!$A$2:$A$23,"Q1",'3 Hazed Questions'!$C$2:$C$23,I235)+SUMIFS('3 Hazed Questions'!$G$2:$G$23,'3 Hazed Questions'!$A$2:$A$23,"Q2",'3 Hazed Questions'!$C$2:$C$23,J235)+SUMIFS('3 Hazed Questions'!$G$2:$G$23,'3 Hazed Questions'!$A$2:$A$23,"Q3",'3 Hazed Questions'!$C$2:$C$23,K235)+SUMIFS('3 Hazed Questions'!$G$2:$G$23,'3 Hazed Questions'!$A$2:$A$23,"Q4",'3 Hazed Questions'!$C$2:$C$23,L235))</f>
        <v/>
      </c>
      <c r="Q235" s="14" t="str">
        <f aca="false">IF(COUNTA(I235:L235)=0,"",SUMIFS('3 Hazed Questions'!$H$2:$H$23,'3 Hazed Questions'!$A$2:$A$23,"Q1",'3 Hazed Questions'!$C$2:$C$23,I235)+SUMIFS('3 Hazed Questions'!$H$2:$H$23,'3 Hazed Questions'!$A$2:$A$23,"Q2",'3 Hazed Questions'!$C$2:$C$23,J235)+SUMIFS('3 Hazed Questions'!$H$2:$H$23,'3 Hazed Questions'!$A$2:$A$23,"Q3",'3 Hazed Questions'!$C$2:$C$23,K235)+SUMIFS('3 Hazed Questions'!$H$2:$H$23,'3 Hazed Questions'!$A$2:$A$23,"Q4",'3 Hazed Questions'!$C$2:$C$23,L235))</f>
        <v/>
      </c>
      <c r="R235" s="14" t="str">
        <f aca="false">IF(COUNTA(I235:L235)=0,"",SUMIFS('3 Hazed Questions'!$I$2:$I$23,'3 Hazed Questions'!$A$2:$A$23,"Q1",'3 Hazed Questions'!$C$2:$C$23,I235)+SUMIFS('3 Hazed Questions'!$I$2:$I$23,'3 Hazed Questions'!$A$2:$A$23,"Q2",'3 Hazed Questions'!$C$2:$C$23,J235)+SUMIFS('3 Hazed Questions'!$I$2:$I$23,'3 Hazed Questions'!$A$2:$A$23,"Q3",'3 Hazed Questions'!$C$2:$C$23,K235)+SUMIFS('3 Hazed Questions'!$I$2:$I$23,'3 Hazed Questions'!$A$2:$A$23,"Q4",'3 Hazed Questions'!$C$2:$C$23,L235))</f>
        <v/>
      </c>
      <c r="S235" s="14" t="str">
        <f aca="false">IF(COUNTA(I235:L235)=0,"",SUMIFS('3 Hazed Questions'!$J$2:$J$23,'3 Hazed Questions'!$A$2:$A$23,"Q1",'3 Hazed Questions'!$C$2:$C$23,I235)+SUMIFS('3 Hazed Questions'!$J$2:$J$23,'3 Hazed Questions'!$A$2:$A$23,"Q2",'3 Hazed Questions'!$C$2:$C$23,J235)+SUMIFS('3 Hazed Questions'!$J$2:$J$23,'3 Hazed Questions'!$A$2:$A$23,"Q3",'3 Hazed Questions'!$C$2:$C$23,K235)+SUMIFS('3 Hazed Questions'!$J$2:$J$23,'3 Hazed Questions'!$A$2:$A$23,"Q4",'3 Hazed Questions'!$C$2:$C$23,L235))</f>
        <v/>
      </c>
      <c r="T235" s="14" t="str">
        <f aca="false">IF(COUNTA(I235:L235)=0,"",SUMIFS('3 Hazed Questions'!$K$2:$K$23,'3 Hazed Questions'!$A$2:$A$23,"Q1",'3 Hazed Questions'!$C$2:$C$23,I235)+SUMIFS('3 Hazed Questions'!$K$2:$K$23,'3 Hazed Questions'!$A$2:$A$23,"Q2",'3 Hazed Questions'!$C$2:$C$23,J235)+SUMIFS('3 Hazed Questions'!$K$2:$K$23,'3 Hazed Questions'!$A$2:$A$23,"Q3",'3 Hazed Questions'!$C$2:$C$23,K235)+SUMIFS('3 Hazed Questions'!$K$2:$K$23,'3 Hazed Questions'!$A$2:$A$23,"Q4",'3 Hazed Questions'!$C$2:$C$23,L235))</f>
        <v/>
      </c>
      <c r="U235" s="14" t="str">
        <f aca="false">IF(COUNTA(I235:L235)=0,"",SUMIFS('3 Hazed Questions'!$L$2:$L$23,'3 Hazed Questions'!$A$2:$A$23,"Q1",'3 Hazed Questions'!$C$2:$C$23,I235)+SUMIFS('3 Hazed Questions'!$L$2:$L$23,'3 Hazed Questions'!$A$2:$A$23,"Q2",'3 Hazed Questions'!$C$2:$C$23,J235)+SUMIFS('3 Hazed Questions'!$L$2:$L$23,'3 Hazed Questions'!$A$2:$A$23,"Q3",'3 Hazed Questions'!$C$2:$C$23,K235)+SUMIFS('3 Hazed Questions'!$L$2:$L$23,'3 Hazed Questions'!$A$2:$A$23,"Q4",'3 Hazed Questions'!$C$2:$C$23,L235))</f>
        <v/>
      </c>
      <c r="V235" s="14" t="str">
        <f aca="false">IF(COUNTA(I235:L235)=0,"",SUMIFS('3 Hazed Questions'!$M$2:$M$23,'3 Hazed Questions'!$A$2:$A$23,"Q1",'3 Hazed Questions'!$C$2:$C$23,I235)+SUMIFS('3 Hazed Questions'!$M$2:$M$23,'3 Hazed Questions'!$A$2:$A$23,"Q2",'3 Hazed Questions'!$C$2:$C$23,J235)+SUMIFS('3 Hazed Questions'!$M$2:$M$23,'3 Hazed Questions'!$A$2:$A$23,"Q3",'3 Hazed Questions'!$C$2:$C$23,K235)+SUMIFS('3 Hazed Questions'!$M$2:$M$23,'3 Hazed Questions'!$A$2:$A$23,"Q4",'3 Hazed Questions'!$C$2:$C$23,L235))</f>
        <v/>
      </c>
      <c r="W235" s="14" t="str">
        <f aca="false">IF(COUNTA(I235:L235)=0,"",SUMIFS('3 Hazed Questions'!$N$2:$N$23,'3 Hazed Questions'!$A$2:$A$23,"Q1",'3 Hazed Questions'!$C$2:$C$23,I235)+SUMIFS('3 Hazed Questions'!$N$2:$N$23,'3 Hazed Questions'!$A$2:$A$23,"Q2",'3 Hazed Questions'!$C$2:$C$23,J235)+SUMIFS('3 Hazed Questions'!$N$2:$N$23,'3 Hazed Questions'!$A$2:$A$23,"Q3",'3 Hazed Questions'!$C$2:$C$23,K235)+SUMIFS('3 Hazed Questions'!$N$2:$N$23,'3 Hazed Questions'!$A$2:$A$23,"Q4",'3 Hazed Questions'!$C$2:$C$23,L235))</f>
        <v/>
      </c>
      <c r="X235" s="14" t="str">
        <f aca="false">IF(COUNTA(I235:L235)=0,"",INDEX(Fields!$B$2:$B$50,MATCH(SUBSTITUTE(INDEX($N$1:$W$1,MATCH(MAX($N235:$W235),$N235:$W235,0)),"Score: ",""),Fields!$A$2:$A$50,0)))</f>
        <v/>
      </c>
      <c r="Y235" s="14" t="str">
        <f aca="true">IF(COUNTA(I235:L235)=0,"",IF(LARGE($N235:$W235,2)=0,"-",INDEX(Fields!$B$2:$B$50,MATCH(SUBSTITUTE(INDEX($N$1:$W$1,IF(LARGE($N235:$W235,2)=MAX($N235:$W235),MATCH(MAX($N235:$W235),OFFSET($N235:$W235,0,MATCH(MAX($N235:$W235),$N235:$W235,0),1,10-MATCH(MAX($N235:$W235),$N235:$W235,0)),0)+MATCH(MAX($N235:$W235),$N235:$W235,0),MATCH(LARGE($N235:$W235,2),$N235:$W235,0))),"Score: ",""),Fields!$A$2:$A$50,0))))</f>
        <v/>
      </c>
      <c r="Z235" s="14" t="str">
        <f aca="false">IF(M235="","",IFERROR(INDEX('3 Hazed Questions'!$O$2:$O$23,MATCH(1,INDEX(('3 Hazed Questions'!$A$2:$A$23="Q5")*('3 Hazed Questions'!$C$2:$C$23=M235),0),0))&amp;"",""))</f>
        <v/>
      </c>
      <c r="AA235" s="18"/>
      <c r="AB235" s="18"/>
      <c r="AC235" s="19"/>
      <c r="AD235" s="19"/>
      <c r="AE235" s="18"/>
      <c r="AF235" s="18"/>
      <c r="AG235" s="18"/>
    </row>
    <row r="236" customFormat="false" ht="15" hidden="false" customHeight="false" outlineLevel="0" collapsed="false">
      <c r="A236" s="18"/>
      <c r="B236" s="19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4" t="str">
        <f aca="false">IF(COUNTA(I236:L236)=0,"",SUMIFS('3 Hazed Questions'!$E$2:$E$23,'3 Hazed Questions'!$A$2:$A$23,"Q1",'3 Hazed Questions'!$C$2:$C$23,I236)+SUMIFS('3 Hazed Questions'!$E$2:$E$23,'3 Hazed Questions'!$A$2:$A$23,"Q2",'3 Hazed Questions'!$C$2:$C$23,J236)+SUMIFS('3 Hazed Questions'!$E$2:$E$23,'3 Hazed Questions'!$A$2:$A$23,"Q3",'3 Hazed Questions'!$C$2:$C$23,K236)+SUMIFS('3 Hazed Questions'!$E$2:$E$23,'3 Hazed Questions'!$A$2:$A$23,"Q4",'3 Hazed Questions'!$C$2:$C$23,L236))</f>
        <v/>
      </c>
      <c r="O236" s="14" t="str">
        <f aca="false">IF(COUNTA(I236:L236)=0,"",SUMIFS('3 Hazed Questions'!$F$2:$F$23,'3 Hazed Questions'!$A$2:$A$23,"Q1",'3 Hazed Questions'!$C$2:$C$23,I236)+SUMIFS('3 Hazed Questions'!$F$2:$F$23,'3 Hazed Questions'!$A$2:$A$23,"Q2",'3 Hazed Questions'!$C$2:$C$23,J236)+SUMIFS('3 Hazed Questions'!$F$2:$F$23,'3 Hazed Questions'!$A$2:$A$23,"Q3",'3 Hazed Questions'!$C$2:$C$23,K236)+SUMIFS('3 Hazed Questions'!$F$2:$F$23,'3 Hazed Questions'!$A$2:$A$23,"Q4",'3 Hazed Questions'!$C$2:$C$23,L236))</f>
        <v/>
      </c>
      <c r="P236" s="14" t="str">
        <f aca="false">IF(COUNTA(I236:L236)=0,"",SUMIFS('3 Hazed Questions'!$G$2:$G$23,'3 Hazed Questions'!$A$2:$A$23,"Q1",'3 Hazed Questions'!$C$2:$C$23,I236)+SUMIFS('3 Hazed Questions'!$G$2:$G$23,'3 Hazed Questions'!$A$2:$A$23,"Q2",'3 Hazed Questions'!$C$2:$C$23,J236)+SUMIFS('3 Hazed Questions'!$G$2:$G$23,'3 Hazed Questions'!$A$2:$A$23,"Q3",'3 Hazed Questions'!$C$2:$C$23,K236)+SUMIFS('3 Hazed Questions'!$G$2:$G$23,'3 Hazed Questions'!$A$2:$A$23,"Q4",'3 Hazed Questions'!$C$2:$C$23,L236))</f>
        <v/>
      </c>
      <c r="Q236" s="14" t="str">
        <f aca="false">IF(COUNTA(I236:L236)=0,"",SUMIFS('3 Hazed Questions'!$H$2:$H$23,'3 Hazed Questions'!$A$2:$A$23,"Q1",'3 Hazed Questions'!$C$2:$C$23,I236)+SUMIFS('3 Hazed Questions'!$H$2:$H$23,'3 Hazed Questions'!$A$2:$A$23,"Q2",'3 Hazed Questions'!$C$2:$C$23,J236)+SUMIFS('3 Hazed Questions'!$H$2:$H$23,'3 Hazed Questions'!$A$2:$A$23,"Q3",'3 Hazed Questions'!$C$2:$C$23,K236)+SUMIFS('3 Hazed Questions'!$H$2:$H$23,'3 Hazed Questions'!$A$2:$A$23,"Q4",'3 Hazed Questions'!$C$2:$C$23,L236))</f>
        <v/>
      </c>
      <c r="R236" s="14" t="str">
        <f aca="false">IF(COUNTA(I236:L236)=0,"",SUMIFS('3 Hazed Questions'!$I$2:$I$23,'3 Hazed Questions'!$A$2:$A$23,"Q1",'3 Hazed Questions'!$C$2:$C$23,I236)+SUMIFS('3 Hazed Questions'!$I$2:$I$23,'3 Hazed Questions'!$A$2:$A$23,"Q2",'3 Hazed Questions'!$C$2:$C$23,J236)+SUMIFS('3 Hazed Questions'!$I$2:$I$23,'3 Hazed Questions'!$A$2:$A$23,"Q3",'3 Hazed Questions'!$C$2:$C$23,K236)+SUMIFS('3 Hazed Questions'!$I$2:$I$23,'3 Hazed Questions'!$A$2:$A$23,"Q4",'3 Hazed Questions'!$C$2:$C$23,L236))</f>
        <v/>
      </c>
      <c r="S236" s="14" t="str">
        <f aca="false">IF(COUNTA(I236:L236)=0,"",SUMIFS('3 Hazed Questions'!$J$2:$J$23,'3 Hazed Questions'!$A$2:$A$23,"Q1",'3 Hazed Questions'!$C$2:$C$23,I236)+SUMIFS('3 Hazed Questions'!$J$2:$J$23,'3 Hazed Questions'!$A$2:$A$23,"Q2",'3 Hazed Questions'!$C$2:$C$23,J236)+SUMIFS('3 Hazed Questions'!$J$2:$J$23,'3 Hazed Questions'!$A$2:$A$23,"Q3",'3 Hazed Questions'!$C$2:$C$23,K236)+SUMIFS('3 Hazed Questions'!$J$2:$J$23,'3 Hazed Questions'!$A$2:$A$23,"Q4",'3 Hazed Questions'!$C$2:$C$23,L236))</f>
        <v/>
      </c>
      <c r="T236" s="14" t="str">
        <f aca="false">IF(COUNTA(I236:L236)=0,"",SUMIFS('3 Hazed Questions'!$K$2:$K$23,'3 Hazed Questions'!$A$2:$A$23,"Q1",'3 Hazed Questions'!$C$2:$C$23,I236)+SUMIFS('3 Hazed Questions'!$K$2:$K$23,'3 Hazed Questions'!$A$2:$A$23,"Q2",'3 Hazed Questions'!$C$2:$C$23,J236)+SUMIFS('3 Hazed Questions'!$K$2:$K$23,'3 Hazed Questions'!$A$2:$A$23,"Q3",'3 Hazed Questions'!$C$2:$C$23,K236)+SUMIFS('3 Hazed Questions'!$K$2:$K$23,'3 Hazed Questions'!$A$2:$A$23,"Q4",'3 Hazed Questions'!$C$2:$C$23,L236))</f>
        <v/>
      </c>
      <c r="U236" s="14" t="str">
        <f aca="false">IF(COUNTA(I236:L236)=0,"",SUMIFS('3 Hazed Questions'!$L$2:$L$23,'3 Hazed Questions'!$A$2:$A$23,"Q1",'3 Hazed Questions'!$C$2:$C$23,I236)+SUMIFS('3 Hazed Questions'!$L$2:$L$23,'3 Hazed Questions'!$A$2:$A$23,"Q2",'3 Hazed Questions'!$C$2:$C$23,J236)+SUMIFS('3 Hazed Questions'!$L$2:$L$23,'3 Hazed Questions'!$A$2:$A$23,"Q3",'3 Hazed Questions'!$C$2:$C$23,K236)+SUMIFS('3 Hazed Questions'!$L$2:$L$23,'3 Hazed Questions'!$A$2:$A$23,"Q4",'3 Hazed Questions'!$C$2:$C$23,L236))</f>
        <v/>
      </c>
      <c r="V236" s="14" t="str">
        <f aca="false">IF(COUNTA(I236:L236)=0,"",SUMIFS('3 Hazed Questions'!$M$2:$M$23,'3 Hazed Questions'!$A$2:$A$23,"Q1",'3 Hazed Questions'!$C$2:$C$23,I236)+SUMIFS('3 Hazed Questions'!$M$2:$M$23,'3 Hazed Questions'!$A$2:$A$23,"Q2",'3 Hazed Questions'!$C$2:$C$23,J236)+SUMIFS('3 Hazed Questions'!$M$2:$M$23,'3 Hazed Questions'!$A$2:$A$23,"Q3",'3 Hazed Questions'!$C$2:$C$23,K236)+SUMIFS('3 Hazed Questions'!$M$2:$M$23,'3 Hazed Questions'!$A$2:$A$23,"Q4",'3 Hazed Questions'!$C$2:$C$23,L236))</f>
        <v/>
      </c>
      <c r="W236" s="14" t="str">
        <f aca="false">IF(COUNTA(I236:L236)=0,"",SUMIFS('3 Hazed Questions'!$N$2:$N$23,'3 Hazed Questions'!$A$2:$A$23,"Q1",'3 Hazed Questions'!$C$2:$C$23,I236)+SUMIFS('3 Hazed Questions'!$N$2:$N$23,'3 Hazed Questions'!$A$2:$A$23,"Q2",'3 Hazed Questions'!$C$2:$C$23,J236)+SUMIFS('3 Hazed Questions'!$N$2:$N$23,'3 Hazed Questions'!$A$2:$A$23,"Q3",'3 Hazed Questions'!$C$2:$C$23,K236)+SUMIFS('3 Hazed Questions'!$N$2:$N$23,'3 Hazed Questions'!$A$2:$A$23,"Q4",'3 Hazed Questions'!$C$2:$C$23,L236))</f>
        <v/>
      </c>
      <c r="X236" s="14" t="str">
        <f aca="false">IF(COUNTA(I236:L236)=0,"",INDEX(Fields!$B$2:$B$50,MATCH(SUBSTITUTE(INDEX($N$1:$W$1,MATCH(MAX($N236:$W236),$N236:$W236,0)),"Score: ",""),Fields!$A$2:$A$50,0)))</f>
        <v/>
      </c>
      <c r="Y236" s="14" t="str">
        <f aca="true">IF(COUNTA(I236:L236)=0,"",IF(LARGE($N236:$W236,2)=0,"-",INDEX(Fields!$B$2:$B$50,MATCH(SUBSTITUTE(INDEX($N$1:$W$1,IF(LARGE($N236:$W236,2)=MAX($N236:$W236),MATCH(MAX($N236:$W236),OFFSET($N236:$W236,0,MATCH(MAX($N236:$W236),$N236:$W236,0),1,10-MATCH(MAX($N236:$W236),$N236:$W236,0)),0)+MATCH(MAX($N236:$W236),$N236:$W236,0),MATCH(LARGE($N236:$W236,2),$N236:$W236,0))),"Score: ",""),Fields!$A$2:$A$50,0))))</f>
        <v/>
      </c>
      <c r="Z236" s="14" t="str">
        <f aca="false">IF(M236="","",IFERROR(INDEX('3 Hazed Questions'!$O$2:$O$23,MATCH(1,INDEX(('3 Hazed Questions'!$A$2:$A$23="Q5")*('3 Hazed Questions'!$C$2:$C$23=M236),0),0))&amp;"",""))</f>
        <v/>
      </c>
      <c r="AA236" s="18"/>
      <c r="AB236" s="18"/>
      <c r="AC236" s="19"/>
      <c r="AD236" s="19"/>
      <c r="AE236" s="18"/>
      <c r="AF236" s="18"/>
      <c r="AG236" s="18"/>
    </row>
    <row r="237" customFormat="false" ht="15" hidden="false" customHeight="false" outlineLevel="0" collapsed="false">
      <c r="A237" s="18"/>
      <c r="B237" s="19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4" t="str">
        <f aca="false">IF(COUNTA(I237:L237)=0,"",SUMIFS('3 Hazed Questions'!$E$2:$E$23,'3 Hazed Questions'!$A$2:$A$23,"Q1",'3 Hazed Questions'!$C$2:$C$23,I237)+SUMIFS('3 Hazed Questions'!$E$2:$E$23,'3 Hazed Questions'!$A$2:$A$23,"Q2",'3 Hazed Questions'!$C$2:$C$23,J237)+SUMIFS('3 Hazed Questions'!$E$2:$E$23,'3 Hazed Questions'!$A$2:$A$23,"Q3",'3 Hazed Questions'!$C$2:$C$23,K237)+SUMIFS('3 Hazed Questions'!$E$2:$E$23,'3 Hazed Questions'!$A$2:$A$23,"Q4",'3 Hazed Questions'!$C$2:$C$23,L237))</f>
        <v/>
      </c>
      <c r="O237" s="14" t="str">
        <f aca="false">IF(COUNTA(I237:L237)=0,"",SUMIFS('3 Hazed Questions'!$F$2:$F$23,'3 Hazed Questions'!$A$2:$A$23,"Q1",'3 Hazed Questions'!$C$2:$C$23,I237)+SUMIFS('3 Hazed Questions'!$F$2:$F$23,'3 Hazed Questions'!$A$2:$A$23,"Q2",'3 Hazed Questions'!$C$2:$C$23,J237)+SUMIFS('3 Hazed Questions'!$F$2:$F$23,'3 Hazed Questions'!$A$2:$A$23,"Q3",'3 Hazed Questions'!$C$2:$C$23,K237)+SUMIFS('3 Hazed Questions'!$F$2:$F$23,'3 Hazed Questions'!$A$2:$A$23,"Q4",'3 Hazed Questions'!$C$2:$C$23,L237))</f>
        <v/>
      </c>
      <c r="P237" s="14" t="str">
        <f aca="false">IF(COUNTA(I237:L237)=0,"",SUMIFS('3 Hazed Questions'!$G$2:$G$23,'3 Hazed Questions'!$A$2:$A$23,"Q1",'3 Hazed Questions'!$C$2:$C$23,I237)+SUMIFS('3 Hazed Questions'!$G$2:$G$23,'3 Hazed Questions'!$A$2:$A$23,"Q2",'3 Hazed Questions'!$C$2:$C$23,J237)+SUMIFS('3 Hazed Questions'!$G$2:$G$23,'3 Hazed Questions'!$A$2:$A$23,"Q3",'3 Hazed Questions'!$C$2:$C$23,K237)+SUMIFS('3 Hazed Questions'!$G$2:$G$23,'3 Hazed Questions'!$A$2:$A$23,"Q4",'3 Hazed Questions'!$C$2:$C$23,L237))</f>
        <v/>
      </c>
      <c r="Q237" s="14" t="str">
        <f aca="false">IF(COUNTA(I237:L237)=0,"",SUMIFS('3 Hazed Questions'!$H$2:$H$23,'3 Hazed Questions'!$A$2:$A$23,"Q1",'3 Hazed Questions'!$C$2:$C$23,I237)+SUMIFS('3 Hazed Questions'!$H$2:$H$23,'3 Hazed Questions'!$A$2:$A$23,"Q2",'3 Hazed Questions'!$C$2:$C$23,J237)+SUMIFS('3 Hazed Questions'!$H$2:$H$23,'3 Hazed Questions'!$A$2:$A$23,"Q3",'3 Hazed Questions'!$C$2:$C$23,K237)+SUMIFS('3 Hazed Questions'!$H$2:$H$23,'3 Hazed Questions'!$A$2:$A$23,"Q4",'3 Hazed Questions'!$C$2:$C$23,L237))</f>
        <v/>
      </c>
      <c r="R237" s="14" t="str">
        <f aca="false">IF(COUNTA(I237:L237)=0,"",SUMIFS('3 Hazed Questions'!$I$2:$I$23,'3 Hazed Questions'!$A$2:$A$23,"Q1",'3 Hazed Questions'!$C$2:$C$23,I237)+SUMIFS('3 Hazed Questions'!$I$2:$I$23,'3 Hazed Questions'!$A$2:$A$23,"Q2",'3 Hazed Questions'!$C$2:$C$23,J237)+SUMIFS('3 Hazed Questions'!$I$2:$I$23,'3 Hazed Questions'!$A$2:$A$23,"Q3",'3 Hazed Questions'!$C$2:$C$23,K237)+SUMIFS('3 Hazed Questions'!$I$2:$I$23,'3 Hazed Questions'!$A$2:$A$23,"Q4",'3 Hazed Questions'!$C$2:$C$23,L237))</f>
        <v/>
      </c>
      <c r="S237" s="14" t="str">
        <f aca="false">IF(COUNTA(I237:L237)=0,"",SUMIFS('3 Hazed Questions'!$J$2:$J$23,'3 Hazed Questions'!$A$2:$A$23,"Q1",'3 Hazed Questions'!$C$2:$C$23,I237)+SUMIFS('3 Hazed Questions'!$J$2:$J$23,'3 Hazed Questions'!$A$2:$A$23,"Q2",'3 Hazed Questions'!$C$2:$C$23,J237)+SUMIFS('3 Hazed Questions'!$J$2:$J$23,'3 Hazed Questions'!$A$2:$A$23,"Q3",'3 Hazed Questions'!$C$2:$C$23,K237)+SUMIFS('3 Hazed Questions'!$J$2:$J$23,'3 Hazed Questions'!$A$2:$A$23,"Q4",'3 Hazed Questions'!$C$2:$C$23,L237))</f>
        <v/>
      </c>
      <c r="T237" s="14" t="str">
        <f aca="false">IF(COUNTA(I237:L237)=0,"",SUMIFS('3 Hazed Questions'!$K$2:$K$23,'3 Hazed Questions'!$A$2:$A$23,"Q1",'3 Hazed Questions'!$C$2:$C$23,I237)+SUMIFS('3 Hazed Questions'!$K$2:$K$23,'3 Hazed Questions'!$A$2:$A$23,"Q2",'3 Hazed Questions'!$C$2:$C$23,J237)+SUMIFS('3 Hazed Questions'!$K$2:$K$23,'3 Hazed Questions'!$A$2:$A$23,"Q3",'3 Hazed Questions'!$C$2:$C$23,K237)+SUMIFS('3 Hazed Questions'!$K$2:$K$23,'3 Hazed Questions'!$A$2:$A$23,"Q4",'3 Hazed Questions'!$C$2:$C$23,L237))</f>
        <v/>
      </c>
      <c r="U237" s="14" t="str">
        <f aca="false">IF(COUNTA(I237:L237)=0,"",SUMIFS('3 Hazed Questions'!$L$2:$L$23,'3 Hazed Questions'!$A$2:$A$23,"Q1",'3 Hazed Questions'!$C$2:$C$23,I237)+SUMIFS('3 Hazed Questions'!$L$2:$L$23,'3 Hazed Questions'!$A$2:$A$23,"Q2",'3 Hazed Questions'!$C$2:$C$23,J237)+SUMIFS('3 Hazed Questions'!$L$2:$L$23,'3 Hazed Questions'!$A$2:$A$23,"Q3",'3 Hazed Questions'!$C$2:$C$23,K237)+SUMIFS('3 Hazed Questions'!$L$2:$L$23,'3 Hazed Questions'!$A$2:$A$23,"Q4",'3 Hazed Questions'!$C$2:$C$23,L237))</f>
        <v/>
      </c>
      <c r="V237" s="14" t="str">
        <f aca="false">IF(COUNTA(I237:L237)=0,"",SUMIFS('3 Hazed Questions'!$M$2:$M$23,'3 Hazed Questions'!$A$2:$A$23,"Q1",'3 Hazed Questions'!$C$2:$C$23,I237)+SUMIFS('3 Hazed Questions'!$M$2:$M$23,'3 Hazed Questions'!$A$2:$A$23,"Q2",'3 Hazed Questions'!$C$2:$C$23,J237)+SUMIFS('3 Hazed Questions'!$M$2:$M$23,'3 Hazed Questions'!$A$2:$A$23,"Q3",'3 Hazed Questions'!$C$2:$C$23,K237)+SUMIFS('3 Hazed Questions'!$M$2:$M$23,'3 Hazed Questions'!$A$2:$A$23,"Q4",'3 Hazed Questions'!$C$2:$C$23,L237))</f>
        <v/>
      </c>
      <c r="W237" s="14" t="str">
        <f aca="false">IF(COUNTA(I237:L237)=0,"",SUMIFS('3 Hazed Questions'!$N$2:$N$23,'3 Hazed Questions'!$A$2:$A$23,"Q1",'3 Hazed Questions'!$C$2:$C$23,I237)+SUMIFS('3 Hazed Questions'!$N$2:$N$23,'3 Hazed Questions'!$A$2:$A$23,"Q2",'3 Hazed Questions'!$C$2:$C$23,J237)+SUMIFS('3 Hazed Questions'!$N$2:$N$23,'3 Hazed Questions'!$A$2:$A$23,"Q3",'3 Hazed Questions'!$C$2:$C$23,K237)+SUMIFS('3 Hazed Questions'!$N$2:$N$23,'3 Hazed Questions'!$A$2:$A$23,"Q4",'3 Hazed Questions'!$C$2:$C$23,L237))</f>
        <v/>
      </c>
      <c r="X237" s="14" t="str">
        <f aca="false">IF(COUNTA(I237:L237)=0,"",INDEX(Fields!$B$2:$B$50,MATCH(SUBSTITUTE(INDEX($N$1:$W$1,MATCH(MAX($N237:$W237),$N237:$W237,0)),"Score: ",""),Fields!$A$2:$A$50,0)))</f>
        <v/>
      </c>
      <c r="Y237" s="14" t="str">
        <f aca="true">IF(COUNTA(I237:L237)=0,"",IF(LARGE($N237:$W237,2)=0,"-",INDEX(Fields!$B$2:$B$50,MATCH(SUBSTITUTE(INDEX($N$1:$W$1,IF(LARGE($N237:$W237,2)=MAX($N237:$W237),MATCH(MAX($N237:$W237),OFFSET($N237:$W237,0,MATCH(MAX($N237:$W237),$N237:$W237,0),1,10-MATCH(MAX($N237:$W237),$N237:$W237,0)),0)+MATCH(MAX($N237:$W237),$N237:$W237,0),MATCH(LARGE($N237:$W237,2),$N237:$W237,0))),"Score: ",""),Fields!$A$2:$A$50,0))))</f>
        <v/>
      </c>
      <c r="Z237" s="14" t="str">
        <f aca="false">IF(M237="","",IFERROR(INDEX('3 Hazed Questions'!$O$2:$O$23,MATCH(1,INDEX(('3 Hazed Questions'!$A$2:$A$23="Q5")*('3 Hazed Questions'!$C$2:$C$23=M237),0),0))&amp;"",""))</f>
        <v/>
      </c>
      <c r="AA237" s="18"/>
      <c r="AB237" s="18"/>
      <c r="AC237" s="19"/>
      <c r="AD237" s="19"/>
      <c r="AE237" s="18"/>
      <c r="AF237" s="18"/>
      <c r="AG237" s="18"/>
    </row>
    <row r="238" customFormat="false" ht="15" hidden="false" customHeight="false" outlineLevel="0" collapsed="false">
      <c r="A238" s="18"/>
      <c r="B238" s="19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4" t="str">
        <f aca="false">IF(COUNTA(I238:L238)=0,"",SUMIFS('3 Hazed Questions'!$E$2:$E$23,'3 Hazed Questions'!$A$2:$A$23,"Q1",'3 Hazed Questions'!$C$2:$C$23,I238)+SUMIFS('3 Hazed Questions'!$E$2:$E$23,'3 Hazed Questions'!$A$2:$A$23,"Q2",'3 Hazed Questions'!$C$2:$C$23,J238)+SUMIFS('3 Hazed Questions'!$E$2:$E$23,'3 Hazed Questions'!$A$2:$A$23,"Q3",'3 Hazed Questions'!$C$2:$C$23,K238)+SUMIFS('3 Hazed Questions'!$E$2:$E$23,'3 Hazed Questions'!$A$2:$A$23,"Q4",'3 Hazed Questions'!$C$2:$C$23,L238))</f>
        <v/>
      </c>
      <c r="O238" s="14" t="str">
        <f aca="false">IF(COUNTA(I238:L238)=0,"",SUMIFS('3 Hazed Questions'!$F$2:$F$23,'3 Hazed Questions'!$A$2:$A$23,"Q1",'3 Hazed Questions'!$C$2:$C$23,I238)+SUMIFS('3 Hazed Questions'!$F$2:$F$23,'3 Hazed Questions'!$A$2:$A$23,"Q2",'3 Hazed Questions'!$C$2:$C$23,J238)+SUMIFS('3 Hazed Questions'!$F$2:$F$23,'3 Hazed Questions'!$A$2:$A$23,"Q3",'3 Hazed Questions'!$C$2:$C$23,K238)+SUMIFS('3 Hazed Questions'!$F$2:$F$23,'3 Hazed Questions'!$A$2:$A$23,"Q4",'3 Hazed Questions'!$C$2:$C$23,L238))</f>
        <v/>
      </c>
      <c r="P238" s="14" t="str">
        <f aca="false">IF(COUNTA(I238:L238)=0,"",SUMIFS('3 Hazed Questions'!$G$2:$G$23,'3 Hazed Questions'!$A$2:$A$23,"Q1",'3 Hazed Questions'!$C$2:$C$23,I238)+SUMIFS('3 Hazed Questions'!$G$2:$G$23,'3 Hazed Questions'!$A$2:$A$23,"Q2",'3 Hazed Questions'!$C$2:$C$23,J238)+SUMIFS('3 Hazed Questions'!$G$2:$G$23,'3 Hazed Questions'!$A$2:$A$23,"Q3",'3 Hazed Questions'!$C$2:$C$23,K238)+SUMIFS('3 Hazed Questions'!$G$2:$G$23,'3 Hazed Questions'!$A$2:$A$23,"Q4",'3 Hazed Questions'!$C$2:$C$23,L238))</f>
        <v/>
      </c>
      <c r="Q238" s="14" t="str">
        <f aca="false">IF(COUNTA(I238:L238)=0,"",SUMIFS('3 Hazed Questions'!$H$2:$H$23,'3 Hazed Questions'!$A$2:$A$23,"Q1",'3 Hazed Questions'!$C$2:$C$23,I238)+SUMIFS('3 Hazed Questions'!$H$2:$H$23,'3 Hazed Questions'!$A$2:$A$23,"Q2",'3 Hazed Questions'!$C$2:$C$23,J238)+SUMIFS('3 Hazed Questions'!$H$2:$H$23,'3 Hazed Questions'!$A$2:$A$23,"Q3",'3 Hazed Questions'!$C$2:$C$23,K238)+SUMIFS('3 Hazed Questions'!$H$2:$H$23,'3 Hazed Questions'!$A$2:$A$23,"Q4",'3 Hazed Questions'!$C$2:$C$23,L238))</f>
        <v/>
      </c>
      <c r="R238" s="14" t="str">
        <f aca="false">IF(COUNTA(I238:L238)=0,"",SUMIFS('3 Hazed Questions'!$I$2:$I$23,'3 Hazed Questions'!$A$2:$A$23,"Q1",'3 Hazed Questions'!$C$2:$C$23,I238)+SUMIFS('3 Hazed Questions'!$I$2:$I$23,'3 Hazed Questions'!$A$2:$A$23,"Q2",'3 Hazed Questions'!$C$2:$C$23,J238)+SUMIFS('3 Hazed Questions'!$I$2:$I$23,'3 Hazed Questions'!$A$2:$A$23,"Q3",'3 Hazed Questions'!$C$2:$C$23,K238)+SUMIFS('3 Hazed Questions'!$I$2:$I$23,'3 Hazed Questions'!$A$2:$A$23,"Q4",'3 Hazed Questions'!$C$2:$C$23,L238))</f>
        <v/>
      </c>
      <c r="S238" s="14" t="str">
        <f aca="false">IF(COUNTA(I238:L238)=0,"",SUMIFS('3 Hazed Questions'!$J$2:$J$23,'3 Hazed Questions'!$A$2:$A$23,"Q1",'3 Hazed Questions'!$C$2:$C$23,I238)+SUMIFS('3 Hazed Questions'!$J$2:$J$23,'3 Hazed Questions'!$A$2:$A$23,"Q2",'3 Hazed Questions'!$C$2:$C$23,J238)+SUMIFS('3 Hazed Questions'!$J$2:$J$23,'3 Hazed Questions'!$A$2:$A$23,"Q3",'3 Hazed Questions'!$C$2:$C$23,K238)+SUMIFS('3 Hazed Questions'!$J$2:$J$23,'3 Hazed Questions'!$A$2:$A$23,"Q4",'3 Hazed Questions'!$C$2:$C$23,L238))</f>
        <v/>
      </c>
      <c r="T238" s="14" t="str">
        <f aca="false">IF(COUNTA(I238:L238)=0,"",SUMIFS('3 Hazed Questions'!$K$2:$K$23,'3 Hazed Questions'!$A$2:$A$23,"Q1",'3 Hazed Questions'!$C$2:$C$23,I238)+SUMIFS('3 Hazed Questions'!$K$2:$K$23,'3 Hazed Questions'!$A$2:$A$23,"Q2",'3 Hazed Questions'!$C$2:$C$23,J238)+SUMIFS('3 Hazed Questions'!$K$2:$K$23,'3 Hazed Questions'!$A$2:$A$23,"Q3",'3 Hazed Questions'!$C$2:$C$23,K238)+SUMIFS('3 Hazed Questions'!$K$2:$K$23,'3 Hazed Questions'!$A$2:$A$23,"Q4",'3 Hazed Questions'!$C$2:$C$23,L238))</f>
        <v/>
      </c>
      <c r="U238" s="14" t="str">
        <f aca="false">IF(COUNTA(I238:L238)=0,"",SUMIFS('3 Hazed Questions'!$L$2:$L$23,'3 Hazed Questions'!$A$2:$A$23,"Q1",'3 Hazed Questions'!$C$2:$C$23,I238)+SUMIFS('3 Hazed Questions'!$L$2:$L$23,'3 Hazed Questions'!$A$2:$A$23,"Q2",'3 Hazed Questions'!$C$2:$C$23,J238)+SUMIFS('3 Hazed Questions'!$L$2:$L$23,'3 Hazed Questions'!$A$2:$A$23,"Q3",'3 Hazed Questions'!$C$2:$C$23,K238)+SUMIFS('3 Hazed Questions'!$L$2:$L$23,'3 Hazed Questions'!$A$2:$A$23,"Q4",'3 Hazed Questions'!$C$2:$C$23,L238))</f>
        <v/>
      </c>
      <c r="V238" s="14" t="str">
        <f aca="false">IF(COUNTA(I238:L238)=0,"",SUMIFS('3 Hazed Questions'!$M$2:$M$23,'3 Hazed Questions'!$A$2:$A$23,"Q1",'3 Hazed Questions'!$C$2:$C$23,I238)+SUMIFS('3 Hazed Questions'!$M$2:$M$23,'3 Hazed Questions'!$A$2:$A$23,"Q2",'3 Hazed Questions'!$C$2:$C$23,J238)+SUMIFS('3 Hazed Questions'!$M$2:$M$23,'3 Hazed Questions'!$A$2:$A$23,"Q3",'3 Hazed Questions'!$C$2:$C$23,K238)+SUMIFS('3 Hazed Questions'!$M$2:$M$23,'3 Hazed Questions'!$A$2:$A$23,"Q4",'3 Hazed Questions'!$C$2:$C$23,L238))</f>
        <v/>
      </c>
      <c r="W238" s="14" t="str">
        <f aca="false">IF(COUNTA(I238:L238)=0,"",SUMIFS('3 Hazed Questions'!$N$2:$N$23,'3 Hazed Questions'!$A$2:$A$23,"Q1",'3 Hazed Questions'!$C$2:$C$23,I238)+SUMIFS('3 Hazed Questions'!$N$2:$N$23,'3 Hazed Questions'!$A$2:$A$23,"Q2",'3 Hazed Questions'!$C$2:$C$23,J238)+SUMIFS('3 Hazed Questions'!$N$2:$N$23,'3 Hazed Questions'!$A$2:$A$23,"Q3",'3 Hazed Questions'!$C$2:$C$23,K238)+SUMIFS('3 Hazed Questions'!$N$2:$N$23,'3 Hazed Questions'!$A$2:$A$23,"Q4",'3 Hazed Questions'!$C$2:$C$23,L238))</f>
        <v/>
      </c>
      <c r="X238" s="14" t="str">
        <f aca="false">IF(COUNTA(I238:L238)=0,"",INDEX(Fields!$B$2:$B$50,MATCH(SUBSTITUTE(INDEX($N$1:$W$1,MATCH(MAX($N238:$W238),$N238:$W238,0)),"Score: ",""),Fields!$A$2:$A$50,0)))</f>
        <v/>
      </c>
      <c r="Y238" s="14" t="str">
        <f aca="true">IF(COUNTA(I238:L238)=0,"",IF(LARGE($N238:$W238,2)=0,"-",INDEX(Fields!$B$2:$B$50,MATCH(SUBSTITUTE(INDEX($N$1:$W$1,IF(LARGE($N238:$W238,2)=MAX($N238:$W238),MATCH(MAX($N238:$W238),OFFSET($N238:$W238,0,MATCH(MAX($N238:$W238),$N238:$W238,0),1,10-MATCH(MAX($N238:$W238),$N238:$W238,0)),0)+MATCH(MAX($N238:$W238),$N238:$W238,0),MATCH(LARGE($N238:$W238,2),$N238:$W238,0))),"Score: ",""),Fields!$A$2:$A$50,0))))</f>
        <v/>
      </c>
      <c r="Z238" s="14" t="str">
        <f aca="false">IF(M238="","",IFERROR(INDEX('3 Hazed Questions'!$O$2:$O$23,MATCH(1,INDEX(('3 Hazed Questions'!$A$2:$A$23="Q5")*('3 Hazed Questions'!$C$2:$C$23=M238),0),0))&amp;"",""))</f>
        <v/>
      </c>
      <c r="AA238" s="18"/>
      <c r="AB238" s="18"/>
      <c r="AC238" s="19"/>
      <c r="AD238" s="19"/>
      <c r="AE238" s="18"/>
      <c r="AF238" s="18"/>
      <c r="AG238" s="18"/>
    </row>
    <row r="239" customFormat="false" ht="15" hidden="false" customHeight="false" outlineLevel="0" collapsed="false">
      <c r="A239" s="18"/>
      <c r="B239" s="19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4" t="str">
        <f aca="false">IF(COUNTA(I239:L239)=0,"",SUMIFS('3 Hazed Questions'!$E$2:$E$23,'3 Hazed Questions'!$A$2:$A$23,"Q1",'3 Hazed Questions'!$C$2:$C$23,I239)+SUMIFS('3 Hazed Questions'!$E$2:$E$23,'3 Hazed Questions'!$A$2:$A$23,"Q2",'3 Hazed Questions'!$C$2:$C$23,J239)+SUMIFS('3 Hazed Questions'!$E$2:$E$23,'3 Hazed Questions'!$A$2:$A$23,"Q3",'3 Hazed Questions'!$C$2:$C$23,K239)+SUMIFS('3 Hazed Questions'!$E$2:$E$23,'3 Hazed Questions'!$A$2:$A$23,"Q4",'3 Hazed Questions'!$C$2:$C$23,L239))</f>
        <v/>
      </c>
      <c r="O239" s="14" t="str">
        <f aca="false">IF(COUNTA(I239:L239)=0,"",SUMIFS('3 Hazed Questions'!$F$2:$F$23,'3 Hazed Questions'!$A$2:$A$23,"Q1",'3 Hazed Questions'!$C$2:$C$23,I239)+SUMIFS('3 Hazed Questions'!$F$2:$F$23,'3 Hazed Questions'!$A$2:$A$23,"Q2",'3 Hazed Questions'!$C$2:$C$23,J239)+SUMIFS('3 Hazed Questions'!$F$2:$F$23,'3 Hazed Questions'!$A$2:$A$23,"Q3",'3 Hazed Questions'!$C$2:$C$23,K239)+SUMIFS('3 Hazed Questions'!$F$2:$F$23,'3 Hazed Questions'!$A$2:$A$23,"Q4",'3 Hazed Questions'!$C$2:$C$23,L239))</f>
        <v/>
      </c>
      <c r="P239" s="14" t="str">
        <f aca="false">IF(COUNTA(I239:L239)=0,"",SUMIFS('3 Hazed Questions'!$G$2:$G$23,'3 Hazed Questions'!$A$2:$A$23,"Q1",'3 Hazed Questions'!$C$2:$C$23,I239)+SUMIFS('3 Hazed Questions'!$G$2:$G$23,'3 Hazed Questions'!$A$2:$A$23,"Q2",'3 Hazed Questions'!$C$2:$C$23,J239)+SUMIFS('3 Hazed Questions'!$G$2:$G$23,'3 Hazed Questions'!$A$2:$A$23,"Q3",'3 Hazed Questions'!$C$2:$C$23,K239)+SUMIFS('3 Hazed Questions'!$G$2:$G$23,'3 Hazed Questions'!$A$2:$A$23,"Q4",'3 Hazed Questions'!$C$2:$C$23,L239))</f>
        <v/>
      </c>
      <c r="Q239" s="14" t="str">
        <f aca="false">IF(COUNTA(I239:L239)=0,"",SUMIFS('3 Hazed Questions'!$H$2:$H$23,'3 Hazed Questions'!$A$2:$A$23,"Q1",'3 Hazed Questions'!$C$2:$C$23,I239)+SUMIFS('3 Hazed Questions'!$H$2:$H$23,'3 Hazed Questions'!$A$2:$A$23,"Q2",'3 Hazed Questions'!$C$2:$C$23,J239)+SUMIFS('3 Hazed Questions'!$H$2:$H$23,'3 Hazed Questions'!$A$2:$A$23,"Q3",'3 Hazed Questions'!$C$2:$C$23,K239)+SUMIFS('3 Hazed Questions'!$H$2:$H$23,'3 Hazed Questions'!$A$2:$A$23,"Q4",'3 Hazed Questions'!$C$2:$C$23,L239))</f>
        <v/>
      </c>
      <c r="R239" s="14" t="str">
        <f aca="false">IF(COUNTA(I239:L239)=0,"",SUMIFS('3 Hazed Questions'!$I$2:$I$23,'3 Hazed Questions'!$A$2:$A$23,"Q1",'3 Hazed Questions'!$C$2:$C$23,I239)+SUMIFS('3 Hazed Questions'!$I$2:$I$23,'3 Hazed Questions'!$A$2:$A$23,"Q2",'3 Hazed Questions'!$C$2:$C$23,J239)+SUMIFS('3 Hazed Questions'!$I$2:$I$23,'3 Hazed Questions'!$A$2:$A$23,"Q3",'3 Hazed Questions'!$C$2:$C$23,K239)+SUMIFS('3 Hazed Questions'!$I$2:$I$23,'3 Hazed Questions'!$A$2:$A$23,"Q4",'3 Hazed Questions'!$C$2:$C$23,L239))</f>
        <v/>
      </c>
      <c r="S239" s="14" t="str">
        <f aca="false">IF(COUNTA(I239:L239)=0,"",SUMIFS('3 Hazed Questions'!$J$2:$J$23,'3 Hazed Questions'!$A$2:$A$23,"Q1",'3 Hazed Questions'!$C$2:$C$23,I239)+SUMIFS('3 Hazed Questions'!$J$2:$J$23,'3 Hazed Questions'!$A$2:$A$23,"Q2",'3 Hazed Questions'!$C$2:$C$23,J239)+SUMIFS('3 Hazed Questions'!$J$2:$J$23,'3 Hazed Questions'!$A$2:$A$23,"Q3",'3 Hazed Questions'!$C$2:$C$23,K239)+SUMIFS('3 Hazed Questions'!$J$2:$J$23,'3 Hazed Questions'!$A$2:$A$23,"Q4",'3 Hazed Questions'!$C$2:$C$23,L239))</f>
        <v/>
      </c>
      <c r="T239" s="14" t="str">
        <f aca="false">IF(COUNTA(I239:L239)=0,"",SUMIFS('3 Hazed Questions'!$K$2:$K$23,'3 Hazed Questions'!$A$2:$A$23,"Q1",'3 Hazed Questions'!$C$2:$C$23,I239)+SUMIFS('3 Hazed Questions'!$K$2:$K$23,'3 Hazed Questions'!$A$2:$A$23,"Q2",'3 Hazed Questions'!$C$2:$C$23,J239)+SUMIFS('3 Hazed Questions'!$K$2:$K$23,'3 Hazed Questions'!$A$2:$A$23,"Q3",'3 Hazed Questions'!$C$2:$C$23,K239)+SUMIFS('3 Hazed Questions'!$K$2:$K$23,'3 Hazed Questions'!$A$2:$A$23,"Q4",'3 Hazed Questions'!$C$2:$C$23,L239))</f>
        <v/>
      </c>
      <c r="U239" s="14" t="str">
        <f aca="false">IF(COUNTA(I239:L239)=0,"",SUMIFS('3 Hazed Questions'!$L$2:$L$23,'3 Hazed Questions'!$A$2:$A$23,"Q1",'3 Hazed Questions'!$C$2:$C$23,I239)+SUMIFS('3 Hazed Questions'!$L$2:$L$23,'3 Hazed Questions'!$A$2:$A$23,"Q2",'3 Hazed Questions'!$C$2:$C$23,J239)+SUMIFS('3 Hazed Questions'!$L$2:$L$23,'3 Hazed Questions'!$A$2:$A$23,"Q3",'3 Hazed Questions'!$C$2:$C$23,K239)+SUMIFS('3 Hazed Questions'!$L$2:$L$23,'3 Hazed Questions'!$A$2:$A$23,"Q4",'3 Hazed Questions'!$C$2:$C$23,L239))</f>
        <v/>
      </c>
      <c r="V239" s="14" t="str">
        <f aca="false">IF(COUNTA(I239:L239)=0,"",SUMIFS('3 Hazed Questions'!$M$2:$M$23,'3 Hazed Questions'!$A$2:$A$23,"Q1",'3 Hazed Questions'!$C$2:$C$23,I239)+SUMIFS('3 Hazed Questions'!$M$2:$M$23,'3 Hazed Questions'!$A$2:$A$23,"Q2",'3 Hazed Questions'!$C$2:$C$23,J239)+SUMIFS('3 Hazed Questions'!$M$2:$M$23,'3 Hazed Questions'!$A$2:$A$23,"Q3",'3 Hazed Questions'!$C$2:$C$23,K239)+SUMIFS('3 Hazed Questions'!$M$2:$M$23,'3 Hazed Questions'!$A$2:$A$23,"Q4",'3 Hazed Questions'!$C$2:$C$23,L239))</f>
        <v/>
      </c>
      <c r="W239" s="14" t="str">
        <f aca="false">IF(COUNTA(I239:L239)=0,"",SUMIFS('3 Hazed Questions'!$N$2:$N$23,'3 Hazed Questions'!$A$2:$A$23,"Q1",'3 Hazed Questions'!$C$2:$C$23,I239)+SUMIFS('3 Hazed Questions'!$N$2:$N$23,'3 Hazed Questions'!$A$2:$A$23,"Q2",'3 Hazed Questions'!$C$2:$C$23,J239)+SUMIFS('3 Hazed Questions'!$N$2:$N$23,'3 Hazed Questions'!$A$2:$A$23,"Q3",'3 Hazed Questions'!$C$2:$C$23,K239)+SUMIFS('3 Hazed Questions'!$N$2:$N$23,'3 Hazed Questions'!$A$2:$A$23,"Q4",'3 Hazed Questions'!$C$2:$C$23,L239))</f>
        <v/>
      </c>
      <c r="X239" s="14" t="str">
        <f aca="false">IF(COUNTA(I239:L239)=0,"",INDEX(Fields!$B$2:$B$50,MATCH(SUBSTITUTE(INDEX($N$1:$W$1,MATCH(MAX($N239:$W239),$N239:$W239,0)),"Score: ",""),Fields!$A$2:$A$50,0)))</f>
        <v/>
      </c>
      <c r="Y239" s="14" t="str">
        <f aca="true">IF(COUNTA(I239:L239)=0,"",IF(LARGE($N239:$W239,2)=0,"-",INDEX(Fields!$B$2:$B$50,MATCH(SUBSTITUTE(INDEX($N$1:$W$1,IF(LARGE($N239:$W239,2)=MAX($N239:$W239),MATCH(MAX($N239:$W239),OFFSET($N239:$W239,0,MATCH(MAX($N239:$W239),$N239:$W239,0),1,10-MATCH(MAX($N239:$W239),$N239:$W239,0)),0)+MATCH(MAX($N239:$W239),$N239:$W239,0),MATCH(LARGE($N239:$W239,2),$N239:$W239,0))),"Score: ",""),Fields!$A$2:$A$50,0))))</f>
        <v/>
      </c>
      <c r="Z239" s="14" t="str">
        <f aca="false">IF(M239="","",IFERROR(INDEX('3 Hazed Questions'!$O$2:$O$23,MATCH(1,INDEX(('3 Hazed Questions'!$A$2:$A$23="Q5")*('3 Hazed Questions'!$C$2:$C$23=M239),0),0))&amp;"",""))</f>
        <v/>
      </c>
      <c r="AA239" s="18"/>
      <c r="AB239" s="18"/>
      <c r="AC239" s="19"/>
      <c r="AD239" s="19"/>
      <c r="AE239" s="18"/>
      <c r="AF239" s="18"/>
      <c r="AG239" s="18"/>
    </row>
    <row r="240" customFormat="false" ht="15" hidden="false" customHeight="false" outlineLevel="0" collapsed="false">
      <c r="A240" s="18"/>
      <c r="B240" s="19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4" t="str">
        <f aca="false">IF(COUNTA(I240:L240)=0,"",SUMIFS('3 Hazed Questions'!$E$2:$E$23,'3 Hazed Questions'!$A$2:$A$23,"Q1",'3 Hazed Questions'!$C$2:$C$23,I240)+SUMIFS('3 Hazed Questions'!$E$2:$E$23,'3 Hazed Questions'!$A$2:$A$23,"Q2",'3 Hazed Questions'!$C$2:$C$23,J240)+SUMIFS('3 Hazed Questions'!$E$2:$E$23,'3 Hazed Questions'!$A$2:$A$23,"Q3",'3 Hazed Questions'!$C$2:$C$23,K240)+SUMIFS('3 Hazed Questions'!$E$2:$E$23,'3 Hazed Questions'!$A$2:$A$23,"Q4",'3 Hazed Questions'!$C$2:$C$23,L240))</f>
        <v/>
      </c>
      <c r="O240" s="14" t="str">
        <f aca="false">IF(COUNTA(I240:L240)=0,"",SUMIFS('3 Hazed Questions'!$F$2:$F$23,'3 Hazed Questions'!$A$2:$A$23,"Q1",'3 Hazed Questions'!$C$2:$C$23,I240)+SUMIFS('3 Hazed Questions'!$F$2:$F$23,'3 Hazed Questions'!$A$2:$A$23,"Q2",'3 Hazed Questions'!$C$2:$C$23,J240)+SUMIFS('3 Hazed Questions'!$F$2:$F$23,'3 Hazed Questions'!$A$2:$A$23,"Q3",'3 Hazed Questions'!$C$2:$C$23,K240)+SUMIFS('3 Hazed Questions'!$F$2:$F$23,'3 Hazed Questions'!$A$2:$A$23,"Q4",'3 Hazed Questions'!$C$2:$C$23,L240))</f>
        <v/>
      </c>
      <c r="P240" s="14" t="str">
        <f aca="false">IF(COUNTA(I240:L240)=0,"",SUMIFS('3 Hazed Questions'!$G$2:$G$23,'3 Hazed Questions'!$A$2:$A$23,"Q1",'3 Hazed Questions'!$C$2:$C$23,I240)+SUMIFS('3 Hazed Questions'!$G$2:$G$23,'3 Hazed Questions'!$A$2:$A$23,"Q2",'3 Hazed Questions'!$C$2:$C$23,J240)+SUMIFS('3 Hazed Questions'!$G$2:$G$23,'3 Hazed Questions'!$A$2:$A$23,"Q3",'3 Hazed Questions'!$C$2:$C$23,K240)+SUMIFS('3 Hazed Questions'!$G$2:$G$23,'3 Hazed Questions'!$A$2:$A$23,"Q4",'3 Hazed Questions'!$C$2:$C$23,L240))</f>
        <v/>
      </c>
      <c r="Q240" s="14" t="str">
        <f aca="false">IF(COUNTA(I240:L240)=0,"",SUMIFS('3 Hazed Questions'!$H$2:$H$23,'3 Hazed Questions'!$A$2:$A$23,"Q1",'3 Hazed Questions'!$C$2:$C$23,I240)+SUMIFS('3 Hazed Questions'!$H$2:$H$23,'3 Hazed Questions'!$A$2:$A$23,"Q2",'3 Hazed Questions'!$C$2:$C$23,J240)+SUMIFS('3 Hazed Questions'!$H$2:$H$23,'3 Hazed Questions'!$A$2:$A$23,"Q3",'3 Hazed Questions'!$C$2:$C$23,K240)+SUMIFS('3 Hazed Questions'!$H$2:$H$23,'3 Hazed Questions'!$A$2:$A$23,"Q4",'3 Hazed Questions'!$C$2:$C$23,L240))</f>
        <v/>
      </c>
      <c r="R240" s="14" t="str">
        <f aca="false">IF(COUNTA(I240:L240)=0,"",SUMIFS('3 Hazed Questions'!$I$2:$I$23,'3 Hazed Questions'!$A$2:$A$23,"Q1",'3 Hazed Questions'!$C$2:$C$23,I240)+SUMIFS('3 Hazed Questions'!$I$2:$I$23,'3 Hazed Questions'!$A$2:$A$23,"Q2",'3 Hazed Questions'!$C$2:$C$23,J240)+SUMIFS('3 Hazed Questions'!$I$2:$I$23,'3 Hazed Questions'!$A$2:$A$23,"Q3",'3 Hazed Questions'!$C$2:$C$23,K240)+SUMIFS('3 Hazed Questions'!$I$2:$I$23,'3 Hazed Questions'!$A$2:$A$23,"Q4",'3 Hazed Questions'!$C$2:$C$23,L240))</f>
        <v/>
      </c>
      <c r="S240" s="14" t="str">
        <f aca="false">IF(COUNTA(I240:L240)=0,"",SUMIFS('3 Hazed Questions'!$J$2:$J$23,'3 Hazed Questions'!$A$2:$A$23,"Q1",'3 Hazed Questions'!$C$2:$C$23,I240)+SUMIFS('3 Hazed Questions'!$J$2:$J$23,'3 Hazed Questions'!$A$2:$A$23,"Q2",'3 Hazed Questions'!$C$2:$C$23,J240)+SUMIFS('3 Hazed Questions'!$J$2:$J$23,'3 Hazed Questions'!$A$2:$A$23,"Q3",'3 Hazed Questions'!$C$2:$C$23,K240)+SUMIFS('3 Hazed Questions'!$J$2:$J$23,'3 Hazed Questions'!$A$2:$A$23,"Q4",'3 Hazed Questions'!$C$2:$C$23,L240))</f>
        <v/>
      </c>
      <c r="T240" s="14" t="str">
        <f aca="false">IF(COUNTA(I240:L240)=0,"",SUMIFS('3 Hazed Questions'!$K$2:$K$23,'3 Hazed Questions'!$A$2:$A$23,"Q1",'3 Hazed Questions'!$C$2:$C$23,I240)+SUMIFS('3 Hazed Questions'!$K$2:$K$23,'3 Hazed Questions'!$A$2:$A$23,"Q2",'3 Hazed Questions'!$C$2:$C$23,J240)+SUMIFS('3 Hazed Questions'!$K$2:$K$23,'3 Hazed Questions'!$A$2:$A$23,"Q3",'3 Hazed Questions'!$C$2:$C$23,K240)+SUMIFS('3 Hazed Questions'!$K$2:$K$23,'3 Hazed Questions'!$A$2:$A$23,"Q4",'3 Hazed Questions'!$C$2:$C$23,L240))</f>
        <v/>
      </c>
      <c r="U240" s="14" t="str">
        <f aca="false">IF(COUNTA(I240:L240)=0,"",SUMIFS('3 Hazed Questions'!$L$2:$L$23,'3 Hazed Questions'!$A$2:$A$23,"Q1",'3 Hazed Questions'!$C$2:$C$23,I240)+SUMIFS('3 Hazed Questions'!$L$2:$L$23,'3 Hazed Questions'!$A$2:$A$23,"Q2",'3 Hazed Questions'!$C$2:$C$23,J240)+SUMIFS('3 Hazed Questions'!$L$2:$L$23,'3 Hazed Questions'!$A$2:$A$23,"Q3",'3 Hazed Questions'!$C$2:$C$23,K240)+SUMIFS('3 Hazed Questions'!$L$2:$L$23,'3 Hazed Questions'!$A$2:$A$23,"Q4",'3 Hazed Questions'!$C$2:$C$23,L240))</f>
        <v/>
      </c>
      <c r="V240" s="14" t="str">
        <f aca="false">IF(COUNTA(I240:L240)=0,"",SUMIFS('3 Hazed Questions'!$M$2:$M$23,'3 Hazed Questions'!$A$2:$A$23,"Q1",'3 Hazed Questions'!$C$2:$C$23,I240)+SUMIFS('3 Hazed Questions'!$M$2:$M$23,'3 Hazed Questions'!$A$2:$A$23,"Q2",'3 Hazed Questions'!$C$2:$C$23,J240)+SUMIFS('3 Hazed Questions'!$M$2:$M$23,'3 Hazed Questions'!$A$2:$A$23,"Q3",'3 Hazed Questions'!$C$2:$C$23,K240)+SUMIFS('3 Hazed Questions'!$M$2:$M$23,'3 Hazed Questions'!$A$2:$A$23,"Q4",'3 Hazed Questions'!$C$2:$C$23,L240))</f>
        <v/>
      </c>
      <c r="W240" s="14" t="str">
        <f aca="false">IF(COUNTA(I240:L240)=0,"",SUMIFS('3 Hazed Questions'!$N$2:$N$23,'3 Hazed Questions'!$A$2:$A$23,"Q1",'3 Hazed Questions'!$C$2:$C$23,I240)+SUMIFS('3 Hazed Questions'!$N$2:$N$23,'3 Hazed Questions'!$A$2:$A$23,"Q2",'3 Hazed Questions'!$C$2:$C$23,J240)+SUMIFS('3 Hazed Questions'!$N$2:$N$23,'3 Hazed Questions'!$A$2:$A$23,"Q3",'3 Hazed Questions'!$C$2:$C$23,K240)+SUMIFS('3 Hazed Questions'!$N$2:$N$23,'3 Hazed Questions'!$A$2:$A$23,"Q4",'3 Hazed Questions'!$C$2:$C$23,L240))</f>
        <v/>
      </c>
      <c r="X240" s="14" t="str">
        <f aca="false">IF(COUNTA(I240:L240)=0,"",INDEX(Fields!$B$2:$B$50,MATCH(SUBSTITUTE(INDEX($N$1:$W$1,MATCH(MAX($N240:$W240),$N240:$W240,0)),"Score: ",""),Fields!$A$2:$A$50,0)))</f>
        <v/>
      </c>
      <c r="Y240" s="14" t="str">
        <f aca="true">IF(COUNTA(I240:L240)=0,"",IF(LARGE($N240:$W240,2)=0,"-",INDEX(Fields!$B$2:$B$50,MATCH(SUBSTITUTE(INDEX($N$1:$W$1,IF(LARGE($N240:$W240,2)=MAX($N240:$W240),MATCH(MAX($N240:$W240),OFFSET($N240:$W240,0,MATCH(MAX($N240:$W240),$N240:$W240,0),1,10-MATCH(MAX($N240:$W240),$N240:$W240,0)),0)+MATCH(MAX($N240:$W240),$N240:$W240,0),MATCH(LARGE($N240:$W240,2),$N240:$W240,0))),"Score: ",""),Fields!$A$2:$A$50,0))))</f>
        <v/>
      </c>
      <c r="Z240" s="14" t="str">
        <f aca="false">IF(M240="","",IFERROR(INDEX('3 Hazed Questions'!$O$2:$O$23,MATCH(1,INDEX(('3 Hazed Questions'!$A$2:$A$23="Q5")*('3 Hazed Questions'!$C$2:$C$23=M240),0),0))&amp;"",""))</f>
        <v/>
      </c>
      <c r="AA240" s="18"/>
      <c r="AB240" s="18"/>
      <c r="AC240" s="19"/>
      <c r="AD240" s="19"/>
      <c r="AE240" s="18"/>
      <c r="AF240" s="18"/>
      <c r="AG240" s="18"/>
    </row>
    <row r="241" customFormat="false" ht="15" hidden="false" customHeight="false" outlineLevel="0" collapsed="false">
      <c r="A241" s="18"/>
      <c r="B241" s="19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4" t="str">
        <f aca="false">IF(COUNTA(I241:L241)=0,"",SUMIFS('3 Hazed Questions'!$E$2:$E$23,'3 Hazed Questions'!$A$2:$A$23,"Q1",'3 Hazed Questions'!$C$2:$C$23,I241)+SUMIFS('3 Hazed Questions'!$E$2:$E$23,'3 Hazed Questions'!$A$2:$A$23,"Q2",'3 Hazed Questions'!$C$2:$C$23,J241)+SUMIFS('3 Hazed Questions'!$E$2:$E$23,'3 Hazed Questions'!$A$2:$A$23,"Q3",'3 Hazed Questions'!$C$2:$C$23,K241)+SUMIFS('3 Hazed Questions'!$E$2:$E$23,'3 Hazed Questions'!$A$2:$A$23,"Q4",'3 Hazed Questions'!$C$2:$C$23,L241))</f>
        <v/>
      </c>
      <c r="O241" s="14" t="str">
        <f aca="false">IF(COUNTA(I241:L241)=0,"",SUMIFS('3 Hazed Questions'!$F$2:$F$23,'3 Hazed Questions'!$A$2:$A$23,"Q1",'3 Hazed Questions'!$C$2:$C$23,I241)+SUMIFS('3 Hazed Questions'!$F$2:$F$23,'3 Hazed Questions'!$A$2:$A$23,"Q2",'3 Hazed Questions'!$C$2:$C$23,J241)+SUMIFS('3 Hazed Questions'!$F$2:$F$23,'3 Hazed Questions'!$A$2:$A$23,"Q3",'3 Hazed Questions'!$C$2:$C$23,K241)+SUMIFS('3 Hazed Questions'!$F$2:$F$23,'3 Hazed Questions'!$A$2:$A$23,"Q4",'3 Hazed Questions'!$C$2:$C$23,L241))</f>
        <v/>
      </c>
      <c r="P241" s="14" t="str">
        <f aca="false">IF(COUNTA(I241:L241)=0,"",SUMIFS('3 Hazed Questions'!$G$2:$G$23,'3 Hazed Questions'!$A$2:$A$23,"Q1",'3 Hazed Questions'!$C$2:$C$23,I241)+SUMIFS('3 Hazed Questions'!$G$2:$G$23,'3 Hazed Questions'!$A$2:$A$23,"Q2",'3 Hazed Questions'!$C$2:$C$23,J241)+SUMIFS('3 Hazed Questions'!$G$2:$G$23,'3 Hazed Questions'!$A$2:$A$23,"Q3",'3 Hazed Questions'!$C$2:$C$23,K241)+SUMIFS('3 Hazed Questions'!$G$2:$G$23,'3 Hazed Questions'!$A$2:$A$23,"Q4",'3 Hazed Questions'!$C$2:$C$23,L241))</f>
        <v/>
      </c>
      <c r="Q241" s="14" t="str">
        <f aca="false">IF(COUNTA(I241:L241)=0,"",SUMIFS('3 Hazed Questions'!$H$2:$H$23,'3 Hazed Questions'!$A$2:$A$23,"Q1",'3 Hazed Questions'!$C$2:$C$23,I241)+SUMIFS('3 Hazed Questions'!$H$2:$H$23,'3 Hazed Questions'!$A$2:$A$23,"Q2",'3 Hazed Questions'!$C$2:$C$23,J241)+SUMIFS('3 Hazed Questions'!$H$2:$H$23,'3 Hazed Questions'!$A$2:$A$23,"Q3",'3 Hazed Questions'!$C$2:$C$23,K241)+SUMIFS('3 Hazed Questions'!$H$2:$H$23,'3 Hazed Questions'!$A$2:$A$23,"Q4",'3 Hazed Questions'!$C$2:$C$23,L241))</f>
        <v/>
      </c>
      <c r="R241" s="14" t="str">
        <f aca="false">IF(COUNTA(I241:L241)=0,"",SUMIFS('3 Hazed Questions'!$I$2:$I$23,'3 Hazed Questions'!$A$2:$A$23,"Q1",'3 Hazed Questions'!$C$2:$C$23,I241)+SUMIFS('3 Hazed Questions'!$I$2:$I$23,'3 Hazed Questions'!$A$2:$A$23,"Q2",'3 Hazed Questions'!$C$2:$C$23,J241)+SUMIFS('3 Hazed Questions'!$I$2:$I$23,'3 Hazed Questions'!$A$2:$A$23,"Q3",'3 Hazed Questions'!$C$2:$C$23,K241)+SUMIFS('3 Hazed Questions'!$I$2:$I$23,'3 Hazed Questions'!$A$2:$A$23,"Q4",'3 Hazed Questions'!$C$2:$C$23,L241))</f>
        <v/>
      </c>
      <c r="S241" s="14" t="str">
        <f aca="false">IF(COUNTA(I241:L241)=0,"",SUMIFS('3 Hazed Questions'!$J$2:$J$23,'3 Hazed Questions'!$A$2:$A$23,"Q1",'3 Hazed Questions'!$C$2:$C$23,I241)+SUMIFS('3 Hazed Questions'!$J$2:$J$23,'3 Hazed Questions'!$A$2:$A$23,"Q2",'3 Hazed Questions'!$C$2:$C$23,J241)+SUMIFS('3 Hazed Questions'!$J$2:$J$23,'3 Hazed Questions'!$A$2:$A$23,"Q3",'3 Hazed Questions'!$C$2:$C$23,K241)+SUMIFS('3 Hazed Questions'!$J$2:$J$23,'3 Hazed Questions'!$A$2:$A$23,"Q4",'3 Hazed Questions'!$C$2:$C$23,L241))</f>
        <v/>
      </c>
      <c r="T241" s="14" t="str">
        <f aca="false">IF(COUNTA(I241:L241)=0,"",SUMIFS('3 Hazed Questions'!$K$2:$K$23,'3 Hazed Questions'!$A$2:$A$23,"Q1",'3 Hazed Questions'!$C$2:$C$23,I241)+SUMIFS('3 Hazed Questions'!$K$2:$K$23,'3 Hazed Questions'!$A$2:$A$23,"Q2",'3 Hazed Questions'!$C$2:$C$23,J241)+SUMIFS('3 Hazed Questions'!$K$2:$K$23,'3 Hazed Questions'!$A$2:$A$23,"Q3",'3 Hazed Questions'!$C$2:$C$23,K241)+SUMIFS('3 Hazed Questions'!$K$2:$K$23,'3 Hazed Questions'!$A$2:$A$23,"Q4",'3 Hazed Questions'!$C$2:$C$23,L241))</f>
        <v/>
      </c>
      <c r="U241" s="14" t="str">
        <f aca="false">IF(COUNTA(I241:L241)=0,"",SUMIFS('3 Hazed Questions'!$L$2:$L$23,'3 Hazed Questions'!$A$2:$A$23,"Q1",'3 Hazed Questions'!$C$2:$C$23,I241)+SUMIFS('3 Hazed Questions'!$L$2:$L$23,'3 Hazed Questions'!$A$2:$A$23,"Q2",'3 Hazed Questions'!$C$2:$C$23,J241)+SUMIFS('3 Hazed Questions'!$L$2:$L$23,'3 Hazed Questions'!$A$2:$A$23,"Q3",'3 Hazed Questions'!$C$2:$C$23,K241)+SUMIFS('3 Hazed Questions'!$L$2:$L$23,'3 Hazed Questions'!$A$2:$A$23,"Q4",'3 Hazed Questions'!$C$2:$C$23,L241))</f>
        <v/>
      </c>
      <c r="V241" s="14" t="str">
        <f aca="false">IF(COUNTA(I241:L241)=0,"",SUMIFS('3 Hazed Questions'!$M$2:$M$23,'3 Hazed Questions'!$A$2:$A$23,"Q1",'3 Hazed Questions'!$C$2:$C$23,I241)+SUMIFS('3 Hazed Questions'!$M$2:$M$23,'3 Hazed Questions'!$A$2:$A$23,"Q2",'3 Hazed Questions'!$C$2:$C$23,J241)+SUMIFS('3 Hazed Questions'!$M$2:$M$23,'3 Hazed Questions'!$A$2:$A$23,"Q3",'3 Hazed Questions'!$C$2:$C$23,K241)+SUMIFS('3 Hazed Questions'!$M$2:$M$23,'3 Hazed Questions'!$A$2:$A$23,"Q4",'3 Hazed Questions'!$C$2:$C$23,L241))</f>
        <v/>
      </c>
      <c r="W241" s="14" t="str">
        <f aca="false">IF(COUNTA(I241:L241)=0,"",SUMIFS('3 Hazed Questions'!$N$2:$N$23,'3 Hazed Questions'!$A$2:$A$23,"Q1",'3 Hazed Questions'!$C$2:$C$23,I241)+SUMIFS('3 Hazed Questions'!$N$2:$N$23,'3 Hazed Questions'!$A$2:$A$23,"Q2",'3 Hazed Questions'!$C$2:$C$23,J241)+SUMIFS('3 Hazed Questions'!$N$2:$N$23,'3 Hazed Questions'!$A$2:$A$23,"Q3",'3 Hazed Questions'!$C$2:$C$23,K241)+SUMIFS('3 Hazed Questions'!$N$2:$N$23,'3 Hazed Questions'!$A$2:$A$23,"Q4",'3 Hazed Questions'!$C$2:$C$23,L241))</f>
        <v/>
      </c>
      <c r="X241" s="14" t="str">
        <f aca="false">IF(COUNTA(I241:L241)=0,"",INDEX(Fields!$B$2:$B$50,MATCH(SUBSTITUTE(INDEX($N$1:$W$1,MATCH(MAX($N241:$W241),$N241:$W241,0)),"Score: ",""),Fields!$A$2:$A$50,0)))</f>
        <v/>
      </c>
      <c r="Y241" s="14" t="str">
        <f aca="true">IF(COUNTA(I241:L241)=0,"",IF(LARGE($N241:$W241,2)=0,"-",INDEX(Fields!$B$2:$B$50,MATCH(SUBSTITUTE(INDEX($N$1:$W$1,IF(LARGE($N241:$W241,2)=MAX($N241:$W241),MATCH(MAX($N241:$W241),OFFSET($N241:$W241,0,MATCH(MAX($N241:$W241),$N241:$W241,0),1,10-MATCH(MAX($N241:$W241),$N241:$W241,0)),0)+MATCH(MAX($N241:$W241),$N241:$W241,0),MATCH(LARGE($N241:$W241,2),$N241:$W241,0))),"Score: ",""),Fields!$A$2:$A$50,0))))</f>
        <v/>
      </c>
      <c r="Z241" s="14" t="str">
        <f aca="false">IF(M241="","",IFERROR(INDEX('3 Hazed Questions'!$O$2:$O$23,MATCH(1,INDEX(('3 Hazed Questions'!$A$2:$A$23="Q5")*('3 Hazed Questions'!$C$2:$C$23=M241),0),0))&amp;"",""))</f>
        <v/>
      </c>
      <c r="AA241" s="18"/>
      <c r="AB241" s="18"/>
      <c r="AC241" s="19"/>
      <c r="AD241" s="19"/>
      <c r="AE241" s="18"/>
      <c r="AF241" s="18"/>
      <c r="AG241" s="18"/>
    </row>
    <row r="242" customFormat="false" ht="15" hidden="false" customHeight="false" outlineLevel="0" collapsed="false">
      <c r="A242" s="18"/>
      <c r="B242" s="19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4" t="str">
        <f aca="false">IF(COUNTA(I242:L242)=0,"",SUMIFS('3 Hazed Questions'!$E$2:$E$23,'3 Hazed Questions'!$A$2:$A$23,"Q1",'3 Hazed Questions'!$C$2:$C$23,I242)+SUMIFS('3 Hazed Questions'!$E$2:$E$23,'3 Hazed Questions'!$A$2:$A$23,"Q2",'3 Hazed Questions'!$C$2:$C$23,J242)+SUMIFS('3 Hazed Questions'!$E$2:$E$23,'3 Hazed Questions'!$A$2:$A$23,"Q3",'3 Hazed Questions'!$C$2:$C$23,K242)+SUMIFS('3 Hazed Questions'!$E$2:$E$23,'3 Hazed Questions'!$A$2:$A$23,"Q4",'3 Hazed Questions'!$C$2:$C$23,L242))</f>
        <v/>
      </c>
      <c r="O242" s="14" t="str">
        <f aca="false">IF(COUNTA(I242:L242)=0,"",SUMIFS('3 Hazed Questions'!$F$2:$F$23,'3 Hazed Questions'!$A$2:$A$23,"Q1",'3 Hazed Questions'!$C$2:$C$23,I242)+SUMIFS('3 Hazed Questions'!$F$2:$F$23,'3 Hazed Questions'!$A$2:$A$23,"Q2",'3 Hazed Questions'!$C$2:$C$23,J242)+SUMIFS('3 Hazed Questions'!$F$2:$F$23,'3 Hazed Questions'!$A$2:$A$23,"Q3",'3 Hazed Questions'!$C$2:$C$23,K242)+SUMIFS('3 Hazed Questions'!$F$2:$F$23,'3 Hazed Questions'!$A$2:$A$23,"Q4",'3 Hazed Questions'!$C$2:$C$23,L242))</f>
        <v/>
      </c>
      <c r="P242" s="14" t="str">
        <f aca="false">IF(COUNTA(I242:L242)=0,"",SUMIFS('3 Hazed Questions'!$G$2:$G$23,'3 Hazed Questions'!$A$2:$A$23,"Q1",'3 Hazed Questions'!$C$2:$C$23,I242)+SUMIFS('3 Hazed Questions'!$G$2:$G$23,'3 Hazed Questions'!$A$2:$A$23,"Q2",'3 Hazed Questions'!$C$2:$C$23,J242)+SUMIFS('3 Hazed Questions'!$G$2:$G$23,'3 Hazed Questions'!$A$2:$A$23,"Q3",'3 Hazed Questions'!$C$2:$C$23,K242)+SUMIFS('3 Hazed Questions'!$G$2:$G$23,'3 Hazed Questions'!$A$2:$A$23,"Q4",'3 Hazed Questions'!$C$2:$C$23,L242))</f>
        <v/>
      </c>
      <c r="Q242" s="14" t="str">
        <f aca="false">IF(COUNTA(I242:L242)=0,"",SUMIFS('3 Hazed Questions'!$H$2:$H$23,'3 Hazed Questions'!$A$2:$A$23,"Q1",'3 Hazed Questions'!$C$2:$C$23,I242)+SUMIFS('3 Hazed Questions'!$H$2:$H$23,'3 Hazed Questions'!$A$2:$A$23,"Q2",'3 Hazed Questions'!$C$2:$C$23,J242)+SUMIFS('3 Hazed Questions'!$H$2:$H$23,'3 Hazed Questions'!$A$2:$A$23,"Q3",'3 Hazed Questions'!$C$2:$C$23,K242)+SUMIFS('3 Hazed Questions'!$H$2:$H$23,'3 Hazed Questions'!$A$2:$A$23,"Q4",'3 Hazed Questions'!$C$2:$C$23,L242))</f>
        <v/>
      </c>
      <c r="R242" s="14" t="str">
        <f aca="false">IF(COUNTA(I242:L242)=0,"",SUMIFS('3 Hazed Questions'!$I$2:$I$23,'3 Hazed Questions'!$A$2:$A$23,"Q1",'3 Hazed Questions'!$C$2:$C$23,I242)+SUMIFS('3 Hazed Questions'!$I$2:$I$23,'3 Hazed Questions'!$A$2:$A$23,"Q2",'3 Hazed Questions'!$C$2:$C$23,J242)+SUMIFS('3 Hazed Questions'!$I$2:$I$23,'3 Hazed Questions'!$A$2:$A$23,"Q3",'3 Hazed Questions'!$C$2:$C$23,K242)+SUMIFS('3 Hazed Questions'!$I$2:$I$23,'3 Hazed Questions'!$A$2:$A$23,"Q4",'3 Hazed Questions'!$C$2:$C$23,L242))</f>
        <v/>
      </c>
      <c r="S242" s="14" t="str">
        <f aca="false">IF(COUNTA(I242:L242)=0,"",SUMIFS('3 Hazed Questions'!$J$2:$J$23,'3 Hazed Questions'!$A$2:$A$23,"Q1",'3 Hazed Questions'!$C$2:$C$23,I242)+SUMIFS('3 Hazed Questions'!$J$2:$J$23,'3 Hazed Questions'!$A$2:$A$23,"Q2",'3 Hazed Questions'!$C$2:$C$23,J242)+SUMIFS('3 Hazed Questions'!$J$2:$J$23,'3 Hazed Questions'!$A$2:$A$23,"Q3",'3 Hazed Questions'!$C$2:$C$23,K242)+SUMIFS('3 Hazed Questions'!$J$2:$J$23,'3 Hazed Questions'!$A$2:$A$23,"Q4",'3 Hazed Questions'!$C$2:$C$23,L242))</f>
        <v/>
      </c>
      <c r="T242" s="14" t="str">
        <f aca="false">IF(COUNTA(I242:L242)=0,"",SUMIFS('3 Hazed Questions'!$K$2:$K$23,'3 Hazed Questions'!$A$2:$A$23,"Q1",'3 Hazed Questions'!$C$2:$C$23,I242)+SUMIFS('3 Hazed Questions'!$K$2:$K$23,'3 Hazed Questions'!$A$2:$A$23,"Q2",'3 Hazed Questions'!$C$2:$C$23,J242)+SUMIFS('3 Hazed Questions'!$K$2:$K$23,'3 Hazed Questions'!$A$2:$A$23,"Q3",'3 Hazed Questions'!$C$2:$C$23,K242)+SUMIFS('3 Hazed Questions'!$K$2:$K$23,'3 Hazed Questions'!$A$2:$A$23,"Q4",'3 Hazed Questions'!$C$2:$C$23,L242))</f>
        <v/>
      </c>
      <c r="U242" s="14" t="str">
        <f aca="false">IF(COUNTA(I242:L242)=0,"",SUMIFS('3 Hazed Questions'!$L$2:$L$23,'3 Hazed Questions'!$A$2:$A$23,"Q1",'3 Hazed Questions'!$C$2:$C$23,I242)+SUMIFS('3 Hazed Questions'!$L$2:$L$23,'3 Hazed Questions'!$A$2:$A$23,"Q2",'3 Hazed Questions'!$C$2:$C$23,J242)+SUMIFS('3 Hazed Questions'!$L$2:$L$23,'3 Hazed Questions'!$A$2:$A$23,"Q3",'3 Hazed Questions'!$C$2:$C$23,K242)+SUMIFS('3 Hazed Questions'!$L$2:$L$23,'3 Hazed Questions'!$A$2:$A$23,"Q4",'3 Hazed Questions'!$C$2:$C$23,L242))</f>
        <v/>
      </c>
      <c r="V242" s="14" t="str">
        <f aca="false">IF(COUNTA(I242:L242)=0,"",SUMIFS('3 Hazed Questions'!$M$2:$M$23,'3 Hazed Questions'!$A$2:$A$23,"Q1",'3 Hazed Questions'!$C$2:$C$23,I242)+SUMIFS('3 Hazed Questions'!$M$2:$M$23,'3 Hazed Questions'!$A$2:$A$23,"Q2",'3 Hazed Questions'!$C$2:$C$23,J242)+SUMIFS('3 Hazed Questions'!$M$2:$M$23,'3 Hazed Questions'!$A$2:$A$23,"Q3",'3 Hazed Questions'!$C$2:$C$23,K242)+SUMIFS('3 Hazed Questions'!$M$2:$M$23,'3 Hazed Questions'!$A$2:$A$23,"Q4",'3 Hazed Questions'!$C$2:$C$23,L242))</f>
        <v/>
      </c>
      <c r="W242" s="14" t="str">
        <f aca="false">IF(COUNTA(I242:L242)=0,"",SUMIFS('3 Hazed Questions'!$N$2:$N$23,'3 Hazed Questions'!$A$2:$A$23,"Q1",'3 Hazed Questions'!$C$2:$C$23,I242)+SUMIFS('3 Hazed Questions'!$N$2:$N$23,'3 Hazed Questions'!$A$2:$A$23,"Q2",'3 Hazed Questions'!$C$2:$C$23,J242)+SUMIFS('3 Hazed Questions'!$N$2:$N$23,'3 Hazed Questions'!$A$2:$A$23,"Q3",'3 Hazed Questions'!$C$2:$C$23,K242)+SUMIFS('3 Hazed Questions'!$N$2:$N$23,'3 Hazed Questions'!$A$2:$A$23,"Q4",'3 Hazed Questions'!$C$2:$C$23,L242))</f>
        <v/>
      </c>
      <c r="X242" s="14" t="str">
        <f aca="false">IF(COUNTA(I242:L242)=0,"",INDEX(Fields!$B$2:$B$50,MATCH(SUBSTITUTE(INDEX($N$1:$W$1,MATCH(MAX($N242:$W242),$N242:$W242,0)),"Score: ",""),Fields!$A$2:$A$50,0)))</f>
        <v/>
      </c>
      <c r="Y242" s="14" t="str">
        <f aca="true">IF(COUNTA(I242:L242)=0,"",IF(LARGE($N242:$W242,2)=0,"-",INDEX(Fields!$B$2:$B$50,MATCH(SUBSTITUTE(INDEX($N$1:$W$1,IF(LARGE($N242:$W242,2)=MAX($N242:$W242),MATCH(MAX($N242:$W242),OFFSET($N242:$W242,0,MATCH(MAX($N242:$W242),$N242:$W242,0),1,10-MATCH(MAX($N242:$W242),$N242:$W242,0)),0)+MATCH(MAX($N242:$W242),$N242:$W242,0),MATCH(LARGE($N242:$W242,2),$N242:$W242,0))),"Score: ",""),Fields!$A$2:$A$50,0))))</f>
        <v/>
      </c>
      <c r="Z242" s="14" t="str">
        <f aca="false">IF(M242="","",IFERROR(INDEX('3 Hazed Questions'!$O$2:$O$23,MATCH(1,INDEX(('3 Hazed Questions'!$A$2:$A$23="Q5")*('3 Hazed Questions'!$C$2:$C$23=M242),0),0))&amp;"",""))</f>
        <v/>
      </c>
      <c r="AA242" s="18"/>
      <c r="AB242" s="18"/>
      <c r="AC242" s="19"/>
      <c r="AD242" s="19"/>
      <c r="AE242" s="18"/>
      <c r="AF242" s="18"/>
      <c r="AG242" s="18"/>
    </row>
    <row r="243" customFormat="false" ht="15" hidden="false" customHeight="false" outlineLevel="0" collapsed="false">
      <c r="A243" s="18"/>
      <c r="B243" s="19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4" t="str">
        <f aca="false">IF(COUNTA(I243:L243)=0,"",SUMIFS('3 Hazed Questions'!$E$2:$E$23,'3 Hazed Questions'!$A$2:$A$23,"Q1",'3 Hazed Questions'!$C$2:$C$23,I243)+SUMIFS('3 Hazed Questions'!$E$2:$E$23,'3 Hazed Questions'!$A$2:$A$23,"Q2",'3 Hazed Questions'!$C$2:$C$23,J243)+SUMIFS('3 Hazed Questions'!$E$2:$E$23,'3 Hazed Questions'!$A$2:$A$23,"Q3",'3 Hazed Questions'!$C$2:$C$23,K243)+SUMIFS('3 Hazed Questions'!$E$2:$E$23,'3 Hazed Questions'!$A$2:$A$23,"Q4",'3 Hazed Questions'!$C$2:$C$23,L243))</f>
        <v/>
      </c>
      <c r="O243" s="14" t="str">
        <f aca="false">IF(COUNTA(I243:L243)=0,"",SUMIFS('3 Hazed Questions'!$F$2:$F$23,'3 Hazed Questions'!$A$2:$A$23,"Q1",'3 Hazed Questions'!$C$2:$C$23,I243)+SUMIFS('3 Hazed Questions'!$F$2:$F$23,'3 Hazed Questions'!$A$2:$A$23,"Q2",'3 Hazed Questions'!$C$2:$C$23,J243)+SUMIFS('3 Hazed Questions'!$F$2:$F$23,'3 Hazed Questions'!$A$2:$A$23,"Q3",'3 Hazed Questions'!$C$2:$C$23,K243)+SUMIFS('3 Hazed Questions'!$F$2:$F$23,'3 Hazed Questions'!$A$2:$A$23,"Q4",'3 Hazed Questions'!$C$2:$C$23,L243))</f>
        <v/>
      </c>
      <c r="P243" s="14" t="str">
        <f aca="false">IF(COUNTA(I243:L243)=0,"",SUMIFS('3 Hazed Questions'!$G$2:$G$23,'3 Hazed Questions'!$A$2:$A$23,"Q1",'3 Hazed Questions'!$C$2:$C$23,I243)+SUMIFS('3 Hazed Questions'!$G$2:$G$23,'3 Hazed Questions'!$A$2:$A$23,"Q2",'3 Hazed Questions'!$C$2:$C$23,J243)+SUMIFS('3 Hazed Questions'!$G$2:$G$23,'3 Hazed Questions'!$A$2:$A$23,"Q3",'3 Hazed Questions'!$C$2:$C$23,K243)+SUMIFS('3 Hazed Questions'!$G$2:$G$23,'3 Hazed Questions'!$A$2:$A$23,"Q4",'3 Hazed Questions'!$C$2:$C$23,L243))</f>
        <v/>
      </c>
      <c r="Q243" s="14" t="str">
        <f aca="false">IF(COUNTA(I243:L243)=0,"",SUMIFS('3 Hazed Questions'!$H$2:$H$23,'3 Hazed Questions'!$A$2:$A$23,"Q1",'3 Hazed Questions'!$C$2:$C$23,I243)+SUMIFS('3 Hazed Questions'!$H$2:$H$23,'3 Hazed Questions'!$A$2:$A$23,"Q2",'3 Hazed Questions'!$C$2:$C$23,J243)+SUMIFS('3 Hazed Questions'!$H$2:$H$23,'3 Hazed Questions'!$A$2:$A$23,"Q3",'3 Hazed Questions'!$C$2:$C$23,K243)+SUMIFS('3 Hazed Questions'!$H$2:$H$23,'3 Hazed Questions'!$A$2:$A$23,"Q4",'3 Hazed Questions'!$C$2:$C$23,L243))</f>
        <v/>
      </c>
      <c r="R243" s="14" t="str">
        <f aca="false">IF(COUNTA(I243:L243)=0,"",SUMIFS('3 Hazed Questions'!$I$2:$I$23,'3 Hazed Questions'!$A$2:$A$23,"Q1",'3 Hazed Questions'!$C$2:$C$23,I243)+SUMIFS('3 Hazed Questions'!$I$2:$I$23,'3 Hazed Questions'!$A$2:$A$23,"Q2",'3 Hazed Questions'!$C$2:$C$23,J243)+SUMIFS('3 Hazed Questions'!$I$2:$I$23,'3 Hazed Questions'!$A$2:$A$23,"Q3",'3 Hazed Questions'!$C$2:$C$23,K243)+SUMIFS('3 Hazed Questions'!$I$2:$I$23,'3 Hazed Questions'!$A$2:$A$23,"Q4",'3 Hazed Questions'!$C$2:$C$23,L243))</f>
        <v/>
      </c>
      <c r="S243" s="14" t="str">
        <f aca="false">IF(COUNTA(I243:L243)=0,"",SUMIFS('3 Hazed Questions'!$J$2:$J$23,'3 Hazed Questions'!$A$2:$A$23,"Q1",'3 Hazed Questions'!$C$2:$C$23,I243)+SUMIFS('3 Hazed Questions'!$J$2:$J$23,'3 Hazed Questions'!$A$2:$A$23,"Q2",'3 Hazed Questions'!$C$2:$C$23,J243)+SUMIFS('3 Hazed Questions'!$J$2:$J$23,'3 Hazed Questions'!$A$2:$A$23,"Q3",'3 Hazed Questions'!$C$2:$C$23,K243)+SUMIFS('3 Hazed Questions'!$J$2:$J$23,'3 Hazed Questions'!$A$2:$A$23,"Q4",'3 Hazed Questions'!$C$2:$C$23,L243))</f>
        <v/>
      </c>
      <c r="T243" s="14" t="str">
        <f aca="false">IF(COUNTA(I243:L243)=0,"",SUMIFS('3 Hazed Questions'!$K$2:$K$23,'3 Hazed Questions'!$A$2:$A$23,"Q1",'3 Hazed Questions'!$C$2:$C$23,I243)+SUMIFS('3 Hazed Questions'!$K$2:$K$23,'3 Hazed Questions'!$A$2:$A$23,"Q2",'3 Hazed Questions'!$C$2:$C$23,J243)+SUMIFS('3 Hazed Questions'!$K$2:$K$23,'3 Hazed Questions'!$A$2:$A$23,"Q3",'3 Hazed Questions'!$C$2:$C$23,K243)+SUMIFS('3 Hazed Questions'!$K$2:$K$23,'3 Hazed Questions'!$A$2:$A$23,"Q4",'3 Hazed Questions'!$C$2:$C$23,L243))</f>
        <v/>
      </c>
      <c r="U243" s="14" t="str">
        <f aca="false">IF(COUNTA(I243:L243)=0,"",SUMIFS('3 Hazed Questions'!$L$2:$L$23,'3 Hazed Questions'!$A$2:$A$23,"Q1",'3 Hazed Questions'!$C$2:$C$23,I243)+SUMIFS('3 Hazed Questions'!$L$2:$L$23,'3 Hazed Questions'!$A$2:$A$23,"Q2",'3 Hazed Questions'!$C$2:$C$23,J243)+SUMIFS('3 Hazed Questions'!$L$2:$L$23,'3 Hazed Questions'!$A$2:$A$23,"Q3",'3 Hazed Questions'!$C$2:$C$23,K243)+SUMIFS('3 Hazed Questions'!$L$2:$L$23,'3 Hazed Questions'!$A$2:$A$23,"Q4",'3 Hazed Questions'!$C$2:$C$23,L243))</f>
        <v/>
      </c>
      <c r="V243" s="14" t="str">
        <f aca="false">IF(COUNTA(I243:L243)=0,"",SUMIFS('3 Hazed Questions'!$M$2:$M$23,'3 Hazed Questions'!$A$2:$A$23,"Q1",'3 Hazed Questions'!$C$2:$C$23,I243)+SUMIFS('3 Hazed Questions'!$M$2:$M$23,'3 Hazed Questions'!$A$2:$A$23,"Q2",'3 Hazed Questions'!$C$2:$C$23,J243)+SUMIFS('3 Hazed Questions'!$M$2:$M$23,'3 Hazed Questions'!$A$2:$A$23,"Q3",'3 Hazed Questions'!$C$2:$C$23,K243)+SUMIFS('3 Hazed Questions'!$M$2:$M$23,'3 Hazed Questions'!$A$2:$A$23,"Q4",'3 Hazed Questions'!$C$2:$C$23,L243))</f>
        <v/>
      </c>
      <c r="W243" s="14" t="str">
        <f aca="false">IF(COUNTA(I243:L243)=0,"",SUMIFS('3 Hazed Questions'!$N$2:$N$23,'3 Hazed Questions'!$A$2:$A$23,"Q1",'3 Hazed Questions'!$C$2:$C$23,I243)+SUMIFS('3 Hazed Questions'!$N$2:$N$23,'3 Hazed Questions'!$A$2:$A$23,"Q2",'3 Hazed Questions'!$C$2:$C$23,J243)+SUMIFS('3 Hazed Questions'!$N$2:$N$23,'3 Hazed Questions'!$A$2:$A$23,"Q3",'3 Hazed Questions'!$C$2:$C$23,K243)+SUMIFS('3 Hazed Questions'!$N$2:$N$23,'3 Hazed Questions'!$A$2:$A$23,"Q4",'3 Hazed Questions'!$C$2:$C$23,L243))</f>
        <v/>
      </c>
      <c r="X243" s="14" t="str">
        <f aca="false">IF(COUNTA(I243:L243)=0,"",INDEX(Fields!$B$2:$B$50,MATCH(SUBSTITUTE(INDEX($N$1:$W$1,MATCH(MAX($N243:$W243),$N243:$W243,0)),"Score: ",""),Fields!$A$2:$A$50,0)))</f>
        <v/>
      </c>
      <c r="Y243" s="14" t="str">
        <f aca="true">IF(COUNTA(I243:L243)=0,"",IF(LARGE($N243:$W243,2)=0,"-",INDEX(Fields!$B$2:$B$50,MATCH(SUBSTITUTE(INDEX($N$1:$W$1,IF(LARGE($N243:$W243,2)=MAX($N243:$W243),MATCH(MAX($N243:$W243),OFFSET($N243:$W243,0,MATCH(MAX($N243:$W243),$N243:$W243,0),1,10-MATCH(MAX($N243:$W243),$N243:$W243,0)),0)+MATCH(MAX($N243:$W243),$N243:$W243,0),MATCH(LARGE($N243:$W243,2),$N243:$W243,0))),"Score: ",""),Fields!$A$2:$A$50,0))))</f>
        <v/>
      </c>
      <c r="Z243" s="14" t="str">
        <f aca="false">IF(M243="","",IFERROR(INDEX('3 Hazed Questions'!$O$2:$O$23,MATCH(1,INDEX(('3 Hazed Questions'!$A$2:$A$23="Q5")*('3 Hazed Questions'!$C$2:$C$23=M243),0),0))&amp;"",""))</f>
        <v/>
      </c>
      <c r="AA243" s="18"/>
      <c r="AB243" s="18"/>
      <c r="AC243" s="19"/>
      <c r="AD243" s="19"/>
      <c r="AE243" s="18"/>
      <c r="AF243" s="18"/>
      <c r="AG243" s="18"/>
    </row>
    <row r="244" customFormat="false" ht="15" hidden="false" customHeight="false" outlineLevel="0" collapsed="false">
      <c r="A244" s="18"/>
      <c r="B244" s="19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4" t="str">
        <f aca="false">IF(COUNTA(I244:L244)=0,"",SUMIFS('3 Hazed Questions'!$E$2:$E$23,'3 Hazed Questions'!$A$2:$A$23,"Q1",'3 Hazed Questions'!$C$2:$C$23,I244)+SUMIFS('3 Hazed Questions'!$E$2:$E$23,'3 Hazed Questions'!$A$2:$A$23,"Q2",'3 Hazed Questions'!$C$2:$C$23,J244)+SUMIFS('3 Hazed Questions'!$E$2:$E$23,'3 Hazed Questions'!$A$2:$A$23,"Q3",'3 Hazed Questions'!$C$2:$C$23,K244)+SUMIFS('3 Hazed Questions'!$E$2:$E$23,'3 Hazed Questions'!$A$2:$A$23,"Q4",'3 Hazed Questions'!$C$2:$C$23,L244))</f>
        <v/>
      </c>
      <c r="O244" s="14" t="str">
        <f aca="false">IF(COUNTA(I244:L244)=0,"",SUMIFS('3 Hazed Questions'!$F$2:$F$23,'3 Hazed Questions'!$A$2:$A$23,"Q1",'3 Hazed Questions'!$C$2:$C$23,I244)+SUMIFS('3 Hazed Questions'!$F$2:$F$23,'3 Hazed Questions'!$A$2:$A$23,"Q2",'3 Hazed Questions'!$C$2:$C$23,J244)+SUMIFS('3 Hazed Questions'!$F$2:$F$23,'3 Hazed Questions'!$A$2:$A$23,"Q3",'3 Hazed Questions'!$C$2:$C$23,K244)+SUMIFS('3 Hazed Questions'!$F$2:$F$23,'3 Hazed Questions'!$A$2:$A$23,"Q4",'3 Hazed Questions'!$C$2:$C$23,L244))</f>
        <v/>
      </c>
      <c r="P244" s="14" t="str">
        <f aca="false">IF(COUNTA(I244:L244)=0,"",SUMIFS('3 Hazed Questions'!$G$2:$G$23,'3 Hazed Questions'!$A$2:$A$23,"Q1",'3 Hazed Questions'!$C$2:$C$23,I244)+SUMIFS('3 Hazed Questions'!$G$2:$G$23,'3 Hazed Questions'!$A$2:$A$23,"Q2",'3 Hazed Questions'!$C$2:$C$23,J244)+SUMIFS('3 Hazed Questions'!$G$2:$G$23,'3 Hazed Questions'!$A$2:$A$23,"Q3",'3 Hazed Questions'!$C$2:$C$23,K244)+SUMIFS('3 Hazed Questions'!$G$2:$G$23,'3 Hazed Questions'!$A$2:$A$23,"Q4",'3 Hazed Questions'!$C$2:$C$23,L244))</f>
        <v/>
      </c>
      <c r="Q244" s="14" t="str">
        <f aca="false">IF(COUNTA(I244:L244)=0,"",SUMIFS('3 Hazed Questions'!$H$2:$H$23,'3 Hazed Questions'!$A$2:$A$23,"Q1",'3 Hazed Questions'!$C$2:$C$23,I244)+SUMIFS('3 Hazed Questions'!$H$2:$H$23,'3 Hazed Questions'!$A$2:$A$23,"Q2",'3 Hazed Questions'!$C$2:$C$23,J244)+SUMIFS('3 Hazed Questions'!$H$2:$H$23,'3 Hazed Questions'!$A$2:$A$23,"Q3",'3 Hazed Questions'!$C$2:$C$23,K244)+SUMIFS('3 Hazed Questions'!$H$2:$H$23,'3 Hazed Questions'!$A$2:$A$23,"Q4",'3 Hazed Questions'!$C$2:$C$23,L244))</f>
        <v/>
      </c>
      <c r="R244" s="14" t="str">
        <f aca="false">IF(COUNTA(I244:L244)=0,"",SUMIFS('3 Hazed Questions'!$I$2:$I$23,'3 Hazed Questions'!$A$2:$A$23,"Q1",'3 Hazed Questions'!$C$2:$C$23,I244)+SUMIFS('3 Hazed Questions'!$I$2:$I$23,'3 Hazed Questions'!$A$2:$A$23,"Q2",'3 Hazed Questions'!$C$2:$C$23,J244)+SUMIFS('3 Hazed Questions'!$I$2:$I$23,'3 Hazed Questions'!$A$2:$A$23,"Q3",'3 Hazed Questions'!$C$2:$C$23,K244)+SUMIFS('3 Hazed Questions'!$I$2:$I$23,'3 Hazed Questions'!$A$2:$A$23,"Q4",'3 Hazed Questions'!$C$2:$C$23,L244))</f>
        <v/>
      </c>
      <c r="S244" s="14" t="str">
        <f aca="false">IF(COUNTA(I244:L244)=0,"",SUMIFS('3 Hazed Questions'!$J$2:$J$23,'3 Hazed Questions'!$A$2:$A$23,"Q1",'3 Hazed Questions'!$C$2:$C$23,I244)+SUMIFS('3 Hazed Questions'!$J$2:$J$23,'3 Hazed Questions'!$A$2:$A$23,"Q2",'3 Hazed Questions'!$C$2:$C$23,J244)+SUMIFS('3 Hazed Questions'!$J$2:$J$23,'3 Hazed Questions'!$A$2:$A$23,"Q3",'3 Hazed Questions'!$C$2:$C$23,K244)+SUMIFS('3 Hazed Questions'!$J$2:$J$23,'3 Hazed Questions'!$A$2:$A$23,"Q4",'3 Hazed Questions'!$C$2:$C$23,L244))</f>
        <v/>
      </c>
      <c r="T244" s="14" t="str">
        <f aca="false">IF(COUNTA(I244:L244)=0,"",SUMIFS('3 Hazed Questions'!$K$2:$K$23,'3 Hazed Questions'!$A$2:$A$23,"Q1",'3 Hazed Questions'!$C$2:$C$23,I244)+SUMIFS('3 Hazed Questions'!$K$2:$K$23,'3 Hazed Questions'!$A$2:$A$23,"Q2",'3 Hazed Questions'!$C$2:$C$23,J244)+SUMIFS('3 Hazed Questions'!$K$2:$K$23,'3 Hazed Questions'!$A$2:$A$23,"Q3",'3 Hazed Questions'!$C$2:$C$23,K244)+SUMIFS('3 Hazed Questions'!$K$2:$K$23,'3 Hazed Questions'!$A$2:$A$23,"Q4",'3 Hazed Questions'!$C$2:$C$23,L244))</f>
        <v/>
      </c>
      <c r="U244" s="14" t="str">
        <f aca="false">IF(COUNTA(I244:L244)=0,"",SUMIFS('3 Hazed Questions'!$L$2:$L$23,'3 Hazed Questions'!$A$2:$A$23,"Q1",'3 Hazed Questions'!$C$2:$C$23,I244)+SUMIFS('3 Hazed Questions'!$L$2:$L$23,'3 Hazed Questions'!$A$2:$A$23,"Q2",'3 Hazed Questions'!$C$2:$C$23,J244)+SUMIFS('3 Hazed Questions'!$L$2:$L$23,'3 Hazed Questions'!$A$2:$A$23,"Q3",'3 Hazed Questions'!$C$2:$C$23,K244)+SUMIFS('3 Hazed Questions'!$L$2:$L$23,'3 Hazed Questions'!$A$2:$A$23,"Q4",'3 Hazed Questions'!$C$2:$C$23,L244))</f>
        <v/>
      </c>
      <c r="V244" s="14" t="str">
        <f aca="false">IF(COUNTA(I244:L244)=0,"",SUMIFS('3 Hazed Questions'!$M$2:$M$23,'3 Hazed Questions'!$A$2:$A$23,"Q1",'3 Hazed Questions'!$C$2:$C$23,I244)+SUMIFS('3 Hazed Questions'!$M$2:$M$23,'3 Hazed Questions'!$A$2:$A$23,"Q2",'3 Hazed Questions'!$C$2:$C$23,J244)+SUMIFS('3 Hazed Questions'!$M$2:$M$23,'3 Hazed Questions'!$A$2:$A$23,"Q3",'3 Hazed Questions'!$C$2:$C$23,K244)+SUMIFS('3 Hazed Questions'!$M$2:$M$23,'3 Hazed Questions'!$A$2:$A$23,"Q4",'3 Hazed Questions'!$C$2:$C$23,L244))</f>
        <v/>
      </c>
      <c r="W244" s="14" t="str">
        <f aca="false">IF(COUNTA(I244:L244)=0,"",SUMIFS('3 Hazed Questions'!$N$2:$N$23,'3 Hazed Questions'!$A$2:$A$23,"Q1",'3 Hazed Questions'!$C$2:$C$23,I244)+SUMIFS('3 Hazed Questions'!$N$2:$N$23,'3 Hazed Questions'!$A$2:$A$23,"Q2",'3 Hazed Questions'!$C$2:$C$23,J244)+SUMIFS('3 Hazed Questions'!$N$2:$N$23,'3 Hazed Questions'!$A$2:$A$23,"Q3",'3 Hazed Questions'!$C$2:$C$23,K244)+SUMIFS('3 Hazed Questions'!$N$2:$N$23,'3 Hazed Questions'!$A$2:$A$23,"Q4",'3 Hazed Questions'!$C$2:$C$23,L244))</f>
        <v/>
      </c>
      <c r="X244" s="14" t="str">
        <f aca="false">IF(COUNTA(I244:L244)=0,"",INDEX(Fields!$B$2:$B$50,MATCH(SUBSTITUTE(INDEX($N$1:$W$1,MATCH(MAX($N244:$W244),$N244:$W244,0)),"Score: ",""),Fields!$A$2:$A$50,0)))</f>
        <v/>
      </c>
      <c r="Y244" s="14" t="str">
        <f aca="true">IF(COUNTA(I244:L244)=0,"",IF(LARGE($N244:$W244,2)=0,"-",INDEX(Fields!$B$2:$B$50,MATCH(SUBSTITUTE(INDEX($N$1:$W$1,IF(LARGE($N244:$W244,2)=MAX($N244:$W244),MATCH(MAX($N244:$W244),OFFSET($N244:$W244,0,MATCH(MAX($N244:$W244),$N244:$W244,0),1,10-MATCH(MAX($N244:$W244),$N244:$W244,0)),0)+MATCH(MAX($N244:$W244),$N244:$W244,0),MATCH(LARGE($N244:$W244,2),$N244:$W244,0))),"Score: ",""),Fields!$A$2:$A$50,0))))</f>
        <v/>
      </c>
      <c r="Z244" s="14" t="str">
        <f aca="false">IF(M244="","",IFERROR(INDEX('3 Hazed Questions'!$O$2:$O$23,MATCH(1,INDEX(('3 Hazed Questions'!$A$2:$A$23="Q5")*('3 Hazed Questions'!$C$2:$C$23=M244),0),0))&amp;"",""))</f>
        <v/>
      </c>
      <c r="AA244" s="18"/>
      <c r="AB244" s="18"/>
      <c r="AC244" s="19"/>
      <c r="AD244" s="19"/>
      <c r="AE244" s="18"/>
      <c r="AF244" s="18"/>
      <c r="AG244" s="18"/>
    </row>
    <row r="245" customFormat="false" ht="15" hidden="false" customHeight="false" outlineLevel="0" collapsed="false">
      <c r="A245" s="18"/>
      <c r="B245" s="19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4" t="str">
        <f aca="false">IF(COUNTA(I245:L245)=0,"",SUMIFS('3 Hazed Questions'!$E$2:$E$23,'3 Hazed Questions'!$A$2:$A$23,"Q1",'3 Hazed Questions'!$C$2:$C$23,I245)+SUMIFS('3 Hazed Questions'!$E$2:$E$23,'3 Hazed Questions'!$A$2:$A$23,"Q2",'3 Hazed Questions'!$C$2:$C$23,J245)+SUMIFS('3 Hazed Questions'!$E$2:$E$23,'3 Hazed Questions'!$A$2:$A$23,"Q3",'3 Hazed Questions'!$C$2:$C$23,K245)+SUMIFS('3 Hazed Questions'!$E$2:$E$23,'3 Hazed Questions'!$A$2:$A$23,"Q4",'3 Hazed Questions'!$C$2:$C$23,L245))</f>
        <v/>
      </c>
      <c r="O245" s="14" t="str">
        <f aca="false">IF(COUNTA(I245:L245)=0,"",SUMIFS('3 Hazed Questions'!$F$2:$F$23,'3 Hazed Questions'!$A$2:$A$23,"Q1",'3 Hazed Questions'!$C$2:$C$23,I245)+SUMIFS('3 Hazed Questions'!$F$2:$F$23,'3 Hazed Questions'!$A$2:$A$23,"Q2",'3 Hazed Questions'!$C$2:$C$23,J245)+SUMIFS('3 Hazed Questions'!$F$2:$F$23,'3 Hazed Questions'!$A$2:$A$23,"Q3",'3 Hazed Questions'!$C$2:$C$23,K245)+SUMIFS('3 Hazed Questions'!$F$2:$F$23,'3 Hazed Questions'!$A$2:$A$23,"Q4",'3 Hazed Questions'!$C$2:$C$23,L245))</f>
        <v/>
      </c>
      <c r="P245" s="14" t="str">
        <f aca="false">IF(COUNTA(I245:L245)=0,"",SUMIFS('3 Hazed Questions'!$G$2:$G$23,'3 Hazed Questions'!$A$2:$A$23,"Q1",'3 Hazed Questions'!$C$2:$C$23,I245)+SUMIFS('3 Hazed Questions'!$G$2:$G$23,'3 Hazed Questions'!$A$2:$A$23,"Q2",'3 Hazed Questions'!$C$2:$C$23,J245)+SUMIFS('3 Hazed Questions'!$G$2:$G$23,'3 Hazed Questions'!$A$2:$A$23,"Q3",'3 Hazed Questions'!$C$2:$C$23,K245)+SUMIFS('3 Hazed Questions'!$G$2:$G$23,'3 Hazed Questions'!$A$2:$A$23,"Q4",'3 Hazed Questions'!$C$2:$C$23,L245))</f>
        <v/>
      </c>
      <c r="Q245" s="14" t="str">
        <f aca="false">IF(COUNTA(I245:L245)=0,"",SUMIFS('3 Hazed Questions'!$H$2:$H$23,'3 Hazed Questions'!$A$2:$A$23,"Q1",'3 Hazed Questions'!$C$2:$C$23,I245)+SUMIFS('3 Hazed Questions'!$H$2:$H$23,'3 Hazed Questions'!$A$2:$A$23,"Q2",'3 Hazed Questions'!$C$2:$C$23,J245)+SUMIFS('3 Hazed Questions'!$H$2:$H$23,'3 Hazed Questions'!$A$2:$A$23,"Q3",'3 Hazed Questions'!$C$2:$C$23,K245)+SUMIFS('3 Hazed Questions'!$H$2:$H$23,'3 Hazed Questions'!$A$2:$A$23,"Q4",'3 Hazed Questions'!$C$2:$C$23,L245))</f>
        <v/>
      </c>
      <c r="R245" s="14" t="str">
        <f aca="false">IF(COUNTA(I245:L245)=0,"",SUMIFS('3 Hazed Questions'!$I$2:$I$23,'3 Hazed Questions'!$A$2:$A$23,"Q1",'3 Hazed Questions'!$C$2:$C$23,I245)+SUMIFS('3 Hazed Questions'!$I$2:$I$23,'3 Hazed Questions'!$A$2:$A$23,"Q2",'3 Hazed Questions'!$C$2:$C$23,J245)+SUMIFS('3 Hazed Questions'!$I$2:$I$23,'3 Hazed Questions'!$A$2:$A$23,"Q3",'3 Hazed Questions'!$C$2:$C$23,K245)+SUMIFS('3 Hazed Questions'!$I$2:$I$23,'3 Hazed Questions'!$A$2:$A$23,"Q4",'3 Hazed Questions'!$C$2:$C$23,L245))</f>
        <v/>
      </c>
      <c r="S245" s="14" t="str">
        <f aca="false">IF(COUNTA(I245:L245)=0,"",SUMIFS('3 Hazed Questions'!$J$2:$J$23,'3 Hazed Questions'!$A$2:$A$23,"Q1",'3 Hazed Questions'!$C$2:$C$23,I245)+SUMIFS('3 Hazed Questions'!$J$2:$J$23,'3 Hazed Questions'!$A$2:$A$23,"Q2",'3 Hazed Questions'!$C$2:$C$23,J245)+SUMIFS('3 Hazed Questions'!$J$2:$J$23,'3 Hazed Questions'!$A$2:$A$23,"Q3",'3 Hazed Questions'!$C$2:$C$23,K245)+SUMIFS('3 Hazed Questions'!$J$2:$J$23,'3 Hazed Questions'!$A$2:$A$23,"Q4",'3 Hazed Questions'!$C$2:$C$23,L245))</f>
        <v/>
      </c>
      <c r="T245" s="14" t="str">
        <f aca="false">IF(COUNTA(I245:L245)=0,"",SUMIFS('3 Hazed Questions'!$K$2:$K$23,'3 Hazed Questions'!$A$2:$A$23,"Q1",'3 Hazed Questions'!$C$2:$C$23,I245)+SUMIFS('3 Hazed Questions'!$K$2:$K$23,'3 Hazed Questions'!$A$2:$A$23,"Q2",'3 Hazed Questions'!$C$2:$C$23,J245)+SUMIFS('3 Hazed Questions'!$K$2:$K$23,'3 Hazed Questions'!$A$2:$A$23,"Q3",'3 Hazed Questions'!$C$2:$C$23,K245)+SUMIFS('3 Hazed Questions'!$K$2:$K$23,'3 Hazed Questions'!$A$2:$A$23,"Q4",'3 Hazed Questions'!$C$2:$C$23,L245))</f>
        <v/>
      </c>
      <c r="U245" s="14" t="str">
        <f aca="false">IF(COUNTA(I245:L245)=0,"",SUMIFS('3 Hazed Questions'!$L$2:$L$23,'3 Hazed Questions'!$A$2:$A$23,"Q1",'3 Hazed Questions'!$C$2:$C$23,I245)+SUMIFS('3 Hazed Questions'!$L$2:$L$23,'3 Hazed Questions'!$A$2:$A$23,"Q2",'3 Hazed Questions'!$C$2:$C$23,J245)+SUMIFS('3 Hazed Questions'!$L$2:$L$23,'3 Hazed Questions'!$A$2:$A$23,"Q3",'3 Hazed Questions'!$C$2:$C$23,K245)+SUMIFS('3 Hazed Questions'!$L$2:$L$23,'3 Hazed Questions'!$A$2:$A$23,"Q4",'3 Hazed Questions'!$C$2:$C$23,L245))</f>
        <v/>
      </c>
      <c r="V245" s="14" t="str">
        <f aca="false">IF(COUNTA(I245:L245)=0,"",SUMIFS('3 Hazed Questions'!$M$2:$M$23,'3 Hazed Questions'!$A$2:$A$23,"Q1",'3 Hazed Questions'!$C$2:$C$23,I245)+SUMIFS('3 Hazed Questions'!$M$2:$M$23,'3 Hazed Questions'!$A$2:$A$23,"Q2",'3 Hazed Questions'!$C$2:$C$23,J245)+SUMIFS('3 Hazed Questions'!$M$2:$M$23,'3 Hazed Questions'!$A$2:$A$23,"Q3",'3 Hazed Questions'!$C$2:$C$23,K245)+SUMIFS('3 Hazed Questions'!$M$2:$M$23,'3 Hazed Questions'!$A$2:$A$23,"Q4",'3 Hazed Questions'!$C$2:$C$23,L245))</f>
        <v/>
      </c>
      <c r="W245" s="14" t="str">
        <f aca="false">IF(COUNTA(I245:L245)=0,"",SUMIFS('3 Hazed Questions'!$N$2:$N$23,'3 Hazed Questions'!$A$2:$A$23,"Q1",'3 Hazed Questions'!$C$2:$C$23,I245)+SUMIFS('3 Hazed Questions'!$N$2:$N$23,'3 Hazed Questions'!$A$2:$A$23,"Q2",'3 Hazed Questions'!$C$2:$C$23,J245)+SUMIFS('3 Hazed Questions'!$N$2:$N$23,'3 Hazed Questions'!$A$2:$A$23,"Q3",'3 Hazed Questions'!$C$2:$C$23,K245)+SUMIFS('3 Hazed Questions'!$N$2:$N$23,'3 Hazed Questions'!$A$2:$A$23,"Q4",'3 Hazed Questions'!$C$2:$C$23,L245))</f>
        <v/>
      </c>
      <c r="X245" s="14" t="str">
        <f aca="false">IF(COUNTA(I245:L245)=0,"",INDEX(Fields!$B$2:$B$50,MATCH(SUBSTITUTE(INDEX($N$1:$W$1,MATCH(MAX($N245:$W245),$N245:$W245,0)),"Score: ",""),Fields!$A$2:$A$50,0)))</f>
        <v/>
      </c>
      <c r="Y245" s="14" t="str">
        <f aca="true">IF(COUNTA(I245:L245)=0,"",IF(LARGE($N245:$W245,2)=0,"-",INDEX(Fields!$B$2:$B$50,MATCH(SUBSTITUTE(INDEX($N$1:$W$1,IF(LARGE($N245:$W245,2)=MAX($N245:$W245),MATCH(MAX($N245:$W245),OFFSET($N245:$W245,0,MATCH(MAX($N245:$W245),$N245:$W245,0),1,10-MATCH(MAX($N245:$W245),$N245:$W245,0)),0)+MATCH(MAX($N245:$W245),$N245:$W245,0),MATCH(LARGE($N245:$W245,2),$N245:$W245,0))),"Score: ",""),Fields!$A$2:$A$50,0))))</f>
        <v/>
      </c>
      <c r="Z245" s="14" t="str">
        <f aca="false">IF(M245="","",IFERROR(INDEX('3 Hazed Questions'!$O$2:$O$23,MATCH(1,INDEX(('3 Hazed Questions'!$A$2:$A$23="Q5")*('3 Hazed Questions'!$C$2:$C$23=M245),0),0))&amp;"",""))</f>
        <v/>
      </c>
      <c r="AA245" s="18"/>
      <c r="AB245" s="18"/>
      <c r="AC245" s="19"/>
      <c r="AD245" s="19"/>
      <c r="AE245" s="18"/>
      <c r="AF245" s="18"/>
      <c r="AG245" s="18"/>
    </row>
    <row r="246" customFormat="false" ht="15" hidden="false" customHeight="false" outlineLevel="0" collapsed="false">
      <c r="A246" s="18"/>
      <c r="B246" s="19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4" t="str">
        <f aca="false">IF(COUNTA(I246:L246)=0,"",SUMIFS('3 Hazed Questions'!$E$2:$E$23,'3 Hazed Questions'!$A$2:$A$23,"Q1",'3 Hazed Questions'!$C$2:$C$23,I246)+SUMIFS('3 Hazed Questions'!$E$2:$E$23,'3 Hazed Questions'!$A$2:$A$23,"Q2",'3 Hazed Questions'!$C$2:$C$23,J246)+SUMIFS('3 Hazed Questions'!$E$2:$E$23,'3 Hazed Questions'!$A$2:$A$23,"Q3",'3 Hazed Questions'!$C$2:$C$23,K246)+SUMIFS('3 Hazed Questions'!$E$2:$E$23,'3 Hazed Questions'!$A$2:$A$23,"Q4",'3 Hazed Questions'!$C$2:$C$23,L246))</f>
        <v/>
      </c>
      <c r="O246" s="14" t="str">
        <f aca="false">IF(COUNTA(I246:L246)=0,"",SUMIFS('3 Hazed Questions'!$F$2:$F$23,'3 Hazed Questions'!$A$2:$A$23,"Q1",'3 Hazed Questions'!$C$2:$C$23,I246)+SUMIFS('3 Hazed Questions'!$F$2:$F$23,'3 Hazed Questions'!$A$2:$A$23,"Q2",'3 Hazed Questions'!$C$2:$C$23,J246)+SUMIFS('3 Hazed Questions'!$F$2:$F$23,'3 Hazed Questions'!$A$2:$A$23,"Q3",'3 Hazed Questions'!$C$2:$C$23,K246)+SUMIFS('3 Hazed Questions'!$F$2:$F$23,'3 Hazed Questions'!$A$2:$A$23,"Q4",'3 Hazed Questions'!$C$2:$C$23,L246))</f>
        <v/>
      </c>
      <c r="P246" s="14" t="str">
        <f aca="false">IF(COUNTA(I246:L246)=0,"",SUMIFS('3 Hazed Questions'!$G$2:$G$23,'3 Hazed Questions'!$A$2:$A$23,"Q1",'3 Hazed Questions'!$C$2:$C$23,I246)+SUMIFS('3 Hazed Questions'!$G$2:$G$23,'3 Hazed Questions'!$A$2:$A$23,"Q2",'3 Hazed Questions'!$C$2:$C$23,J246)+SUMIFS('3 Hazed Questions'!$G$2:$G$23,'3 Hazed Questions'!$A$2:$A$23,"Q3",'3 Hazed Questions'!$C$2:$C$23,K246)+SUMIFS('3 Hazed Questions'!$G$2:$G$23,'3 Hazed Questions'!$A$2:$A$23,"Q4",'3 Hazed Questions'!$C$2:$C$23,L246))</f>
        <v/>
      </c>
      <c r="Q246" s="14" t="str">
        <f aca="false">IF(COUNTA(I246:L246)=0,"",SUMIFS('3 Hazed Questions'!$H$2:$H$23,'3 Hazed Questions'!$A$2:$A$23,"Q1",'3 Hazed Questions'!$C$2:$C$23,I246)+SUMIFS('3 Hazed Questions'!$H$2:$H$23,'3 Hazed Questions'!$A$2:$A$23,"Q2",'3 Hazed Questions'!$C$2:$C$23,J246)+SUMIFS('3 Hazed Questions'!$H$2:$H$23,'3 Hazed Questions'!$A$2:$A$23,"Q3",'3 Hazed Questions'!$C$2:$C$23,K246)+SUMIFS('3 Hazed Questions'!$H$2:$H$23,'3 Hazed Questions'!$A$2:$A$23,"Q4",'3 Hazed Questions'!$C$2:$C$23,L246))</f>
        <v/>
      </c>
      <c r="R246" s="14" t="str">
        <f aca="false">IF(COUNTA(I246:L246)=0,"",SUMIFS('3 Hazed Questions'!$I$2:$I$23,'3 Hazed Questions'!$A$2:$A$23,"Q1",'3 Hazed Questions'!$C$2:$C$23,I246)+SUMIFS('3 Hazed Questions'!$I$2:$I$23,'3 Hazed Questions'!$A$2:$A$23,"Q2",'3 Hazed Questions'!$C$2:$C$23,J246)+SUMIFS('3 Hazed Questions'!$I$2:$I$23,'3 Hazed Questions'!$A$2:$A$23,"Q3",'3 Hazed Questions'!$C$2:$C$23,K246)+SUMIFS('3 Hazed Questions'!$I$2:$I$23,'3 Hazed Questions'!$A$2:$A$23,"Q4",'3 Hazed Questions'!$C$2:$C$23,L246))</f>
        <v/>
      </c>
      <c r="S246" s="14" t="str">
        <f aca="false">IF(COUNTA(I246:L246)=0,"",SUMIFS('3 Hazed Questions'!$J$2:$J$23,'3 Hazed Questions'!$A$2:$A$23,"Q1",'3 Hazed Questions'!$C$2:$C$23,I246)+SUMIFS('3 Hazed Questions'!$J$2:$J$23,'3 Hazed Questions'!$A$2:$A$23,"Q2",'3 Hazed Questions'!$C$2:$C$23,J246)+SUMIFS('3 Hazed Questions'!$J$2:$J$23,'3 Hazed Questions'!$A$2:$A$23,"Q3",'3 Hazed Questions'!$C$2:$C$23,K246)+SUMIFS('3 Hazed Questions'!$J$2:$J$23,'3 Hazed Questions'!$A$2:$A$23,"Q4",'3 Hazed Questions'!$C$2:$C$23,L246))</f>
        <v/>
      </c>
      <c r="T246" s="14" t="str">
        <f aca="false">IF(COUNTA(I246:L246)=0,"",SUMIFS('3 Hazed Questions'!$K$2:$K$23,'3 Hazed Questions'!$A$2:$A$23,"Q1",'3 Hazed Questions'!$C$2:$C$23,I246)+SUMIFS('3 Hazed Questions'!$K$2:$K$23,'3 Hazed Questions'!$A$2:$A$23,"Q2",'3 Hazed Questions'!$C$2:$C$23,J246)+SUMIFS('3 Hazed Questions'!$K$2:$K$23,'3 Hazed Questions'!$A$2:$A$23,"Q3",'3 Hazed Questions'!$C$2:$C$23,K246)+SUMIFS('3 Hazed Questions'!$K$2:$K$23,'3 Hazed Questions'!$A$2:$A$23,"Q4",'3 Hazed Questions'!$C$2:$C$23,L246))</f>
        <v/>
      </c>
      <c r="U246" s="14" t="str">
        <f aca="false">IF(COUNTA(I246:L246)=0,"",SUMIFS('3 Hazed Questions'!$L$2:$L$23,'3 Hazed Questions'!$A$2:$A$23,"Q1",'3 Hazed Questions'!$C$2:$C$23,I246)+SUMIFS('3 Hazed Questions'!$L$2:$L$23,'3 Hazed Questions'!$A$2:$A$23,"Q2",'3 Hazed Questions'!$C$2:$C$23,J246)+SUMIFS('3 Hazed Questions'!$L$2:$L$23,'3 Hazed Questions'!$A$2:$A$23,"Q3",'3 Hazed Questions'!$C$2:$C$23,K246)+SUMIFS('3 Hazed Questions'!$L$2:$L$23,'3 Hazed Questions'!$A$2:$A$23,"Q4",'3 Hazed Questions'!$C$2:$C$23,L246))</f>
        <v/>
      </c>
      <c r="V246" s="14" t="str">
        <f aca="false">IF(COUNTA(I246:L246)=0,"",SUMIFS('3 Hazed Questions'!$M$2:$M$23,'3 Hazed Questions'!$A$2:$A$23,"Q1",'3 Hazed Questions'!$C$2:$C$23,I246)+SUMIFS('3 Hazed Questions'!$M$2:$M$23,'3 Hazed Questions'!$A$2:$A$23,"Q2",'3 Hazed Questions'!$C$2:$C$23,J246)+SUMIFS('3 Hazed Questions'!$M$2:$M$23,'3 Hazed Questions'!$A$2:$A$23,"Q3",'3 Hazed Questions'!$C$2:$C$23,K246)+SUMIFS('3 Hazed Questions'!$M$2:$M$23,'3 Hazed Questions'!$A$2:$A$23,"Q4",'3 Hazed Questions'!$C$2:$C$23,L246))</f>
        <v/>
      </c>
      <c r="W246" s="14" t="str">
        <f aca="false">IF(COUNTA(I246:L246)=0,"",SUMIFS('3 Hazed Questions'!$N$2:$N$23,'3 Hazed Questions'!$A$2:$A$23,"Q1",'3 Hazed Questions'!$C$2:$C$23,I246)+SUMIFS('3 Hazed Questions'!$N$2:$N$23,'3 Hazed Questions'!$A$2:$A$23,"Q2",'3 Hazed Questions'!$C$2:$C$23,J246)+SUMIFS('3 Hazed Questions'!$N$2:$N$23,'3 Hazed Questions'!$A$2:$A$23,"Q3",'3 Hazed Questions'!$C$2:$C$23,K246)+SUMIFS('3 Hazed Questions'!$N$2:$N$23,'3 Hazed Questions'!$A$2:$A$23,"Q4",'3 Hazed Questions'!$C$2:$C$23,L246))</f>
        <v/>
      </c>
      <c r="X246" s="14" t="str">
        <f aca="false">IF(COUNTA(I246:L246)=0,"",INDEX(Fields!$B$2:$B$50,MATCH(SUBSTITUTE(INDEX($N$1:$W$1,MATCH(MAX($N246:$W246),$N246:$W246,0)),"Score: ",""),Fields!$A$2:$A$50,0)))</f>
        <v/>
      </c>
      <c r="Y246" s="14" t="str">
        <f aca="true">IF(COUNTA(I246:L246)=0,"",IF(LARGE($N246:$W246,2)=0,"-",INDEX(Fields!$B$2:$B$50,MATCH(SUBSTITUTE(INDEX($N$1:$W$1,IF(LARGE($N246:$W246,2)=MAX($N246:$W246),MATCH(MAX($N246:$W246),OFFSET($N246:$W246,0,MATCH(MAX($N246:$W246),$N246:$W246,0),1,10-MATCH(MAX($N246:$W246),$N246:$W246,0)),0)+MATCH(MAX($N246:$W246),$N246:$W246,0),MATCH(LARGE($N246:$W246,2),$N246:$W246,0))),"Score: ",""),Fields!$A$2:$A$50,0))))</f>
        <v/>
      </c>
      <c r="Z246" s="14" t="str">
        <f aca="false">IF(M246="","",IFERROR(INDEX('3 Hazed Questions'!$O$2:$O$23,MATCH(1,INDEX(('3 Hazed Questions'!$A$2:$A$23="Q5")*('3 Hazed Questions'!$C$2:$C$23=M246),0),0))&amp;"",""))</f>
        <v/>
      </c>
      <c r="AA246" s="18"/>
      <c r="AB246" s="18"/>
      <c r="AC246" s="19"/>
      <c r="AD246" s="19"/>
      <c r="AE246" s="18"/>
      <c r="AF246" s="18"/>
      <c r="AG246" s="18"/>
    </row>
    <row r="247" customFormat="false" ht="15" hidden="false" customHeight="false" outlineLevel="0" collapsed="false">
      <c r="A247" s="18"/>
      <c r="B247" s="19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4" t="str">
        <f aca="false">IF(COUNTA(I247:L247)=0,"",SUMIFS('3 Hazed Questions'!$E$2:$E$23,'3 Hazed Questions'!$A$2:$A$23,"Q1",'3 Hazed Questions'!$C$2:$C$23,I247)+SUMIFS('3 Hazed Questions'!$E$2:$E$23,'3 Hazed Questions'!$A$2:$A$23,"Q2",'3 Hazed Questions'!$C$2:$C$23,J247)+SUMIFS('3 Hazed Questions'!$E$2:$E$23,'3 Hazed Questions'!$A$2:$A$23,"Q3",'3 Hazed Questions'!$C$2:$C$23,K247)+SUMIFS('3 Hazed Questions'!$E$2:$E$23,'3 Hazed Questions'!$A$2:$A$23,"Q4",'3 Hazed Questions'!$C$2:$C$23,L247))</f>
        <v/>
      </c>
      <c r="O247" s="14" t="str">
        <f aca="false">IF(COUNTA(I247:L247)=0,"",SUMIFS('3 Hazed Questions'!$F$2:$F$23,'3 Hazed Questions'!$A$2:$A$23,"Q1",'3 Hazed Questions'!$C$2:$C$23,I247)+SUMIFS('3 Hazed Questions'!$F$2:$F$23,'3 Hazed Questions'!$A$2:$A$23,"Q2",'3 Hazed Questions'!$C$2:$C$23,J247)+SUMIFS('3 Hazed Questions'!$F$2:$F$23,'3 Hazed Questions'!$A$2:$A$23,"Q3",'3 Hazed Questions'!$C$2:$C$23,K247)+SUMIFS('3 Hazed Questions'!$F$2:$F$23,'3 Hazed Questions'!$A$2:$A$23,"Q4",'3 Hazed Questions'!$C$2:$C$23,L247))</f>
        <v/>
      </c>
      <c r="P247" s="14" t="str">
        <f aca="false">IF(COUNTA(I247:L247)=0,"",SUMIFS('3 Hazed Questions'!$G$2:$G$23,'3 Hazed Questions'!$A$2:$A$23,"Q1",'3 Hazed Questions'!$C$2:$C$23,I247)+SUMIFS('3 Hazed Questions'!$G$2:$G$23,'3 Hazed Questions'!$A$2:$A$23,"Q2",'3 Hazed Questions'!$C$2:$C$23,J247)+SUMIFS('3 Hazed Questions'!$G$2:$G$23,'3 Hazed Questions'!$A$2:$A$23,"Q3",'3 Hazed Questions'!$C$2:$C$23,K247)+SUMIFS('3 Hazed Questions'!$G$2:$G$23,'3 Hazed Questions'!$A$2:$A$23,"Q4",'3 Hazed Questions'!$C$2:$C$23,L247))</f>
        <v/>
      </c>
      <c r="Q247" s="14" t="str">
        <f aca="false">IF(COUNTA(I247:L247)=0,"",SUMIFS('3 Hazed Questions'!$H$2:$H$23,'3 Hazed Questions'!$A$2:$A$23,"Q1",'3 Hazed Questions'!$C$2:$C$23,I247)+SUMIFS('3 Hazed Questions'!$H$2:$H$23,'3 Hazed Questions'!$A$2:$A$23,"Q2",'3 Hazed Questions'!$C$2:$C$23,J247)+SUMIFS('3 Hazed Questions'!$H$2:$H$23,'3 Hazed Questions'!$A$2:$A$23,"Q3",'3 Hazed Questions'!$C$2:$C$23,K247)+SUMIFS('3 Hazed Questions'!$H$2:$H$23,'3 Hazed Questions'!$A$2:$A$23,"Q4",'3 Hazed Questions'!$C$2:$C$23,L247))</f>
        <v/>
      </c>
      <c r="R247" s="14" t="str">
        <f aca="false">IF(COUNTA(I247:L247)=0,"",SUMIFS('3 Hazed Questions'!$I$2:$I$23,'3 Hazed Questions'!$A$2:$A$23,"Q1",'3 Hazed Questions'!$C$2:$C$23,I247)+SUMIFS('3 Hazed Questions'!$I$2:$I$23,'3 Hazed Questions'!$A$2:$A$23,"Q2",'3 Hazed Questions'!$C$2:$C$23,J247)+SUMIFS('3 Hazed Questions'!$I$2:$I$23,'3 Hazed Questions'!$A$2:$A$23,"Q3",'3 Hazed Questions'!$C$2:$C$23,K247)+SUMIFS('3 Hazed Questions'!$I$2:$I$23,'3 Hazed Questions'!$A$2:$A$23,"Q4",'3 Hazed Questions'!$C$2:$C$23,L247))</f>
        <v/>
      </c>
      <c r="S247" s="14" t="str">
        <f aca="false">IF(COUNTA(I247:L247)=0,"",SUMIFS('3 Hazed Questions'!$J$2:$J$23,'3 Hazed Questions'!$A$2:$A$23,"Q1",'3 Hazed Questions'!$C$2:$C$23,I247)+SUMIFS('3 Hazed Questions'!$J$2:$J$23,'3 Hazed Questions'!$A$2:$A$23,"Q2",'3 Hazed Questions'!$C$2:$C$23,J247)+SUMIFS('3 Hazed Questions'!$J$2:$J$23,'3 Hazed Questions'!$A$2:$A$23,"Q3",'3 Hazed Questions'!$C$2:$C$23,K247)+SUMIFS('3 Hazed Questions'!$J$2:$J$23,'3 Hazed Questions'!$A$2:$A$23,"Q4",'3 Hazed Questions'!$C$2:$C$23,L247))</f>
        <v/>
      </c>
      <c r="T247" s="14" t="str">
        <f aca="false">IF(COUNTA(I247:L247)=0,"",SUMIFS('3 Hazed Questions'!$K$2:$K$23,'3 Hazed Questions'!$A$2:$A$23,"Q1",'3 Hazed Questions'!$C$2:$C$23,I247)+SUMIFS('3 Hazed Questions'!$K$2:$K$23,'3 Hazed Questions'!$A$2:$A$23,"Q2",'3 Hazed Questions'!$C$2:$C$23,J247)+SUMIFS('3 Hazed Questions'!$K$2:$K$23,'3 Hazed Questions'!$A$2:$A$23,"Q3",'3 Hazed Questions'!$C$2:$C$23,K247)+SUMIFS('3 Hazed Questions'!$K$2:$K$23,'3 Hazed Questions'!$A$2:$A$23,"Q4",'3 Hazed Questions'!$C$2:$C$23,L247))</f>
        <v/>
      </c>
      <c r="U247" s="14" t="str">
        <f aca="false">IF(COUNTA(I247:L247)=0,"",SUMIFS('3 Hazed Questions'!$L$2:$L$23,'3 Hazed Questions'!$A$2:$A$23,"Q1",'3 Hazed Questions'!$C$2:$C$23,I247)+SUMIFS('3 Hazed Questions'!$L$2:$L$23,'3 Hazed Questions'!$A$2:$A$23,"Q2",'3 Hazed Questions'!$C$2:$C$23,J247)+SUMIFS('3 Hazed Questions'!$L$2:$L$23,'3 Hazed Questions'!$A$2:$A$23,"Q3",'3 Hazed Questions'!$C$2:$C$23,K247)+SUMIFS('3 Hazed Questions'!$L$2:$L$23,'3 Hazed Questions'!$A$2:$A$23,"Q4",'3 Hazed Questions'!$C$2:$C$23,L247))</f>
        <v/>
      </c>
      <c r="V247" s="14" t="str">
        <f aca="false">IF(COUNTA(I247:L247)=0,"",SUMIFS('3 Hazed Questions'!$M$2:$M$23,'3 Hazed Questions'!$A$2:$A$23,"Q1",'3 Hazed Questions'!$C$2:$C$23,I247)+SUMIFS('3 Hazed Questions'!$M$2:$M$23,'3 Hazed Questions'!$A$2:$A$23,"Q2",'3 Hazed Questions'!$C$2:$C$23,J247)+SUMIFS('3 Hazed Questions'!$M$2:$M$23,'3 Hazed Questions'!$A$2:$A$23,"Q3",'3 Hazed Questions'!$C$2:$C$23,K247)+SUMIFS('3 Hazed Questions'!$M$2:$M$23,'3 Hazed Questions'!$A$2:$A$23,"Q4",'3 Hazed Questions'!$C$2:$C$23,L247))</f>
        <v/>
      </c>
      <c r="W247" s="14" t="str">
        <f aca="false">IF(COUNTA(I247:L247)=0,"",SUMIFS('3 Hazed Questions'!$N$2:$N$23,'3 Hazed Questions'!$A$2:$A$23,"Q1",'3 Hazed Questions'!$C$2:$C$23,I247)+SUMIFS('3 Hazed Questions'!$N$2:$N$23,'3 Hazed Questions'!$A$2:$A$23,"Q2",'3 Hazed Questions'!$C$2:$C$23,J247)+SUMIFS('3 Hazed Questions'!$N$2:$N$23,'3 Hazed Questions'!$A$2:$A$23,"Q3",'3 Hazed Questions'!$C$2:$C$23,K247)+SUMIFS('3 Hazed Questions'!$N$2:$N$23,'3 Hazed Questions'!$A$2:$A$23,"Q4",'3 Hazed Questions'!$C$2:$C$23,L247))</f>
        <v/>
      </c>
      <c r="X247" s="14" t="str">
        <f aca="false">IF(COUNTA(I247:L247)=0,"",INDEX(Fields!$B$2:$B$50,MATCH(SUBSTITUTE(INDEX($N$1:$W$1,MATCH(MAX($N247:$W247),$N247:$W247,0)),"Score: ",""),Fields!$A$2:$A$50,0)))</f>
        <v/>
      </c>
      <c r="Y247" s="14" t="str">
        <f aca="true">IF(COUNTA(I247:L247)=0,"",IF(LARGE($N247:$W247,2)=0,"-",INDEX(Fields!$B$2:$B$50,MATCH(SUBSTITUTE(INDEX($N$1:$W$1,IF(LARGE($N247:$W247,2)=MAX($N247:$W247),MATCH(MAX($N247:$W247),OFFSET($N247:$W247,0,MATCH(MAX($N247:$W247),$N247:$W247,0),1,10-MATCH(MAX($N247:$W247),$N247:$W247,0)),0)+MATCH(MAX($N247:$W247),$N247:$W247,0),MATCH(LARGE($N247:$W247,2),$N247:$W247,0))),"Score: ",""),Fields!$A$2:$A$50,0))))</f>
        <v/>
      </c>
      <c r="Z247" s="14" t="str">
        <f aca="false">IF(M247="","",IFERROR(INDEX('3 Hazed Questions'!$O$2:$O$23,MATCH(1,INDEX(('3 Hazed Questions'!$A$2:$A$23="Q5")*('3 Hazed Questions'!$C$2:$C$23=M247),0),0))&amp;"",""))</f>
        <v/>
      </c>
      <c r="AA247" s="18"/>
      <c r="AB247" s="18"/>
      <c r="AC247" s="19"/>
      <c r="AD247" s="19"/>
      <c r="AE247" s="18"/>
      <c r="AF247" s="18"/>
      <c r="AG247" s="18"/>
    </row>
    <row r="248" customFormat="false" ht="15" hidden="false" customHeight="false" outlineLevel="0" collapsed="false">
      <c r="A248" s="18"/>
      <c r="B248" s="19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4" t="str">
        <f aca="false">IF(COUNTA(I248:L248)=0,"",SUMIFS('3 Hazed Questions'!$E$2:$E$23,'3 Hazed Questions'!$A$2:$A$23,"Q1",'3 Hazed Questions'!$C$2:$C$23,I248)+SUMIFS('3 Hazed Questions'!$E$2:$E$23,'3 Hazed Questions'!$A$2:$A$23,"Q2",'3 Hazed Questions'!$C$2:$C$23,J248)+SUMIFS('3 Hazed Questions'!$E$2:$E$23,'3 Hazed Questions'!$A$2:$A$23,"Q3",'3 Hazed Questions'!$C$2:$C$23,K248)+SUMIFS('3 Hazed Questions'!$E$2:$E$23,'3 Hazed Questions'!$A$2:$A$23,"Q4",'3 Hazed Questions'!$C$2:$C$23,L248))</f>
        <v/>
      </c>
      <c r="O248" s="14" t="str">
        <f aca="false">IF(COUNTA(I248:L248)=0,"",SUMIFS('3 Hazed Questions'!$F$2:$F$23,'3 Hazed Questions'!$A$2:$A$23,"Q1",'3 Hazed Questions'!$C$2:$C$23,I248)+SUMIFS('3 Hazed Questions'!$F$2:$F$23,'3 Hazed Questions'!$A$2:$A$23,"Q2",'3 Hazed Questions'!$C$2:$C$23,J248)+SUMIFS('3 Hazed Questions'!$F$2:$F$23,'3 Hazed Questions'!$A$2:$A$23,"Q3",'3 Hazed Questions'!$C$2:$C$23,K248)+SUMIFS('3 Hazed Questions'!$F$2:$F$23,'3 Hazed Questions'!$A$2:$A$23,"Q4",'3 Hazed Questions'!$C$2:$C$23,L248))</f>
        <v/>
      </c>
      <c r="P248" s="14" t="str">
        <f aca="false">IF(COUNTA(I248:L248)=0,"",SUMIFS('3 Hazed Questions'!$G$2:$G$23,'3 Hazed Questions'!$A$2:$A$23,"Q1",'3 Hazed Questions'!$C$2:$C$23,I248)+SUMIFS('3 Hazed Questions'!$G$2:$G$23,'3 Hazed Questions'!$A$2:$A$23,"Q2",'3 Hazed Questions'!$C$2:$C$23,J248)+SUMIFS('3 Hazed Questions'!$G$2:$G$23,'3 Hazed Questions'!$A$2:$A$23,"Q3",'3 Hazed Questions'!$C$2:$C$23,K248)+SUMIFS('3 Hazed Questions'!$G$2:$G$23,'3 Hazed Questions'!$A$2:$A$23,"Q4",'3 Hazed Questions'!$C$2:$C$23,L248))</f>
        <v/>
      </c>
      <c r="Q248" s="14" t="str">
        <f aca="false">IF(COUNTA(I248:L248)=0,"",SUMIFS('3 Hazed Questions'!$H$2:$H$23,'3 Hazed Questions'!$A$2:$A$23,"Q1",'3 Hazed Questions'!$C$2:$C$23,I248)+SUMIFS('3 Hazed Questions'!$H$2:$H$23,'3 Hazed Questions'!$A$2:$A$23,"Q2",'3 Hazed Questions'!$C$2:$C$23,J248)+SUMIFS('3 Hazed Questions'!$H$2:$H$23,'3 Hazed Questions'!$A$2:$A$23,"Q3",'3 Hazed Questions'!$C$2:$C$23,K248)+SUMIFS('3 Hazed Questions'!$H$2:$H$23,'3 Hazed Questions'!$A$2:$A$23,"Q4",'3 Hazed Questions'!$C$2:$C$23,L248))</f>
        <v/>
      </c>
      <c r="R248" s="14" t="str">
        <f aca="false">IF(COUNTA(I248:L248)=0,"",SUMIFS('3 Hazed Questions'!$I$2:$I$23,'3 Hazed Questions'!$A$2:$A$23,"Q1",'3 Hazed Questions'!$C$2:$C$23,I248)+SUMIFS('3 Hazed Questions'!$I$2:$I$23,'3 Hazed Questions'!$A$2:$A$23,"Q2",'3 Hazed Questions'!$C$2:$C$23,J248)+SUMIFS('3 Hazed Questions'!$I$2:$I$23,'3 Hazed Questions'!$A$2:$A$23,"Q3",'3 Hazed Questions'!$C$2:$C$23,K248)+SUMIFS('3 Hazed Questions'!$I$2:$I$23,'3 Hazed Questions'!$A$2:$A$23,"Q4",'3 Hazed Questions'!$C$2:$C$23,L248))</f>
        <v/>
      </c>
      <c r="S248" s="14" t="str">
        <f aca="false">IF(COUNTA(I248:L248)=0,"",SUMIFS('3 Hazed Questions'!$J$2:$J$23,'3 Hazed Questions'!$A$2:$A$23,"Q1",'3 Hazed Questions'!$C$2:$C$23,I248)+SUMIFS('3 Hazed Questions'!$J$2:$J$23,'3 Hazed Questions'!$A$2:$A$23,"Q2",'3 Hazed Questions'!$C$2:$C$23,J248)+SUMIFS('3 Hazed Questions'!$J$2:$J$23,'3 Hazed Questions'!$A$2:$A$23,"Q3",'3 Hazed Questions'!$C$2:$C$23,K248)+SUMIFS('3 Hazed Questions'!$J$2:$J$23,'3 Hazed Questions'!$A$2:$A$23,"Q4",'3 Hazed Questions'!$C$2:$C$23,L248))</f>
        <v/>
      </c>
      <c r="T248" s="14" t="str">
        <f aca="false">IF(COUNTA(I248:L248)=0,"",SUMIFS('3 Hazed Questions'!$K$2:$K$23,'3 Hazed Questions'!$A$2:$A$23,"Q1",'3 Hazed Questions'!$C$2:$C$23,I248)+SUMIFS('3 Hazed Questions'!$K$2:$K$23,'3 Hazed Questions'!$A$2:$A$23,"Q2",'3 Hazed Questions'!$C$2:$C$23,J248)+SUMIFS('3 Hazed Questions'!$K$2:$K$23,'3 Hazed Questions'!$A$2:$A$23,"Q3",'3 Hazed Questions'!$C$2:$C$23,K248)+SUMIFS('3 Hazed Questions'!$K$2:$K$23,'3 Hazed Questions'!$A$2:$A$23,"Q4",'3 Hazed Questions'!$C$2:$C$23,L248))</f>
        <v/>
      </c>
      <c r="U248" s="14" t="str">
        <f aca="false">IF(COUNTA(I248:L248)=0,"",SUMIFS('3 Hazed Questions'!$L$2:$L$23,'3 Hazed Questions'!$A$2:$A$23,"Q1",'3 Hazed Questions'!$C$2:$C$23,I248)+SUMIFS('3 Hazed Questions'!$L$2:$L$23,'3 Hazed Questions'!$A$2:$A$23,"Q2",'3 Hazed Questions'!$C$2:$C$23,J248)+SUMIFS('3 Hazed Questions'!$L$2:$L$23,'3 Hazed Questions'!$A$2:$A$23,"Q3",'3 Hazed Questions'!$C$2:$C$23,K248)+SUMIFS('3 Hazed Questions'!$L$2:$L$23,'3 Hazed Questions'!$A$2:$A$23,"Q4",'3 Hazed Questions'!$C$2:$C$23,L248))</f>
        <v/>
      </c>
      <c r="V248" s="14" t="str">
        <f aca="false">IF(COUNTA(I248:L248)=0,"",SUMIFS('3 Hazed Questions'!$M$2:$M$23,'3 Hazed Questions'!$A$2:$A$23,"Q1",'3 Hazed Questions'!$C$2:$C$23,I248)+SUMIFS('3 Hazed Questions'!$M$2:$M$23,'3 Hazed Questions'!$A$2:$A$23,"Q2",'3 Hazed Questions'!$C$2:$C$23,J248)+SUMIFS('3 Hazed Questions'!$M$2:$M$23,'3 Hazed Questions'!$A$2:$A$23,"Q3",'3 Hazed Questions'!$C$2:$C$23,K248)+SUMIFS('3 Hazed Questions'!$M$2:$M$23,'3 Hazed Questions'!$A$2:$A$23,"Q4",'3 Hazed Questions'!$C$2:$C$23,L248))</f>
        <v/>
      </c>
      <c r="W248" s="14" t="str">
        <f aca="false">IF(COUNTA(I248:L248)=0,"",SUMIFS('3 Hazed Questions'!$N$2:$N$23,'3 Hazed Questions'!$A$2:$A$23,"Q1",'3 Hazed Questions'!$C$2:$C$23,I248)+SUMIFS('3 Hazed Questions'!$N$2:$N$23,'3 Hazed Questions'!$A$2:$A$23,"Q2",'3 Hazed Questions'!$C$2:$C$23,J248)+SUMIFS('3 Hazed Questions'!$N$2:$N$23,'3 Hazed Questions'!$A$2:$A$23,"Q3",'3 Hazed Questions'!$C$2:$C$23,K248)+SUMIFS('3 Hazed Questions'!$N$2:$N$23,'3 Hazed Questions'!$A$2:$A$23,"Q4",'3 Hazed Questions'!$C$2:$C$23,L248))</f>
        <v/>
      </c>
      <c r="X248" s="14" t="str">
        <f aca="false">IF(COUNTA(I248:L248)=0,"",INDEX(Fields!$B$2:$B$50,MATCH(SUBSTITUTE(INDEX($N$1:$W$1,MATCH(MAX($N248:$W248),$N248:$W248,0)),"Score: ",""),Fields!$A$2:$A$50,0)))</f>
        <v/>
      </c>
      <c r="Y248" s="14" t="str">
        <f aca="true">IF(COUNTA(I248:L248)=0,"",IF(LARGE($N248:$W248,2)=0,"-",INDEX(Fields!$B$2:$B$50,MATCH(SUBSTITUTE(INDEX($N$1:$W$1,IF(LARGE($N248:$W248,2)=MAX($N248:$W248),MATCH(MAX($N248:$W248),OFFSET($N248:$W248,0,MATCH(MAX($N248:$W248),$N248:$W248,0),1,10-MATCH(MAX($N248:$W248),$N248:$W248,0)),0)+MATCH(MAX($N248:$W248),$N248:$W248,0),MATCH(LARGE($N248:$W248,2),$N248:$W248,0))),"Score: ",""),Fields!$A$2:$A$50,0))))</f>
        <v/>
      </c>
      <c r="Z248" s="14" t="str">
        <f aca="false">IF(M248="","",IFERROR(INDEX('3 Hazed Questions'!$O$2:$O$23,MATCH(1,INDEX(('3 Hazed Questions'!$A$2:$A$23="Q5")*('3 Hazed Questions'!$C$2:$C$23=M248),0),0))&amp;"",""))</f>
        <v/>
      </c>
      <c r="AA248" s="18"/>
      <c r="AB248" s="18"/>
      <c r="AC248" s="19"/>
      <c r="AD248" s="19"/>
      <c r="AE248" s="18"/>
      <c r="AF248" s="18"/>
      <c r="AG248" s="18"/>
    </row>
    <row r="249" customFormat="false" ht="15" hidden="false" customHeight="false" outlineLevel="0" collapsed="false">
      <c r="A249" s="18"/>
      <c r="B249" s="19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4" t="str">
        <f aca="false">IF(COUNTA(I249:L249)=0,"",SUMIFS('3 Hazed Questions'!$E$2:$E$23,'3 Hazed Questions'!$A$2:$A$23,"Q1",'3 Hazed Questions'!$C$2:$C$23,I249)+SUMIFS('3 Hazed Questions'!$E$2:$E$23,'3 Hazed Questions'!$A$2:$A$23,"Q2",'3 Hazed Questions'!$C$2:$C$23,J249)+SUMIFS('3 Hazed Questions'!$E$2:$E$23,'3 Hazed Questions'!$A$2:$A$23,"Q3",'3 Hazed Questions'!$C$2:$C$23,K249)+SUMIFS('3 Hazed Questions'!$E$2:$E$23,'3 Hazed Questions'!$A$2:$A$23,"Q4",'3 Hazed Questions'!$C$2:$C$23,L249))</f>
        <v/>
      </c>
      <c r="O249" s="14" t="str">
        <f aca="false">IF(COUNTA(I249:L249)=0,"",SUMIFS('3 Hazed Questions'!$F$2:$F$23,'3 Hazed Questions'!$A$2:$A$23,"Q1",'3 Hazed Questions'!$C$2:$C$23,I249)+SUMIFS('3 Hazed Questions'!$F$2:$F$23,'3 Hazed Questions'!$A$2:$A$23,"Q2",'3 Hazed Questions'!$C$2:$C$23,J249)+SUMIFS('3 Hazed Questions'!$F$2:$F$23,'3 Hazed Questions'!$A$2:$A$23,"Q3",'3 Hazed Questions'!$C$2:$C$23,K249)+SUMIFS('3 Hazed Questions'!$F$2:$F$23,'3 Hazed Questions'!$A$2:$A$23,"Q4",'3 Hazed Questions'!$C$2:$C$23,L249))</f>
        <v/>
      </c>
      <c r="P249" s="14" t="str">
        <f aca="false">IF(COUNTA(I249:L249)=0,"",SUMIFS('3 Hazed Questions'!$G$2:$G$23,'3 Hazed Questions'!$A$2:$A$23,"Q1",'3 Hazed Questions'!$C$2:$C$23,I249)+SUMIFS('3 Hazed Questions'!$G$2:$G$23,'3 Hazed Questions'!$A$2:$A$23,"Q2",'3 Hazed Questions'!$C$2:$C$23,J249)+SUMIFS('3 Hazed Questions'!$G$2:$G$23,'3 Hazed Questions'!$A$2:$A$23,"Q3",'3 Hazed Questions'!$C$2:$C$23,K249)+SUMIFS('3 Hazed Questions'!$G$2:$G$23,'3 Hazed Questions'!$A$2:$A$23,"Q4",'3 Hazed Questions'!$C$2:$C$23,L249))</f>
        <v/>
      </c>
      <c r="Q249" s="14" t="str">
        <f aca="false">IF(COUNTA(I249:L249)=0,"",SUMIFS('3 Hazed Questions'!$H$2:$H$23,'3 Hazed Questions'!$A$2:$A$23,"Q1",'3 Hazed Questions'!$C$2:$C$23,I249)+SUMIFS('3 Hazed Questions'!$H$2:$H$23,'3 Hazed Questions'!$A$2:$A$23,"Q2",'3 Hazed Questions'!$C$2:$C$23,J249)+SUMIFS('3 Hazed Questions'!$H$2:$H$23,'3 Hazed Questions'!$A$2:$A$23,"Q3",'3 Hazed Questions'!$C$2:$C$23,K249)+SUMIFS('3 Hazed Questions'!$H$2:$H$23,'3 Hazed Questions'!$A$2:$A$23,"Q4",'3 Hazed Questions'!$C$2:$C$23,L249))</f>
        <v/>
      </c>
      <c r="R249" s="14" t="str">
        <f aca="false">IF(COUNTA(I249:L249)=0,"",SUMIFS('3 Hazed Questions'!$I$2:$I$23,'3 Hazed Questions'!$A$2:$A$23,"Q1",'3 Hazed Questions'!$C$2:$C$23,I249)+SUMIFS('3 Hazed Questions'!$I$2:$I$23,'3 Hazed Questions'!$A$2:$A$23,"Q2",'3 Hazed Questions'!$C$2:$C$23,J249)+SUMIFS('3 Hazed Questions'!$I$2:$I$23,'3 Hazed Questions'!$A$2:$A$23,"Q3",'3 Hazed Questions'!$C$2:$C$23,K249)+SUMIFS('3 Hazed Questions'!$I$2:$I$23,'3 Hazed Questions'!$A$2:$A$23,"Q4",'3 Hazed Questions'!$C$2:$C$23,L249))</f>
        <v/>
      </c>
      <c r="S249" s="14" t="str">
        <f aca="false">IF(COUNTA(I249:L249)=0,"",SUMIFS('3 Hazed Questions'!$J$2:$J$23,'3 Hazed Questions'!$A$2:$A$23,"Q1",'3 Hazed Questions'!$C$2:$C$23,I249)+SUMIFS('3 Hazed Questions'!$J$2:$J$23,'3 Hazed Questions'!$A$2:$A$23,"Q2",'3 Hazed Questions'!$C$2:$C$23,J249)+SUMIFS('3 Hazed Questions'!$J$2:$J$23,'3 Hazed Questions'!$A$2:$A$23,"Q3",'3 Hazed Questions'!$C$2:$C$23,K249)+SUMIFS('3 Hazed Questions'!$J$2:$J$23,'3 Hazed Questions'!$A$2:$A$23,"Q4",'3 Hazed Questions'!$C$2:$C$23,L249))</f>
        <v/>
      </c>
      <c r="T249" s="14" t="str">
        <f aca="false">IF(COUNTA(I249:L249)=0,"",SUMIFS('3 Hazed Questions'!$K$2:$K$23,'3 Hazed Questions'!$A$2:$A$23,"Q1",'3 Hazed Questions'!$C$2:$C$23,I249)+SUMIFS('3 Hazed Questions'!$K$2:$K$23,'3 Hazed Questions'!$A$2:$A$23,"Q2",'3 Hazed Questions'!$C$2:$C$23,J249)+SUMIFS('3 Hazed Questions'!$K$2:$K$23,'3 Hazed Questions'!$A$2:$A$23,"Q3",'3 Hazed Questions'!$C$2:$C$23,K249)+SUMIFS('3 Hazed Questions'!$K$2:$K$23,'3 Hazed Questions'!$A$2:$A$23,"Q4",'3 Hazed Questions'!$C$2:$C$23,L249))</f>
        <v/>
      </c>
      <c r="U249" s="14" t="str">
        <f aca="false">IF(COUNTA(I249:L249)=0,"",SUMIFS('3 Hazed Questions'!$L$2:$L$23,'3 Hazed Questions'!$A$2:$A$23,"Q1",'3 Hazed Questions'!$C$2:$C$23,I249)+SUMIFS('3 Hazed Questions'!$L$2:$L$23,'3 Hazed Questions'!$A$2:$A$23,"Q2",'3 Hazed Questions'!$C$2:$C$23,J249)+SUMIFS('3 Hazed Questions'!$L$2:$L$23,'3 Hazed Questions'!$A$2:$A$23,"Q3",'3 Hazed Questions'!$C$2:$C$23,K249)+SUMIFS('3 Hazed Questions'!$L$2:$L$23,'3 Hazed Questions'!$A$2:$A$23,"Q4",'3 Hazed Questions'!$C$2:$C$23,L249))</f>
        <v/>
      </c>
      <c r="V249" s="14" t="str">
        <f aca="false">IF(COUNTA(I249:L249)=0,"",SUMIFS('3 Hazed Questions'!$M$2:$M$23,'3 Hazed Questions'!$A$2:$A$23,"Q1",'3 Hazed Questions'!$C$2:$C$23,I249)+SUMIFS('3 Hazed Questions'!$M$2:$M$23,'3 Hazed Questions'!$A$2:$A$23,"Q2",'3 Hazed Questions'!$C$2:$C$23,J249)+SUMIFS('3 Hazed Questions'!$M$2:$M$23,'3 Hazed Questions'!$A$2:$A$23,"Q3",'3 Hazed Questions'!$C$2:$C$23,K249)+SUMIFS('3 Hazed Questions'!$M$2:$M$23,'3 Hazed Questions'!$A$2:$A$23,"Q4",'3 Hazed Questions'!$C$2:$C$23,L249))</f>
        <v/>
      </c>
      <c r="W249" s="14" t="str">
        <f aca="false">IF(COUNTA(I249:L249)=0,"",SUMIFS('3 Hazed Questions'!$N$2:$N$23,'3 Hazed Questions'!$A$2:$A$23,"Q1",'3 Hazed Questions'!$C$2:$C$23,I249)+SUMIFS('3 Hazed Questions'!$N$2:$N$23,'3 Hazed Questions'!$A$2:$A$23,"Q2",'3 Hazed Questions'!$C$2:$C$23,J249)+SUMIFS('3 Hazed Questions'!$N$2:$N$23,'3 Hazed Questions'!$A$2:$A$23,"Q3",'3 Hazed Questions'!$C$2:$C$23,K249)+SUMIFS('3 Hazed Questions'!$N$2:$N$23,'3 Hazed Questions'!$A$2:$A$23,"Q4",'3 Hazed Questions'!$C$2:$C$23,L249))</f>
        <v/>
      </c>
      <c r="X249" s="14" t="str">
        <f aca="false">IF(COUNTA(I249:L249)=0,"",INDEX(Fields!$B$2:$B$50,MATCH(SUBSTITUTE(INDEX($N$1:$W$1,MATCH(MAX($N249:$W249),$N249:$W249,0)),"Score: ",""),Fields!$A$2:$A$50,0)))</f>
        <v/>
      </c>
      <c r="Y249" s="14" t="str">
        <f aca="true">IF(COUNTA(I249:L249)=0,"",IF(LARGE($N249:$W249,2)=0,"-",INDEX(Fields!$B$2:$B$50,MATCH(SUBSTITUTE(INDEX($N$1:$W$1,IF(LARGE($N249:$W249,2)=MAX($N249:$W249),MATCH(MAX($N249:$W249),OFFSET($N249:$W249,0,MATCH(MAX($N249:$W249),$N249:$W249,0),1,10-MATCH(MAX($N249:$W249),$N249:$W249,0)),0)+MATCH(MAX($N249:$W249),$N249:$W249,0),MATCH(LARGE($N249:$W249,2),$N249:$W249,0))),"Score: ",""),Fields!$A$2:$A$50,0))))</f>
        <v/>
      </c>
      <c r="Z249" s="14" t="str">
        <f aca="false">IF(M249="","",IFERROR(INDEX('3 Hazed Questions'!$O$2:$O$23,MATCH(1,INDEX(('3 Hazed Questions'!$A$2:$A$23="Q5")*('3 Hazed Questions'!$C$2:$C$23=M249),0),0))&amp;"",""))</f>
        <v/>
      </c>
      <c r="AA249" s="18"/>
      <c r="AB249" s="18"/>
      <c r="AC249" s="19"/>
      <c r="AD249" s="19"/>
      <c r="AE249" s="18"/>
      <c r="AF249" s="18"/>
      <c r="AG249" s="18"/>
    </row>
    <row r="250" customFormat="false" ht="15" hidden="false" customHeight="false" outlineLevel="0" collapsed="false">
      <c r="A250" s="18"/>
      <c r="B250" s="19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4" t="str">
        <f aca="false">IF(COUNTA(I250:L250)=0,"",SUMIFS('3 Hazed Questions'!$E$2:$E$23,'3 Hazed Questions'!$A$2:$A$23,"Q1",'3 Hazed Questions'!$C$2:$C$23,I250)+SUMIFS('3 Hazed Questions'!$E$2:$E$23,'3 Hazed Questions'!$A$2:$A$23,"Q2",'3 Hazed Questions'!$C$2:$C$23,J250)+SUMIFS('3 Hazed Questions'!$E$2:$E$23,'3 Hazed Questions'!$A$2:$A$23,"Q3",'3 Hazed Questions'!$C$2:$C$23,K250)+SUMIFS('3 Hazed Questions'!$E$2:$E$23,'3 Hazed Questions'!$A$2:$A$23,"Q4",'3 Hazed Questions'!$C$2:$C$23,L250))</f>
        <v/>
      </c>
      <c r="O250" s="14" t="str">
        <f aca="false">IF(COUNTA(I250:L250)=0,"",SUMIFS('3 Hazed Questions'!$F$2:$F$23,'3 Hazed Questions'!$A$2:$A$23,"Q1",'3 Hazed Questions'!$C$2:$C$23,I250)+SUMIFS('3 Hazed Questions'!$F$2:$F$23,'3 Hazed Questions'!$A$2:$A$23,"Q2",'3 Hazed Questions'!$C$2:$C$23,J250)+SUMIFS('3 Hazed Questions'!$F$2:$F$23,'3 Hazed Questions'!$A$2:$A$23,"Q3",'3 Hazed Questions'!$C$2:$C$23,K250)+SUMIFS('3 Hazed Questions'!$F$2:$F$23,'3 Hazed Questions'!$A$2:$A$23,"Q4",'3 Hazed Questions'!$C$2:$C$23,L250))</f>
        <v/>
      </c>
      <c r="P250" s="14" t="str">
        <f aca="false">IF(COUNTA(I250:L250)=0,"",SUMIFS('3 Hazed Questions'!$G$2:$G$23,'3 Hazed Questions'!$A$2:$A$23,"Q1",'3 Hazed Questions'!$C$2:$C$23,I250)+SUMIFS('3 Hazed Questions'!$G$2:$G$23,'3 Hazed Questions'!$A$2:$A$23,"Q2",'3 Hazed Questions'!$C$2:$C$23,J250)+SUMIFS('3 Hazed Questions'!$G$2:$G$23,'3 Hazed Questions'!$A$2:$A$23,"Q3",'3 Hazed Questions'!$C$2:$C$23,K250)+SUMIFS('3 Hazed Questions'!$G$2:$G$23,'3 Hazed Questions'!$A$2:$A$23,"Q4",'3 Hazed Questions'!$C$2:$C$23,L250))</f>
        <v/>
      </c>
      <c r="Q250" s="14" t="str">
        <f aca="false">IF(COUNTA(I250:L250)=0,"",SUMIFS('3 Hazed Questions'!$H$2:$H$23,'3 Hazed Questions'!$A$2:$A$23,"Q1",'3 Hazed Questions'!$C$2:$C$23,I250)+SUMIFS('3 Hazed Questions'!$H$2:$H$23,'3 Hazed Questions'!$A$2:$A$23,"Q2",'3 Hazed Questions'!$C$2:$C$23,J250)+SUMIFS('3 Hazed Questions'!$H$2:$H$23,'3 Hazed Questions'!$A$2:$A$23,"Q3",'3 Hazed Questions'!$C$2:$C$23,K250)+SUMIFS('3 Hazed Questions'!$H$2:$H$23,'3 Hazed Questions'!$A$2:$A$23,"Q4",'3 Hazed Questions'!$C$2:$C$23,L250))</f>
        <v/>
      </c>
      <c r="R250" s="14" t="str">
        <f aca="false">IF(COUNTA(I250:L250)=0,"",SUMIFS('3 Hazed Questions'!$I$2:$I$23,'3 Hazed Questions'!$A$2:$A$23,"Q1",'3 Hazed Questions'!$C$2:$C$23,I250)+SUMIFS('3 Hazed Questions'!$I$2:$I$23,'3 Hazed Questions'!$A$2:$A$23,"Q2",'3 Hazed Questions'!$C$2:$C$23,J250)+SUMIFS('3 Hazed Questions'!$I$2:$I$23,'3 Hazed Questions'!$A$2:$A$23,"Q3",'3 Hazed Questions'!$C$2:$C$23,K250)+SUMIFS('3 Hazed Questions'!$I$2:$I$23,'3 Hazed Questions'!$A$2:$A$23,"Q4",'3 Hazed Questions'!$C$2:$C$23,L250))</f>
        <v/>
      </c>
      <c r="S250" s="14" t="str">
        <f aca="false">IF(COUNTA(I250:L250)=0,"",SUMIFS('3 Hazed Questions'!$J$2:$J$23,'3 Hazed Questions'!$A$2:$A$23,"Q1",'3 Hazed Questions'!$C$2:$C$23,I250)+SUMIFS('3 Hazed Questions'!$J$2:$J$23,'3 Hazed Questions'!$A$2:$A$23,"Q2",'3 Hazed Questions'!$C$2:$C$23,J250)+SUMIFS('3 Hazed Questions'!$J$2:$J$23,'3 Hazed Questions'!$A$2:$A$23,"Q3",'3 Hazed Questions'!$C$2:$C$23,K250)+SUMIFS('3 Hazed Questions'!$J$2:$J$23,'3 Hazed Questions'!$A$2:$A$23,"Q4",'3 Hazed Questions'!$C$2:$C$23,L250))</f>
        <v/>
      </c>
      <c r="T250" s="14" t="str">
        <f aca="false">IF(COUNTA(I250:L250)=0,"",SUMIFS('3 Hazed Questions'!$K$2:$K$23,'3 Hazed Questions'!$A$2:$A$23,"Q1",'3 Hazed Questions'!$C$2:$C$23,I250)+SUMIFS('3 Hazed Questions'!$K$2:$K$23,'3 Hazed Questions'!$A$2:$A$23,"Q2",'3 Hazed Questions'!$C$2:$C$23,J250)+SUMIFS('3 Hazed Questions'!$K$2:$K$23,'3 Hazed Questions'!$A$2:$A$23,"Q3",'3 Hazed Questions'!$C$2:$C$23,K250)+SUMIFS('3 Hazed Questions'!$K$2:$K$23,'3 Hazed Questions'!$A$2:$A$23,"Q4",'3 Hazed Questions'!$C$2:$C$23,L250))</f>
        <v/>
      </c>
      <c r="U250" s="14" t="str">
        <f aca="false">IF(COUNTA(I250:L250)=0,"",SUMIFS('3 Hazed Questions'!$L$2:$L$23,'3 Hazed Questions'!$A$2:$A$23,"Q1",'3 Hazed Questions'!$C$2:$C$23,I250)+SUMIFS('3 Hazed Questions'!$L$2:$L$23,'3 Hazed Questions'!$A$2:$A$23,"Q2",'3 Hazed Questions'!$C$2:$C$23,J250)+SUMIFS('3 Hazed Questions'!$L$2:$L$23,'3 Hazed Questions'!$A$2:$A$23,"Q3",'3 Hazed Questions'!$C$2:$C$23,K250)+SUMIFS('3 Hazed Questions'!$L$2:$L$23,'3 Hazed Questions'!$A$2:$A$23,"Q4",'3 Hazed Questions'!$C$2:$C$23,L250))</f>
        <v/>
      </c>
      <c r="V250" s="14" t="str">
        <f aca="false">IF(COUNTA(I250:L250)=0,"",SUMIFS('3 Hazed Questions'!$M$2:$M$23,'3 Hazed Questions'!$A$2:$A$23,"Q1",'3 Hazed Questions'!$C$2:$C$23,I250)+SUMIFS('3 Hazed Questions'!$M$2:$M$23,'3 Hazed Questions'!$A$2:$A$23,"Q2",'3 Hazed Questions'!$C$2:$C$23,J250)+SUMIFS('3 Hazed Questions'!$M$2:$M$23,'3 Hazed Questions'!$A$2:$A$23,"Q3",'3 Hazed Questions'!$C$2:$C$23,K250)+SUMIFS('3 Hazed Questions'!$M$2:$M$23,'3 Hazed Questions'!$A$2:$A$23,"Q4",'3 Hazed Questions'!$C$2:$C$23,L250))</f>
        <v/>
      </c>
      <c r="W250" s="14" t="str">
        <f aca="false">IF(COUNTA(I250:L250)=0,"",SUMIFS('3 Hazed Questions'!$N$2:$N$23,'3 Hazed Questions'!$A$2:$A$23,"Q1",'3 Hazed Questions'!$C$2:$C$23,I250)+SUMIFS('3 Hazed Questions'!$N$2:$N$23,'3 Hazed Questions'!$A$2:$A$23,"Q2",'3 Hazed Questions'!$C$2:$C$23,J250)+SUMIFS('3 Hazed Questions'!$N$2:$N$23,'3 Hazed Questions'!$A$2:$A$23,"Q3",'3 Hazed Questions'!$C$2:$C$23,K250)+SUMIFS('3 Hazed Questions'!$N$2:$N$23,'3 Hazed Questions'!$A$2:$A$23,"Q4",'3 Hazed Questions'!$C$2:$C$23,L250))</f>
        <v/>
      </c>
      <c r="X250" s="14" t="str">
        <f aca="false">IF(COUNTA(I250:L250)=0,"",INDEX(Fields!$B$2:$B$50,MATCH(SUBSTITUTE(INDEX($N$1:$W$1,MATCH(MAX($N250:$W250),$N250:$W250,0)),"Score: ",""),Fields!$A$2:$A$50,0)))</f>
        <v/>
      </c>
      <c r="Y250" s="14" t="str">
        <f aca="true">IF(COUNTA(I250:L250)=0,"",IF(LARGE($N250:$W250,2)=0,"-",INDEX(Fields!$B$2:$B$50,MATCH(SUBSTITUTE(INDEX($N$1:$W$1,IF(LARGE($N250:$W250,2)=MAX($N250:$W250),MATCH(MAX($N250:$W250),OFFSET($N250:$W250,0,MATCH(MAX($N250:$W250),$N250:$W250,0),1,10-MATCH(MAX($N250:$W250),$N250:$W250,0)),0)+MATCH(MAX($N250:$W250),$N250:$W250,0),MATCH(LARGE($N250:$W250,2),$N250:$W250,0))),"Score: ",""),Fields!$A$2:$A$50,0))))</f>
        <v/>
      </c>
      <c r="Z250" s="14" t="str">
        <f aca="false">IF(M250="","",IFERROR(INDEX('3 Hazed Questions'!$O$2:$O$23,MATCH(1,INDEX(('3 Hazed Questions'!$A$2:$A$23="Q5")*('3 Hazed Questions'!$C$2:$C$23=M250),0),0))&amp;"",""))</f>
        <v/>
      </c>
      <c r="AA250" s="18"/>
      <c r="AB250" s="18"/>
      <c r="AC250" s="19"/>
      <c r="AD250" s="19"/>
      <c r="AE250" s="18"/>
      <c r="AF250" s="18"/>
      <c r="AG250" s="18"/>
    </row>
    <row r="251" customFormat="false" ht="15" hidden="false" customHeight="false" outlineLevel="0" collapsed="false">
      <c r="A251" s="18"/>
      <c r="B251" s="19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4" t="str">
        <f aca="false">IF(COUNTA(I251:L251)=0,"",SUMIFS('3 Hazed Questions'!$E$2:$E$23,'3 Hazed Questions'!$A$2:$A$23,"Q1",'3 Hazed Questions'!$C$2:$C$23,I251)+SUMIFS('3 Hazed Questions'!$E$2:$E$23,'3 Hazed Questions'!$A$2:$A$23,"Q2",'3 Hazed Questions'!$C$2:$C$23,J251)+SUMIFS('3 Hazed Questions'!$E$2:$E$23,'3 Hazed Questions'!$A$2:$A$23,"Q3",'3 Hazed Questions'!$C$2:$C$23,K251)+SUMIFS('3 Hazed Questions'!$E$2:$E$23,'3 Hazed Questions'!$A$2:$A$23,"Q4",'3 Hazed Questions'!$C$2:$C$23,L251))</f>
        <v/>
      </c>
      <c r="O251" s="14" t="str">
        <f aca="false">IF(COUNTA(I251:L251)=0,"",SUMIFS('3 Hazed Questions'!$F$2:$F$23,'3 Hazed Questions'!$A$2:$A$23,"Q1",'3 Hazed Questions'!$C$2:$C$23,I251)+SUMIFS('3 Hazed Questions'!$F$2:$F$23,'3 Hazed Questions'!$A$2:$A$23,"Q2",'3 Hazed Questions'!$C$2:$C$23,J251)+SUMIFS('3 Hazed Questions'!$F$2:$F$23,'3 Hazed Questions'!$A$2:$A$23,"Q3",'3 Hazed Questions'!$C$2:$C$23,K251)+SUMIFS('3 Hazed Questions'!$F$2:$F$23,'3 Hazed Questions'!$A$2:$A$23,"Q4",'3 Hazed Questions'!$C$2:$C$23,L251))</f>
        <v/>
      </c>
      <c r="P251" s="14" t="str">
        <f aca="false">IF(COUNTA(I251:L251)=0,"",SUMIFS('3 Hazed Questions'!$G$2:$G$23,'3 Hazed Questions'!$A$2:$A$23,"Q1",'3 Hazed Questions'!$C$2:$C$23,I251)+SUMIFS('3 Hazed Questions'!$G$2:$G$23,'3 Hazed Questions'!$A$2:$A$23,"Q2",'3 Hazed Questions'!$C$2:$C$23,J251)+SUMIFS('3 Hazed Questions'!$G$2:$G$23,'3 Hazed Questions'!$A$2:$A$23,"Q3",'3 Hazed Questions'!$C$2:$C$23,K251)+SUMIFS('3 Hazed Questions'!$G$2:$G$23,'3 Hazed Questions'!$A$2:$A$23,"Q4",'3 Hazed Questions'!$C$2:$C$23,L251))</f>
        <v/>
      </c>
      <c r="Q251" s="14" t="str">
        <f aca="false">IF(COUNTA(I251:L251)=0,"",SUMIFS('3 Hazed Questions'!$H$2:$H$23,'3 Hazed Questions'!$A$2:$A$23,"Q1",'3 Hazed Questions'!$C$2:$C$23,I251)+SUMIFS('3 Hazed Questions'!$H$2:$H$23,'3 Hazed Questions'!$A$2:$A$23,"Q2",'3 Hazed Questions'!$C$2:$C$23,J251)+SUMIFS('3 Hazed Questions'!$H$2:$H$23,'3 Hazed Questions'!$A$2:$A$23,"Q3",'3 Hazed Questions'!$C$2:$C$23,K251)+SUMIFS('3 Hazed Questions'!$H$2:$H$23,'3 Hazed Questions'!$A$2:$A$23,"Q4",'3 Hazed Questions'!$C$2:$C$23,L251))</f>
        <v/>
      </c>
      <c r="R251" s="14" t="str">
        <f aca="false">IF(COUNTA(I251:L251)=0,"",SUMIFS('3 Hazed Questions'!$I$2:$I$23,'3 Hazed Questions'!$A$2:$A$23,"Q1",'3 Hazed Questions'!$C$2:$C$23,I251)+SUMIFS('3 Hazed Questions'!$I$2:$I$23,'3 Hazed Questions'!$A$2:$A$23,"Q2",'3 Hazed Questions'!$C$2:$C$23,J251)+SUMIFS('3 Hazed Questions'!$I$2:$I$23,'3 Hazed Questions'!$A$2:$A$23,"Q3",'3 Hazed Questions'!$C$2:$C$23,K251)+SUMIFS('3 Hazed Questions'!$I$2:$I$23,'3 Hazed Questions'!$A$2:$A$23,"Q4",'3 Hazed Questions'!$C$2:$C$23,L251))</f>
        <v/>
      </c>
      <c r="S251" s="14" t="str">
        <f aca="false">IF(COUNTA(I251:L251)=0,"",SUMIFS('3 Hazed Questions'!$J$2:$J$23,'3 Hazed Questions'!$A$2:$A$23,"Q1",'3 Hazed Questions'!$C$2:$C$23,I251)+SUMIFS('3 Hazed Questions'!$J$2:$J$23,'3 Hazed Questions'!$A$2:$A$23,"Q2",'3 Hazed Questions'!$C$2:$C$23,J251)+SUMIFS('3 Hazed Questions'!$J$2:$J$23,'3 Hazed Questions'!$A$2:$A$23,"Q3",'3 Hazed Questions'!$C$2:$C$23,K251)+SUMIFS('3 Hazed Questions'!$J$2:$J$23,'3 Hazed Questions'!$A$2:$A$23,"Q4",'3 Hazed Questions'!$C$2:$C$23,L251))</f>
        <v/>
      </c>
      <c r="T251" s="14" t="str">
        <f aca="false">IF(COUNTA(I251:L251)=0,"",SUMIFS('3 Hazed Questions'!$K$2:$K$23,'3 Hazed Questions'!$A$2:$A$23,"Q1",'3 Hazed Questions'!$C$2:$C$23,I251)+SUMIFS('3 Hazed Questions'!$K$2:$K$23,'3 Hazed Questions'!$A$2:$A$23,"Q2",'3 Hazed Questions'!$C$2:$C$23,J251)+SUMIFS('3 Hazed Questions'!$K$2:$K$23,'3 Hazed Questions'!$A$2:$A$23,"Q3",'3 Hazed Questions'!$C$2:$C$23,K251)+SUMIFS('3 Hazed Questions'!$K$2:$K$23,'3 Hazed Questions'!$A$2:$A$23,"Q4",'3 Hazed Questions'!$C$2:$C$23,L251))</f>
        <v/>
      </c>
      <c r="U251" s="14" t="str">
        <f aca="false">IF(COUNTA(I251:L251)=0,"",SUMIFS('3 Hazed Questions'!$L$2:$L$23,'3 Hazed Questions'!$A$2:$A$23,"Q1",'3 Hazed Questions'!$C$2:$C$23,I251)+SUMIFS('3 Hazed Questions'!$L$2:$L$23,'3 Hazed Questions'!$A$2:$A$23,"Q2",'3 Hazed Questions'!$C$2:$C$23,J251)+SUMIFS('3 Hazed Questions'!$L$2:$L$23,'3 Hazed Questions'!$A$2:$A$23,"Q3",'3 Hazed Questions'!$C$2:$C$23,K251)+SUMIFS('3 Hazed Questions'!$L$2:$L$23,'3 Hazed Questions'!$A$2:$A$23,"Q4",'3 Hazed Questions'!$C$2:$C$23,L251))</f>
        <v/>
      </c>
      <c r="V251" s="14" t="str">
        <f aca="false">IF(COUNTA(I251:L251)=0,"",SUMIFS('3 Hazed Questions'!$M$2:$M$23,'3 Hazed Questions'!$A$2:$A$23,"Q1",'3 Hazed Questions'!$C$2:$C$23,I251)+SUMIFS('3 Hazed Questions'!$M$2:$M$23,'3 Hazed Questions'!$A$2:$A$23,"Q2",'3 Hazed Questions'!$C$2:$C$23,J251)+SUMIFS('3 Hazed Questions'!$M$2:$M$23,'3 Hazed Questions'!$A$2:$A$23,"Q3",'3 Hazed Questions'!$C$2:$C$23,K251)+SUMIFS('3 Hazed Questions'!$M$2:$M$23,'3 Hazed Questions'!$A$2:$A$23,"Q4",'3 Hazed Questions'!$C$2:$C$23,L251))</f>
        <v/>
      </c>
      <c r="W251" s="14" t="str">
        <f aca="false">IF(COUNTA(I251:L251)=0,"",SUMIFS('3 Hazed Questions'!$N$2:$N$23,'3 Hazed Questions'!$A$2:$A$23,"Q1",'3 Hazed Questions'!$C$2:$C$23,I251)+SUMIFS('3 Hazed Questions'!$N$2:$N$23,'3 Hazed Questions'!$A$2:$A$23,"Q2",'3 Hazed Questions'!$C$2:$C$23,J251)+SUMIFS('3 Hazed Questions'!$N$2:$N$23,'3 Hazed Questions'!$A$2:$A$23,"Q3",'3 Hazed Questions'!$C$2:$C$23,K251)+SUMIFS('3 Hazed Questions'!$N$2:$N$23,'3 Hazed Questions'!$A$2:$A$23,"Q4",'3 Hazed Questions'!$C$2:$C$23,L251))</f>
        <v/>
      </c>
      <c r="X251" s="14" t="str">
        <f aca="false">IF(COUNTA(I251:L251)=0,"",INDEX(Fields!$B$2:$B$50,MATCH(SUBSTITUTE(INDEX($N$1:$W$1,MATCH(MAX($N251:$W251),$N251:$W251,0)),"Score: ",""),Fields!$A$2:$A$50,0)))</f>
        <v/>
      </c>
      <c r="Y251" s="14" t="str">
        <f aca="true">IF(COUNTA(I251:L251)=0,"",IF(LARGE($N251:$W251,2)=0,"-",INDEX(Fields!$B$2:$B$50,MATCH(SUBSTITUTE(INDEX($N$1:$W$1,IF(LARGE($N251:$W251,2)=MAX($N251:$W251),MATCH(MAX($N251:$W251),OFFSET($N251:$W251,0,MATCH(MAX($N251:$W251),$N251:$W251,0),1,10-MATCH(MAX($N251:$W251),$N251:$W251,0)),0)+MATCH(MAX($N251:$W251),$N251:$W251,0),MATCH(LARGE($N251:$W251,2),$N251:$W251,0))),"Score: ",""),Fields!$A$2:$A$50,0))))</f>
        <v/>
      </c>
      <c r="Z251" s="14" t="str">
        <f aca="false">IF(M251="","",IFERROR(INDEX('3 Hazed Questions'!$O$2:$O$23,MATCH(1,INDEX(('3 Hazed Questions'!$A$2:$A$23="Q5")*('3 Hazed Questions'!$C$2:$C$23=M251),0),0))&amp;"",""))</f>
        <v/>
      </c>
      <c r="AA251" s="18"/>
      <c r="AB251" s="18"/>
      <c r="AC251" s="19"/>
      <c r="AD251" s="19"/>
      <c r="AE251" s="18"/>
      <c r="AF251" s="18"/>
      <c r="AG251" s="18"/>
    </row>
    <row r="252" customFormat="false" ht="15" hidden="false" customHeight="false" outlineLevel="0" collapsed="false">
      <c r="A252" s="18"/>
      <c r="B252" s="19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4" t="str">
        <f aca="false">IF(COUNTA(I252:L252)=0,"",SUMIFS('3 Hazed Questions'!$E$2:$E$23,'3 Hazed Questions'!$A$2:$A$23,"Q1",'3 Hazed Questions'!$C$2:$C$23,I252)+SUMIFS('3 Hazed Questions'!$E$2:$E$23,'3 Hazed Questions'!$A$2:$A$23,"Q2",'3 Hazed Questions'!$C$2:$C$23,J252)+SUMIFS('3 Hazed Questions'!$E$2:$E$23,'3 Hazed Questions'!$A$2:$A$23,"Q3",'3 Hazed Questions'!$C$2:$C$23,K252)+SUMIFS('3 Hazed Questions'!$E$2:$E$23,'3 Hazed Questions'!$A$2:$A$23,"Q4",'3 Hazed Questions'!$C$2:$C$23,L252))</f>
        <v/>
      </c>
      <c r="O252" s="14" t="str">
        <f aca="false">IF(COUNTA(I252:L252)=0,"",SUMIFS('3 Hazed Questions'!$F$2:$F$23,'3 Hazed Questions'!$A$2:$A$23,"Q1",'3 Hazed Questions'!$C$2:$C$23,I252)+SUMIFS('3 Hazed Questions'!$F$2:$F$23,'3 Hazed Questions'!$A$2:$A$23,"Q2",'3 Hazed Questions'!$C$2:$C$23,J252)+SUMIFS('3 Hazed Questions'!$F$2:$F$23,'3 Hazed Questions'!$A$2:$A$23,"Q3",'3 Hazed Questions'!$C$2:$C$23,K252)+SUMIFS('3 Hazed Questions'!$F$2:$F$23,'3 Hazed Questions'!$A$2:$A$23,"Q4",'3 Hazed Questions'!$C$2:$C$23,L252))</f>
        <v/>
      </c>
      <c r="P252" s="14" t="str">
        <f aca="false">IF(COUNTA(I252:L252)=0,"",SUMIFS('3 Hazed Questions'!$G$2:$G$23,'3 Hazed Questions'!$A$2:$A$23,"Q1",'3 Hazed Questions'!$C$2:$C$23,I252)+SUMIFS('3 Hazed Questions'!$G$2:$G$23,'3 Hazed Questions'!$A$2:$A$23,"Q2",'3 Hazed Questions'!$C$2:$C$23,J252)+SUMIFS('3 Hazed Questions'!$G$2:$G$23,'3 Hazed Questions'!$A$2:$A$23,"Q3",'3 Hazed Questions'!$C$2:$C$23,K252)+SUMIFS('3 Hazed Questions'!$G$2:$G$23,'3 Hazed Questions'!$A$2:$A$23,"Q4",'3 Hazed Questions'!$C$2:$C$23,L252))</f>
        <v/>
      </c>
      <c r="Q252" s="14" t="str">
        <f aca="false">IF(COUNTA(I252:L252)=0,"",SUMIFS('3 Hazed Questions'!$H$2:$H$23,'3 Hazed Questions'!$A$2:$A$23,"Q1",'3 Hazed Questions'!$C$2:$C$23,I252)+SUMIFS('3 Hazed Questions'!$H$2:$H$23,'3 Hazed Questions'!$A$2:$A$23,"Q2",'3 Hazed Questions'!$C$2:$C$23,J252)+SUMIFS('3 Hazed Questions'!$H$2:$H$23,'3 Hazed Questions'!$A$2:$A$23,"Q3",'3 Hazed Questions'!$C$2:$C$23,K252)+SUMIFS('3 Hazed Questions'!$H$2:$H$23,'3 Hazed Questions'!$A$2:$A$23,"Q4",'3 Hazed Questions'!$C$2:$C$23,L252))</f>
        <v/>
      </c>
      <c r="R252" s="14" t="str">
        <f aca="false">IF(COUNTA(I252:L252)=0,"",SUMIFS('3 Hazed Questions'!$I$2:$I$23,'3 Hazed Questions'!$A$2:$A$23,"Q1",'3 Hazed Questions'!$C$2:$C$23,I252)+SUMIFS('3 Hazed Questions'!$I$2:$I$23,'3 Hazed Questions'!$A$2:$A$23,"Q2",'3 Hazed Questions'!$C$2:$C$23,J252)+SUMIFS('3 Hazed Questions'!$I$2:$I$23,'3 Hazed Questions'!$A$2:$A$23,"Q3",'3 Hazed Questions'!$C$2:$C$23,K252)+SUMIFS('3 Hazed Questions'!$I$2:$I$23,'3 Hazed Questions'!$A$2:$A$23,"Q4",'3 Hazed Questions'!$C$2:$C$23,L252))</f>
        <v/>
      </c>
      <c r="S252" s="14" t="str">
        <f aca="false">IF(COUNTA(I252:L252)=0,"",SUMIFS('3 Hazed Questions'!$J$2:$J$23,'3 Hazed Questions'!$A$2:$A$23,"Q1",'3 Hazed Questions'!$C$2:$C$23,I252)+SUMIFS('3 Hazed Questions'!$J$2:$J$23,'3 Hazed Questions'!$A$2:$A$23,"Q2",'3 Hazed Questions'!$C$2:$C$23,J252)+SUMIFS('3 Hazed Questions'!$J$2:$J$23,'3 Hazed Questions'!$A$2:$A$23,"Q3",'3 Hazed Questions'!$C$2:$C$23,K252)+SUMIFS('3 Hazed Questions'!$J$2:$J$23,'3 Hazed Questions'!$A$2:$A$23,"Q4",'3 Hazed Questions'!$C$2:$C$23,L252))</f>
        <v/>
      </c>
      <c r="T252" s="14" t="str">
        <f aca="false">IF(COUNTA(I252:L252)=0,"",SUMIFS('3 Hazed Questions'!$K$2:$K$23,'3 Hazed Questions'!$A$2:$A$23,"Q1",'3 Hazed Questions'!$C$2:$C$23,I252)+SUMIFS('3 Hazed Questions'!$K$2:$K$23,'3 Hazed Questions'!$A$2:$A$23,"Q2",'3 Hazed Questions'!$C$2:$C$23,J252)+SUMIFS('3 Hazed Questions'!$K$2:$K$23,'3 Hazed Questions'!$A$2:$A$23,"Q3",'3 Hazed Questions'!$C$2:$C$23,K252)+SUMIFS('3 Hazed Questions'!$K$2:$K$23,'3 Hazed Questions'!$A$2:$A$23,"Q4",'3 Hazed Questions'!$C$2:$C$23,L252))</f>
        <v/>
      </c>
      <c r="U252" s="14" t="str">
        <f aca="false">IF(COUNTA(I252:L252)=0,"",SUMIFS('3 Hazed Questions'!$L$2:$L$23,'3 Hazed Questions'!$A$2:$A$23,"Q1",'3 Hazed Questions'!$C$2:$C$23,I252)+SUMIFS('3 Hazed Questions'!$L$2:$L$23,'3 Hazed Questions'!$A$2:$A$23,"Q2",'3 Hazed Questions'!$C$2:$C$23,J252)+SUMIFS('3 Hazed Questions'!$L$2:$L$23,'3 Hazed Questions'!$A$2:$A$23,"Q3",'3 Hazed Questions'!$C$2:$C$23,K252)+SUMIFS('3 Hazed Questions'!$L$2:$L$23,'3 Hazed Questions'!$A$2:$A$23,"Q4",'3 Hazed Questions'!$C$2:$C$23,L252))</f>
        <v/>
      </c>
      <c r="V252" s="14" t="str">
        <f aca="false">IF(COUNTA(I252:L252)=0,"",SUMIFS('3 Hazed Questions'!$M$2:$M$23,'3 Hazed Questions'!$A$2:$A$23,"Q1",'3 Hazed Questions'!$C$2:$C$23,I252)+SUMIFS('3 Hazed Questions'!$M$2:$M$23,'3 Hazed Questions'!$A$2:$A$23,"Q2",'3 Hazed Questions'!$C$2:$C$23,J252)+SUMIFS('3 Hazed Questions'!$M$2:$M$23,'3 Hazed Questions'!$A$2:$A$23,"Q3",'3 Hazed Questions'!$C$2:$C$23,K252)+SUMIFS('3 Hazed Questions'!$M$2:$M$23,'3 Hazed Questions'!$A$2:$A$23,"Q4",'3 Hazed Questions'!$C$2:$C$23,L252))</f>
        <v/>
      </c>
      <c r="W252" s="14" t="str">
        <f aca="false">IF(COUNTA(I252:L252)=0,"",SUMIFS('3 Hazed Questions'!$N$2:$N$23,'3 Hazed Questions'!$A$2:$A$23,"Q1",'3 Hazed Questions'!$C$2:$C$23,I252)+SUMIFS('3 Hazed Questions'!$N$2:$N$23,'3 Hazed Questions'!$A$2:$A$23,"Q2",'3 Hazed Questions'!$C$2:$C$23,J252)+SUMIFS('3 Hazed Questions'!$N$2:$N$23,'3 Hazed Questions'!$A$2:$A$23,"Q3",'3 Hazed Questions'!$C$2:$C$23,K252)+SUMIFS('3 Hazed Questions'!$N$2:$N$23,'3 Hazed Questions'!$A$2:$A$23,"Q4",'3 Hazed Questions'!$C$2:$C$23,L252))</f>
        <v/>
      </c>
      <c r="X252" s="14" t="str">
        <f aca="false">IF(COUNTA(I252:L252)=0,"",INDEX(Fields!$B$2:$B$50,MATCH(SUBSTITUTE(INDEX($N$1:$W$1,MATCH(MAX($N252:$W252),$N252:$W252,0)),"Score: ",""),Fields!$A$2:$A$50,0)))</f>
        <v/>
      </c>
      <c r="Y252" s="14" t="str">
        <f aca="true">IF(COUNTA(I252:L252)=0,"",IF(LARGE($N252:$W252,2)=0,"-",INDEX(Fields!$B$2:$B$50,MATCH(SUBSTITUTE(INDEX($N$1:$W$1,IF(LARGE($N252:$W252,2)=MAX($N252:$W252),MATCH(MAX($N252:$W252),OFFSET($N252:$W252,0,MATCH(MAX($N252:$W252),$N252:$W252,0),1,10-MATCH(MAX($N252:$W252),$N252:$W252,0)),0)+MATCH(MAX($N252:$W252),$N252:$W252,0),MATCH(LARGE($N252:$W252,2),$N252:$W252,0))),"Score: ",""),Fields!$A$2:$A$50,0))))</f>
        <v/>
      </c>
      <c r="Z252" s="14" t="str">
        <f aca="false">IF(M252="","",IFERROR(INDEX('3 Hazed Questions'!$O$2:$O$23,MATCH(1,INDEX(('3 Hazed Questions'!$A$2:$A$23="Q5")*('3 Hazed Questions'!$C$2:$C$23=M252),0),0))&amp;"",""))</f>
        <v/>
      </c>
      <c r="AA252" s="18"/>
      <c r="AB252" s="18"/>
      <c r="AC252" s="19"/>
      <c r="AD252" s="19"/>
      <c r="AE252" s="18"/>
      <c r="AF252" s="18"/>
      <c r="AG252" s="18"/>
    </row>
    <row r="253" customFormat="false" ht="15" hidden="false" customHeight="false" outlineLevel="0" collapsed="false">
      <c r="A253" s="18"/>
      <c r="B253" s="19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4" t="str">
        <f aca="false">IF(COUNTA(I253:L253)=0,"",SUMIFS('3 Hazed Questions'!$E$2:$E$23,'3 Hazed Questions'!$A$2:$A$23,"Q1",'3 Hazed Questions'!$C$2:$C$23,I253)+SUMIFS('3 Hazed Questions'!$E$2:$E$23,'3 Hazed Questions'!$A$2:$A$23,"Q2",'3 Hazed Questions'!$C$2:$C$23,J253)+SUMIFS('3 Hazed Questions'!$E$2:$E$23,'3 Hazed Questions'!$A$2:$A$23,"Q3",'3 Hazed Questions'!$C$2:$C$23,K253)+SUMIFS('3 Hazed Questions'!$E$2:$E$23,'3 Hazed Questions'!$A$2:$A$23,"Q4",'3 Hazed Questions'!$C$2:$C$23,L253))</f>
        <v/>
      </c>
      <c r="O253" s="14" t="str">
        <f aca="false">IF(COUNTA(I253:L253)=0,"",SUMIFS('3 Hazed Questions'!$F$2:$F$23,'3 Hazed Questions'!$A$2:$A$23,"Q1",'3 Hazed Questions'!$C$2:$C$23,I253)+SUMIFS('3 Hazed Questions'!$F$2:$F$23,'3 Hazed Questions'!$A$2:$A$23,"Q2",'3 Hazed Questions'!$C$2:$C$23,J253)+SUMIFS('3 Hazed Questions'!$F$2:$F$23,'3 Hazed Questions'!$A$2:$A$23,"Q3",'3 Hazed Questions'!$C$2:$C$23,K253)+SUMIFS('3 Hazed Questions'!$F$2:$F$23,'3 Hazed Questions'!$A$2:$A$23,"Q4",'3 Hazed Questions'!$C$2:$C$23,L253))</f>
        <v/>
      </c>
      <c r="P253" s="14" t="str">
        <f aca="false">IF(COUNTA(I253:L253)=0,"",SUMIFS('3 Hazed Questions'!$G$2:$G$23,'3 Hazed Questions'!$A$2:$A$23,"Q1",'3 Hazed Questions'!$C$2:$C$23,I253)+SUMIFS('3 Hazed Questions'!$G$2:$G$23,'3 Hazed Questions'!$A$2:$A$23,"Q2",'3 Hazed Questions'!$C$2:$C$23,J253)+SUMIFS('3 Hazed Questions'!$G$2:$G$23,'3 Hazed Questions'!$A$2:$A$23,"Q3",'3 Hazed Questions'!$C$2:$C$23,K253)+SUMIFS('3 Hazed Questions'!$G$2:$G$23,'3 Hazed Questions'!$A$2:$A$23,"Q4",'3 Hazed Questions'!$C$2:$C$23,L253))</f>
        <v/>
      </c>
      <c r="Q253" s="14" t="str">
        <f aca="false">IF(COUNTA(I253:L253)=0,"",SUMIFS('3 Hazed Questions'!$H$2:$H$23,'3 Hazed Questions'!$A$2:$A$23,"Q1",'3 Hazed Questions'!$C$2:$C$23,I253)+SUMIFS('3 Hazed Questions'!$H$2:$H$23,'3 Hazed Questions'!$A$2:$A$23,"Q2",'3 Hazed Questions'!$C$2:$C$23,J253)+SUMIFS('3 Hazed Questions'!$H$2:$H$23,'3 Hazed Questions'!$A$2:$A$23,"Q3",'3 Hazed Questions'!$C$2:$C$23,K253)+SUMIFS('3 Hazed Questions'!$H$2:$H$23,'3 Hazed Questions'!$A$2:$A$23,"Q4",'3 Hazed Questions'!$C$2:$C$23,L253))</f>
        <v/>
      </c>
      <c r="R253" s="14" t="str">
        <f aca="false">IF(COUNTA(I253:L253)=0,"",SUMIFS('3 Hazed Questions'!$I$2:$I$23,'3 Hazed Questions'!$A$2:$A$23,"Q1",'3 Hazed Questions'!$C$2:$C$23,I253)+SUMIFS('3 Hazed Questions'!$I$2:$I$23,'3 Hazed Questions'!$A$2:$A$23,"Q2",'3 Hazed Questions'!$C$2:$C$23,J253)+SUMIFS('3 Hazed Questions'!$I$2:$I$23,'3 Hazed Questions'!$A$2:$A$23,"Q3",'3 Hazed Questions'!$C$2:$C$23,K253)+SUMIFS('3 Hazed Questions'!$I$2:$I$23,'3 Hazed Questions'!$A$2:$A$23,"Q4",'3 Hazed Questions'!$C$2:$C$23,L253))</f>
        <v/>
      </c>
      <c r="S253" s="14" t="str">
        <f aca="false">IF(COUNTA(I253:L253)=0,"",SUMIFS('3 Hazed Questions'!$J$2:$J$23,'3 Hazed Questions'!$A$2:$A$23,"Q1",'3 Hazed Questions'!$C$2:$C$23,I253)+SUMIFS('3 Hazed Questions'!$J$2:$J$23,'3 Hazed Questions'!$A$2:$A$23,"Q2",'3 Hazed Questions'!$C$2:$C$23,J253)+SUMIFS('3 Hazed Questions'!$J$2:$J$23,'3 Hazed Questions'!$A$2:$A$23,"Q3",'3 Hazed Questions'!$C$2:$C$23,K253)+SUMIFS('3 Hazed Questions'!$J$2:$J$23,'3 Hazed Questions'!$A$2:$A$23,"Q4",'3 Hazed Questions'!$C$2:$C$23,L253))</f>
        <v/>
      </c>
      <c r="T253" s="14" t="str">
        <f aca="false">IF(COUNTA(I253:L253)=0,"",SUMIFS('3 Hazed Questions'!$K$2:$K$23,'3 Hazed Questions'!$A$2:$A$23,"Q1",'3 Hazed Questions'!$C$2:$C$23,I253)+SUMIFS('3 Hazed Questions'!$K$2:$K$23,'3 Hazed Questions'!$A$2:$A$23,"Q2",'3 Hazed Questions'!$C$2:$C$23,J253)+SUMIFS('3 Hazed Questions'!$K$2:$K$23,'3 Hazed Questions'!$A$2:$A$23,"Q3",'3 Hazed Questions'!$C$2:$C$23,K253)+SUMIFS('3 Hazed Questions'!$K$2:$K$23,'3 Hazed Questions'!$A$2:$A$23,"Q4",'3 Hazed Questions'!$C$2:$C$23,L253))</f>
        <v/>
      </c>
      <c r="U253" s="14" t="str">
        <f aca="false">IF(COUNTA(I253:L253)=0,"",SUMIFS('3 Hazed Questions'!$L$2:$L$23,'3 Hazed Questions'!$A$2:$A$23,"Q1",'3 Hazed Questions'!$C$2:$C$23,I253)+SUMIFS('3 Hazed Questions'!$L$2:$L$23,'3 Hazed Questions'!$A$2:$A$23,"Q2",'3 Hazed Questions'!$C$2:$C$23,J253)+SUMIFS('3 Hazed Questions'!$L$2:$L$23,'3 Hazed Questions'!$A$2:$A$23,"Q3",'3 Hazed Questions'!$C$2:$C$23,K253)+SUMIFS('3 Hazed Questions'!$L$2:$L$23,'3 Hazed Questions'!$A$2:$A$23,"Q4",'3 Hazed Questions'!$C$2:$C$23,L253))</f>
        <v/>
      </c>
      <c r="V253" s="14" t="str">
        <f aca="false">IF(COUNTA(I253:L253)=0,"",SUMIFS('3 Hazed Questions'!$M$2:$M$23,'3 Hazed Questions'!$A$2:$A$23,"Q1",'3 Hazed Questions'!$C$2:$C$23,I253)+SUMIFS('3 Hazed Questions'!$M$2:$M$23,'3 Hazed Questions'!$A$2:$A$23,"Q2",'3 Hazed Questions'!$C$2:$C$23,J253)+SUMIFS('3 Hazed Questions'!$M$2:$M$23,'3 Hazed Questions'!$A$2:$A$23,"Q3",'3 Hazed Questions'!$C$2:$C$23,K253)+SUMIFS('3 Hazed Questions'!$M$2:$M$23,'3 Hazed Questions'!$A$2:$A$23,"Q4",'3 Hazed Questions'!$C$2:$C$23,L253))</f>
        <v/>
      </c>
      <c r="W253" s="14" t="str">
        <f aca="false">IF(COUNTA(I253:L253)=0,"",SUMIFS('3 Hazed Questions'!$N$2:$N$23,'3 Hazed Questions'!$A$2:$A$23,"Q1",'3 Hazed Questions'!$C$2:$C$23,I253)+SUMIFS('3 Hazed Questions'!$N$2:$N$23,'3 Hazed Questions'!$A$2:$A$23,"Q2",'3 Hazed Questions'!$C$2:$C$23,J253)+SUMIFS('3 Hazed Questions'!$N$2:$N$23,'3 Hazed Questions'!$A$2:$A$23,"Q3",'3 Hazed Questions'!$C$2:$C$23,K253)+SUMIFS('3 Hazed Questions'!$N$2:$N$23,'3 Hazed Questions'!$A$2:$A$23,"Q4",'3 Hazed Questions'!$C$2:$C$23,L253))</f>
        <v/>
      </c>
      <c r="X253" s="14" t="str">
        <f aca="false">IF(COUNTA(I253:L253)=0,"",INDEX(Fields!$B$2:$B$50,MATCH(SUBSTITUTE(INDEX($N$1:$W$1,MATCH(MAX($N253:$W253),$N253:$W253,0)),"Score: ",""),Fields!$A$2:$A$50,0)))</f>
        <v/>
      </c>
      <c r="Y253" s="14" t="str">
        <f aca="true">IF(COUNTA(I253:L253)=0,"",IF(LARGE($N253:$W253,2)=0,"-",INDEX(Fields!$B$2:$B$50,MATCH(SUBSTITUTE(INDEX($N$1:$W$1,IF(LARGE($N253:$W253,2)=MAX($N253:$W253),MATCH(MAX($N253:$W253),OFFSET($N253:$W253,0,MATCH(MAX($N253:$W253),$N253:$W253,0),1,10-MATCH(MAX($N253:$W253),$N253:$W253,0)),0)+MATCH(MAX($N253:$W253),$N253:$W253,0),MATCH(LARGE($N253:$W253,2),$N253:$W253,0))),"Score: ",""),Fields!$A$2:$A$50,0))))</f>
        <v/>
      </c>
      <c r="Z253" s="14" t="str">
        <f aca="false">IF(M253="","",IFERROR(INDEX('3 Hazed Questions'!$O$2:$O$23,MATCH(1,INDEX(('3 Hazed Questions'!$A$2:$A$23="Q5")*('3 Hazed Questions'!$C$2:$C$23=M253),0),0))&amp;"",""))</f>
        <v/>
      </c>
      <c r="AA253" s="18"/>
      <c r="AB253" s="18"/>
      <c r="AC253" s="19"/>
      <c r="AD253" s="19"/>
      <c r="AE253" s="18"/>
      <c r="AF253" s="18"/>
      <c r="AG253" s="18"/>
    </row>
    <row r="254" customFormat="false" ht="15" hidden="false" customHeight="false" outlineLevel="0" collapsed="false">
      <c r="A254" s="18"/>
      <c r="B254" s="19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4" t="str">
        <f aca="false">IF(COUNTA(I254:L254)=0,"",SUMIFS('3 Hazed Questions'!$E$2:$E$23,'3 Hazed Questions'!$A$2:$A$23,"Q1",'3 Hazed Questions'!$C$2:$C$23,I254)+SUMIFS('3 Hazed Questions'!$E$2:$E$23,'3 Hazed Questions'!$A$2:$A$23,"Q2",'3 Hazed Questions'!$C$2:$C$23,J254)+SUMIFS('3 Hazed Questions'!$E$2:$E$23,'3 Hazed Questions'!$A$2:$A$23,"Q3",'3 Hazed Questions'!$C$2:$C$23,K254)+SUMIFS('3 Hazed Questions'!$E$2:$E$23,'3 Hazed Questions'!$A$2:$A$23,"Q4",'3 Hazed Questions'!$C$2:$C$23,L254))</f>
        <v/>
      </c>
      <c r="O254" s="14" t="str">
        <f aca="false">IF(COUNTA(I254:L254)=0,"",SUMIFS('3 Hazed Questions'!$F$2:$F$23,'3 Hazed Questions'!$A$2:$A$23,"Q1",'3 Hazed Questions'!$C$2:$C$23,I254)+SUMIFS('3 Hazed Questions'!$F$2:$F$23,'3 Hazed Questions'!$A$2:$A$23,"Q2",'3 Hazed Questions'!$C$2:$C$23,J254)+SUMIFS('3 Hazed Questions'!$F$2:$F$23,'3 Hazed Questions'!$A$2:$A$23,"Q3",'3 Hazed Questions'!$C$2:$C$23,K254)+SUMIFS('3 Hazed Questions'!$F$2:$F$23,'3 Hazed Questions'!$A$2:$A$23,"Q4",'3 Hazed Questions'!$C$2:$C$23,L254))</f>
        <v/>
      </c>
      <c r="P254" s="14" t="str">
        <f aca="false">IF(COUNTA(I254:L254)=0,"",SUMIFS('3 Hazed Questions'!$G$2:$G$23,'3 Hazed Questions'!$A$2:$A$23,"Q1",'3 Hazed Questions'!$C$2:$C$23,I254)+SUMIFS('3 Hazed Questions'!$G$2:$G$23,'3 Hazed Questions'!$A$2:$A$23,"Q2",'3 Hazed Questions'!$C$2:$C$23,J254)+SUMIFS('3 Hazed Questions'!$G$2:$G$23,'3 Hazed Questions'!$A$2:$A$23,"Q3",'3 Hazed Questions'!$C$2:$C$23,K254)+SUMIFS('3 Hazed Questions'!$G$2:$G$23,'3 Hazed Questions'!$A$2:$A$23,"Q4",'3 Hazed Questions'!$C$2:$C$23,L254))</f>
        <v/>
      </c>
      <c r="Q254" s="14" t="str">
        <f aca="false">IF(COUNTA(I254:L254)=0,"",SUMIFS('3 Hazed Questions'!$H$2:$H$23,'3 Hazed Questions'!$A$2:$A$23,"Q1",'3 Hazed Questions'!$C$2:$C$23,I254)+SUMIFS('3 Hazed Questions'!$H$2:$H$23,'3 Hazed Questions'!$A$2:$A$23,"Q2",'3 Hazed Questions'!$C$2:$C$23,J254)+SUMIFS('3 Hazed Questions'!$H$2:$H$23,'3 Hazed Questions'!$A$2:$A$23,"Q3",'3 Hazed Questions'!$C$2:$C$23,K254)+SUMIFS('3 Hazed Questions'!$H$2:$H$23,'3 Hazed Questions'!$A$2:$A$23,"Q4",'3 Hazed Questions'!$C$2:$C$23,L254))</f>
        <v/>
      </c>
      <c r="R254" s="14" t="str">
        <f aca="false">IF(COUNTA(I254:L254)=0,"",SUMIFS('3 Hazed Questions'!$I$2:$I$23,'3 Hazed Questions'!$A$2:$A$23,"Q1",'3 Hazed Questions'!$C$2:$C$23,I254)+SUMIFS('3 Hazed Questions'!$I$2:$I$23,'3 Hazed Questions'!$A$2:$A$23,"Q2",'3 Hazed Questions'!$C$2:$C$23,J254)+SUMIFS('3 Hazed Questions'!$I$2:$I$23,'3 Hazed Questions'!$A$2:$A$23,"Q3",'3 Hazed Questions'!$C$2:$C$23,K254)+SUMIFS('3 Hazed Questions'!$I$2:$I$23,'3 Hazed Questions'!$A$2:$A$23,"Q4",'3 Hazed Questions'!$C$2:$C$23,L254))</f>
        <v/>
      </c>
      <c r="S254" s="14" t="str">
        <f aca="false">IF(COUNTA(I254:L254)=0,"",SUMIFS('3 Hazed Questions'!$J$2:$J$23,'3 Hazed Questions'!$A$2:$A$23,"Q1",'3 Hazed Questions'!$C$2:$C$23,I254)+SUMIFS('3 Hazed Questions'!$J$2:$J$23,'3 Hazed Questions'!$A$2:$A$23,"Q2",'3 Hazed Questions'!$C$2:$C$23,J254)+SUMIFS('3 Hazed Questions'!$J$2:$J$23,'3 Hazed Questions'!$A$2:$A$23,"Q3",'3 Hazed Questions'!$C$2:$C$23,K254)+SUMIFS('3 Hazed Questions'!$J$2:$J$23,'3 Hazed Questions'!$A$2:$A$23,"Q4",'3 Hazed Questions'!$C$2:$C$23,L254))</f>
        <v/>
      </c>
      <c r="T254" s="14" t="str">
        <f aca="false">IF(COUNTA(I254:L254)=0,"",SUMIFS('3 Hazed Questions'!$K$2:$K$23,'3 Hazed Questions'!$A$2:$A$23,"Q1",'3 Hazed Questions'!$C$2:$C$23,I254)+SUMIFS('3 Hazed Questions'!$K$2:$K$23,'3 Hazed Questions'!$A$2:$A$23,"Q2",'3 Hazed Questions'!$C$2:$C$23,J254)+SUMIFS('3 Hazed Questions'!$K$2:$K$23,'3 Hazed Questions'!$A$2:$A$23,"Q3",'3 Hazed Questions'!$C$2:$C$23,K254)+SUMIFS('3 Hazed Questions'!$K$2:$K$23,'3 Hazed Questions'!$A$2:$A$23,"Q4",'3 Hazed Questions'!$C$2:$C$23,L254))</f>
        <v/>
      </c>
      <c r="U254" s="14" t="str">
        <f aca="false">IF(COUNTA(I254:L254)=0,"",SUMIFS('3 Hazed Questions'!$L$2:$L$23,'3 Hazed Questions'!$A$2:$A$23,"Q1",'3 Hazed Questions'!$C$2:$C$23,I254)+SUMIFS('3 Hazed Questions'!$L$2:$L$23,'3 Hazed Questions'!$A$2:$A$23,"Q2",'3 Hazed Questions'!$C$2:$C$23,J254)+SUMIFS('3 Hazed Questions'!$L$2:$L$23,'3 Hazed Questions'!$A$2:$A$23,"Q3",'3 Hazed Questions'!$C$2:$C$23,K254)+SUMIFS('3 Hazed Questions'!$L$2:$L$23,'3 Hazed Questions'!$A$2:$A$23,"Q4",'3 Hazed Questions'!$C$2:$C$23,L254))</f>
        <v/>
      </c>
      <c r="V254" s="14" t="str">
        <f aca="false">IF(COUNTA(I254:L254)=0,"",SUMIFS('3 Hazed Questions'!$M$2:$M$23,'3 Hazed Questions'!$A$2:$A$23,"Q1",'3 Hazed Questions'!$C$2:$C$23,I254)+SUMIFS('3 Hazed Questions'!$M$2:$M$23,'3 Hazed Questions'!$A$2:$A$23,"Q2",'3 Hazed Questions'!$C$2:$C$23,J254)+SUMIFS('3 Hazed Questions'!$M$2:$M$23,'3 Hazed Questions'!$A$2:$A$23,"Q3",'3 Hazed Questions'!$C$2:$C$23,K254)+SUMIFS('3 Hazed Questions'!$M$2:$M$23,'3 Hazed Questions'!$A$2:$A$23,"Q4",'3 Hazed Questions'!$C$2:$C$23,L254))</f>
        <v/>
      </c>
      <c r="W254" s="14" t="str">
        <f aca="false">IF(COUNTA(I254:L254)=0,"",SUMIFS('3 Hazed Questions'!$N$2:$N$23,'3 Hazed Questions'!$A$2:$A$23,"Q1",'3 Hazed Questions'!$C$2:$C$23,I254)+SUMIFS('3 Hazed Questions'!$N$2:$N$23,'3 Hazed Questions'!$A$2:$A$23,"Q2",'3 Hazed Questions'!$C$2:$C$23,J254)+SUMIFS('3 Hazed Questions'!$N$2:$N$23,'3 Hazed Questions'!$A$2:$A$23,"Q3",'3 Hazed Questions'!$C$2:$C$23,K254)+SUMIFS('3 Hazed Questions'!$N$2:$N$23,'3 Hazed Questions'!$A$2:$A$23,"Q4",'3 Hazed Questions'!$C$2:$C$23,L254))</f>
        <v/>
      </c>
      <c r="X254" s="14" t="str">
        <f aca="false">IF(COUNTA(I254:L254)=0,"",INDEX(Fields!$B$2:$B$50,MATCH(SUBSTITUTE(INDEX($N$1:$W$1,MATCH(MAX($N254:$W254),$N254:$W254,0)),"Score: ",""),Fields!$A$2:$A$50,0)))</f>
        <v/>
      </c>
      <c r="Y254" s="14" t="str">
        <f aca="true">IF(COUNTA(I254:L254)=0,"",IF(LARGE($N254:$W254,2)=0,"-",INDEX(Fields!$B$2:$B$50,MATCH(SUBSTITUTE(INDEX($N$1:$W$1,IF(LARGE($N254:$W254,2)=MAX($N254:$W254),MATCH(MAX($N254:$W254),OFFSET($N254:$W254,0,MATCH(MAX($N254:$W254),$N254:$W254,0),1,10-MATCH(MAX($N254:$W254),$N254:$W254,0)),0)+MATCH(MAX($N254:$W254),$N254:$W254,0),MATCH(LARGE($N254:$W254,2),$N254:$W254,0))),"Score: ",""),Fields!$A$2:$A$50,0))))</f>
        <v/>
      </c>
      <c r="Z254" s="14" t="str">
        <f aca="false">IF(M254="","",IFERROR(INDEX('3 Hazed Questions'!$O$2:$O$23,MATCH(1,INDEX(('3 Hazed Questions'!$A$2:$A$23="Q5")*('3 Hazed Questions'!$C$2:$C$23=M254),0),0))&amp;"",""))</f>
        <v/>
      </c>
      <c r="AA254" s="18"/>
      <c r="AB254" s="18"/>
      <c r="AC254" s="19"/>
      <c r="AD254" s="19"/>
      <c r="AE254" s="18"/>
      <c r="AF254" s="18"/>
      <c r="AG254" s="18"/>
    </row>
    <row r="255" customFormat="false" ht="15" hidden="false" customHeight="false" outlineLevel="0" collapsed="false">
      <c r="A255" s="18"/>
      <c r="B255" s="19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4" t="str">
        <f aca="false">IF(COUNTA(I255:L255)=0,"",SUMIFS('3 Hazed Questions'!$E$2:$E$23,'3 Hazed Questions'!$A$2:$A$23,"Q1",'3 Hazed Questions'!$C$2:$C$23,I255)+SUMIFS('3 Hazed Questions'!$E$2:$E$23,'3 Hazed Questions'!$A$2:$A$23,"Q2",'3 Hazed Questions'!$C$2:$C$23,J255)+SUMIFS('3 Hazed Questions'!$E$2:$E$23,'3 Hazed Questions'!$A$2:$A$23,"Q3",'3 Hazed Questions'!$C$2:$C$23,K255)+SUMIFS('3 Hazed Questions'!$E$2:$E$23,'3 Hazed Questions'!$A$2:$A$23,"Q4",'3 Hazed Questions'!$C$2:$C$23,L255))</f>
        <v/>
      </c>
      <c r="O255" s="14" t="str">
        <f aca="false">IF(COUNTA(I255:L255)=0,"",SUMIFS('3 Hazed Questions'!$F$2:$F$23,'3 Hazed Questions'!$A$2:$A$23,"Q1",'3 Hazed Questions'!$C$2:$C$23,I255)+SUMIFS('3 Hazed Questions'!$F$2:$F$23,'3 Hazed Questions'!$A$2:$A$23,"Q2",'3 Hazed Questions'!$C$2:$C$23,J255)+SUMIFS('3 Hazed Questions'!$F$2:$F$23,'3 Hazed Questions'!$A$2:$A$23,"Q3",'3 Hazed Questions'!$C$2:$C$23,K255)+SUMIFS('3 Hazed Questions'!$F$2:$F$23,'3 Hazed Questions'!$A$2:$A$23,"Q4",'3 Hazed Questions'!$C$2:$C$23,L255))</f>
        <v/>
      </c>
      <c r="P255" s="14" t="str">
        <f aca="false">IF(COUNTA(I255:L255)=0,"",SUMIFS('3 Hazed Questions'!$G$2:$G$23,'3 Hazed Questions'!$A$2:$A$23,"Q1",'3 Hazed Questions'!$C$2:$C$23,I255)+SUMIFS('3 Hazed Questions'!$G$2:$G$23,'3 Hazed Questions'!$A$2:$A$23,"Q2",'3 Hazed Questions'!$C$2:$C$23,J255)+SUMIFS('3 Hazed Questions'!$G$2:$G$23,'3 Hazed Questions'!$A$2:$A$23,"Q3",'3 Hazed Questions'!$C$2:$C$23,K255)+SUMIFS('3 Hazed Questions'!$G$2:$G$23,'3 Hazed Questions'!$A$2:$A$23,"Q4",'3 Hazed Questions'!$C$2:$C$23,L255))</f>
        <v/>
      </c>
      <c r="Q255" s="14" t="str">
        <f aca="false">IF(COUNTA(I255:L255)=0,"",SUMIFS('3 Hazed Questions'!$H$2:$H$23,'3 Hazed Questions'!$A$2:$A$23,"Q1",'3 Hazed Questions'!$C$2:$C$23,I255)+SUMIFS('3 Hazed Questions'!$H$2:$H$23,'3 Hazed Questions'!$A$2:$A$23,"Q2",'3 Hazed Questions'!$C$2:$C$23,J255)+SUMIFS('3 Hazed Questions'!$H$2:$H$23,'3 Hazed Questions'!$A$2:$A$23,"Q3",'3 Hazed Questions'!$C$2:$C$23,K255)+SUMIFS('3 Hazed Questions'!$H$2:$H$23,'3 Hazed Questions'!$A$2:$A$23,"Q4",'3 Hazed Questions'!$C$2:$C$23,L255))</f>
        <v/>
      </c>
      <c r="R255" s="14" t="str">
        <f aca="false">IF(COUNTA(I255:L255)=0,"",SUMIFS('3 Hazed Questions'!$I$2:$I$23,'3 Hazed Questions'!$A$2:$A$23,"Q1",'3 Hazed Questions'!$C$2:$C$23,I255)+SUMIFS('3 Hazed Questions'!$I$2:$I$23,'3 Hazed Questions'!$A$2:$A$23,"Q2",'3 Hazed Questions'!$C$2:$C$23,J255)+SUMIFS('3 Hazed Questions'!$I$2:$I$23,'3 Hazed Questions'!$A$2:$A$23,"Q3",'3 Hazed Questions'!$C$2:$C$23,K255)+SUMIFS('3 Hazed Questions'!$I$2:$I$23,'3 Hazed Questions'!$A$2:$A$23,"Q4",'3 Hazed Questions'!$C$2:$C$23,L255))</f>
        <v/>
      </c>
      <c r="S255" s="14" t="str">
        <f aca="false">IF(COUNTA(I255:L255)=0,"",SUMIFS('3 Hazed Questions'!$J$2:$J$23,'3 Hazed Questions'!$A$2:$A$23,"Q1",'3 Hazed Questions'!$C$2:$C$23,I255)+SUMIFS('3 Hazed Questions'!$J$2:$J$23,'3 Hazed Questions'!$A$2:$A$23,"Q2",'3 Hazed Questions'!$C$2:$C$23,J255)+SUMIFS('3 Hazed Questions'!$J$2:$J$23,'3 Hazed Questions'!$A$2:$A$23,"Q3",'3 Hazed Questions'!$C$2:$C$23,K255)+SUMIFS('3 Hazed Questions'!$J$2:$J$23,'3 Hazed Questions'!$A$2:$A$23,"Q4",'3 Hazed Questions'!$C$2:$C$23,L255))</f>
        <v/>
      </c>
      <c r="T255" s="14" t="str">
        <f aca="false">IF(COUNTA(I255:L255)=0,"",SUMIFS('3 Hazed Questions'!$K$2:$K$23,'3 Hazed Questions'!$A$2:$A$23,"Q1",'3 Hazed Questions'!$C$2:$C$23,I255)+SUMIFS('3 Hazed Questions'!$K$2:$K$23,'3 Hazed Questions'!$A$2:$A$23,"Q2",'3 Hazed Questions'!$C$2:$C$23,J255)+SUMIFS('3 Hazed Questions'!$K$2:$K$23,'3 Hazed Questions'!$A$2:$A$23,"Q3",'3 Hazed Questions'!$C$2:$C$23,K255)+SUMIFS('3 Hazed Questions'!$K$2:$K$23,'3 Hazed Questions'!$A$2:$A$23,"Q4",'3 Hazed Questions'!$C$2:$C$23,L255))</f>
        <v/>
      </c>
      <c r="U255" s="14" t="str">
        <f aca="false">IF(COUNTA(I255:L255)=0,"",SUMIFS('3 Hazed Questions'!$L$2:$L$23,'3 Hazed Questions'!$A$2:$A$23,"Q1",'3 Hazed Questions'!$C$2:$C$23,I255)+SUMIFS('3 Hazed Questions'!$L$2:$L$23,'3 Hazed Questions'!$A$2:$A$23,"Q2",'3 Hazed Questions'!$C$2:$C$23,J255)+SUMIFS('3 Hazed Questions'!$L$2:$L$23,'3 Hazed Questions'!$A$2:$A$23,"Q3",'3 Hazed Questions'!$C$2:$C$23,K255)+SUMIFS('3 Hazed Questions'!$L$2:$L$23,'3 Hazed Questions'!$A$2:$A$23,"Q4",'3 Hazed Questions'!$C$2:$C$23,L255))</f>
        <v/>
      </c>
      <c r="V255" s="14" t="str">
        <f aca="false">IF(COUNTA(I255:L255)=0,"",SUMIFS('3 Hazed Questions'!$M$2:$M$23,'3 Hazed Questions'!$A$2:$A$23,"Q1",'3 Hazed Questions'!$C$2:$C$23,I255)+SUMIFS('3 Hazed Questions'!$M$2:$M$23,'3 Hazed Questions'!$A$2:$A$23,"Q2",'3 Hazed Questions'!$C$2:$C$23,J255)+SUMIFS('3 Hazed Questions'!$M$2:$M$23,'3 Hazed Questions'!$A$2:$A$23,"Q3",'3 Hazed Questions'!$C$2:$C$23,K255)+SUMIFS('3 Hazed Questions'!$M$2:$M$23,'3 Hazed Questions'!$A$2:$A$23,"Q4",'3 Hazed Questions'!$C$2:$C$23,L255))</f>
        <v/>
      </c>
      <c r="W255" s="14" t="str">
        <f aca="false">IF(COUNTA(I255:L255)=0,"",SUMIFS('3 Hazed Questions'!$N$2:$N$23,'3 Hazed Questions'!$A$2:$A$23,"Q1",'3 Hazed Questions'!$C$2:$C$23,I255)+SUMIFS('3 Hazed Questions'!$N$2:$N$23,'3 Hazed Questions'!$A$2:$A$23,"Q2",'3 Hazed Questions'!$C$2:$C$23,J255)+SUMIFS('3 Hazed Questions'!$N$2:$N$23,'3 Hazed Questions'!$A$2:$A$23,"Q3",'3 Hazed Questions'!$C$2:$C$23,K255)+SUMIFS('3 Hazed Questions'!$N$2:$N$23,'3 Hazed Questions'!$A$2:$A$23,"Q4",'3 Hazed Questions'!$C$2:$C$23,L255))</f>
        <v/>
      </c>
      <c r="X255" s="14" t="str">
        <f aca="false">IF(COUNTA(I255:L255)=0,"",INDEX(Fields!$B$2:$B$50,MATCH(SUBSTITUTE(INDEX($N$1:$W$1,MATCH(MAX($N255:$W255),$N255:$W255,0)),"Score: ",""),Fields!$A$2:$A$50,0)))</f>
        <v/>
      </c>
      <c r="Y255" s="14" t="str">
        <f aca="true">IF(COUNTA(I255:L255)=0,"",IF(LARGE($N255:$W255,2)=0,"-",INDEX(Fields!$B$2:$B$50,MATCH(SUBSTITUTE(INDEX($N$1:$W$1,IF(LARGE($N255:$W255,2)=MAX($N255:$W255),MATCH(MAX($N255:$W255),OFFSET($N255:$W255,0,MATCH(MAX($N255:$W255),$N255:$W255,0),1,10-MATCH(MAX($N255:$W255),$N255:$W255,0)),0)+MATCH(MAX($N255:$W255),$N255:$W255,0),MATCH(LARGE($N255:$W255,2),$N255:$W255,0))),"Score: ",""),Fields!$A$2:$A$50,0))))</f>
        <v/>
      </c>
      <c r="Z255" s="14" t="str">
        <f aca="false">IF(M255="","",IFERROR(INDEX('3 Hazed Questions'!$O$2:$O$23,MATCH(1,INDEX(('3 Hazed Questions'!$A$2:$A$23="Q5")*('3 Hazed Questions'!$C$2:$C$23=M255),0),0))&amp;"",""))</f>
        <v/>
      </c>
      <c r="AA255" s="18"/>
      <c r="AB255" s="18"/>
      <c r="AC255" s="19"/>
      <c r="AD255" s="19"/>
      <c r="AE255" s="18"/>
      <c r="AF255" s="18"/>
      <c r="AG255" s="18"/>
    </row>
    <row r="256" customFormat="false" ht="15" hidden="false" customHeight="false" outlineLevel="0" collapsed="false">
      <c r="A256" s="18"/>
      <c r="B256" s="19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4" t="str">
        <f aca="false">IF(COUNTA(I256:L256)=0,"",SUMIFS('3 Hazed Questions'!$E$2:$E$23,'3 Hazed Questions'!$A$2:$A$23,"Q1",'3 Hazed Questions'!$C$2:$C$23,I256)+SUMIFS('3 Hazed Questions'!$E$2:$E$23,'3 Hazed Questions'!$A$2:$A$23,"Q2",'3 Hazed Questions'!$C$2:$C$23,J256)+SUMIFS('3 Hazed Questions'!$E$2:$E$23,'3 Hazed Questions'!$A$2:$A$23,"Q3",'3 Hazed Questions'!$C$2:$C$23,K256)+SUMIFS('3 Hazed Questions'!$E$2:$E$23,'3 Hazed Questions'!$A$2:$A$23,"Q4",'3 Hazed Questions'!$C$2:$C$23,L256))</f>
        <v/>
      </c>
      <c r="O256" s="14" t="str">
        <f aca="false">IF(COUNTA(I256:L256)=0,"",SUMIFS('3 Hazed Questions'!$F$2:$F$23,'3 Hazed Questions'!$A$2:$A$23,"Q1",'3 Hazed Questions'!$C$2:$C$23,I256)+SUMIFS('3 Hazed Questions'!$F$2:$F$23,'3 Hazed Questions'!$A$2:$A$23,"Q2",'3 Hazed Questions'!$C$2:$C$23,J256)+SUMIFS('3 Hazed Questions'!$F$2:$F$23,'3 Hazed Questions'!$A$2:$A$23,"Q3",'3 Hazed Questions'!$C$2:$C$23,K256)+SUMIFS('3 Hazed Questions'!$F$2:$F$23,'3 Hazed Questions'!$A$2:$A$23,"Q4",'3 Hazed Questions'!$C$2:$C$23,L256))</f>
        <v/>
      </c>
      <c r="P256" s="14" t="str">
        <f aca="false">IF(COUNTA(I256:L256)=0,"",SUMIFS('3 Hazed Questions'!$G$2:$G$23,'3 Hazed Questions'!$A$2:$A$23,"Q1",'3 Hazed Questions'!$C$2:$C$23,I256)+SUMIFS('3 Hazed Questions'!$G$2:$G$23,'3 Hazed Questions'!$A$2:$A$23,"Q2",'3 Hazed Questions'!$C$2:$C$23,J256)+SUMIFS('3 Hazed Questions'!$G$2:$G$23,'3 Hazed Questions'!$A$2:$A$23,"Q3",'3 Hazed Questions'!$C$2:$C$23,K256)+SUMIFS('3 Hazed Questions'!$G$2:$G$23,'3 Hazed Questions'!$A$2:$A$23,"Q4",'3 Hazed Questions'!$C$2:$C$23,L256))</f>
        <v/>
      </c>
      <c r="Q256" s="14" t="str">
        <f aca="false">IF(COUNTA(I256:L256)=0,"",SUMIFS('3 Hazed Questions'!$H$2:$H$23,'3 Hazed Questions'!$A$2:$A$23,"Q1",'3 Hazed Questions'!$C$2:$C$23,I256)+SUMIFS('3 Hazed Questions'!$H$2:$H$23,'3 Hazed Questions'!$A$2:$A$23,"Q2",'3 Hazed Questions'!$C$2:$C$23,J256)+SUMIFS('3 Hazed Questions'!$H$2:$H$23,'3 Hazed Questions'!$A$2:$A$23,"Q3",'3 Hazed Questions'!$C$2:$C$23,K256)+SUMIFS('3 Hazed Questions'!$H$2:$H$23,'3 Hazed Questions'!$A$2:$A$23,"Q4",'3 Hazed Questions'!$C$2:$C$23,L256))</f>
        <v/>
      </c>
      <c r="R256" s="14" t="str">
        <f aca="false">IF(COUNTA(I256:L256)=0,"",SUMIFS('3 Hazed Questions'!$I$2:$I$23,'3 Hazed Questions'!$A$2:$A$23,"Q1",'3 Hazed Questions'!$C$2:$C$23,I256)+SUMIFS('3 Hazed Questions'!$I$2:$I$23,'3 Hazed Questions'!$A$2:$A$23,"Q2",'3 Hazed Questions'!$C$2:$C$23,J256)+SUMIFS('3 Hazed Questions'!$I$2:$I$23,'3 Hazed Questions'!$A$2:$A$23,"Q3",'3 Hazed Questions'!$C$2:$C$23,K256)+SUMIFS('3 Hazed Questions'!$I$2:$I$23,'3 Hazed Questions'!$A$2:$A$23,"Q4",'3 Hazed Questions'!$C$2:$C$23,L256))</f>
        <v/>
      </c>
      <c r="S256" s="14" t="str">
        <f aca="false">IF(COUNTA(I256:L256)=0,"",SUMIFS('3 Hazed Questions'!$J$2:$J$23,'3 Hazed Questions'!$A$2:$A$23,"Q1",'3 Hazed Questions'!$C$2:$C$23,I256)+SUMIFS('3 Hazed Questions'!$J$2:$J$23,'3 Hazed Questions'!$A$2:$A$23,"Q2",'3 Hazed Questions'!$C$2:$C$23,J256)+SUMIFS('3 Hazed Questions'!$J$2:$J$23,'3 Hazed Questions'!$A$2:$A$23,"Q3",'3 Hazed Questions'!$C$2:$C$23,K256)+SUMIFS('3 Hazed Questions'!$J$2:$J$23,'3 Hazed Questions'!$A$2:$A$23,"Q4",'3 Hazed Questions'!$C$2:$C$23,L256))</f>
        <v/>
      </c>
      <c r="T256" s="14" t="str">
        <f aca="false">IF(COUNTA(I256:L256)=0,"",SUMIFS('3 Hazed Questions'!$K$2:$K$23,'3 Hazed Questions'!$A$2:$A$23,"Q1",'3 Hazed Questions'!$C$2:$C$23,I256)+SUMIFS('3 Hazed Questions'!$K$2:$K$23,'3 Hazed Questions'!$A$2:$A$23,"Q2",'3 Hazed Questions'!$C$2:$C$23,J256)+SUMIFS('3 Hazed Questions'!$K$2:$K$23,'3 Hazed Questions'!$A$2:$A$23,"Q3",'3 Hazed Questions'!$C$2:$C$23,K256)+SUMIFS('3 Hazed Questions'!$K$2:$K$23,'3 Hazed Questions'!$A$2:$A$23,"Q4",'3 Hazed Questions'!$C$2:$C$23,L256))</f>
        <v/>
      </c>
      <c r="U256" s="14" t="str">
        <f aca="false">IF(COUNTA(I256:L256)=0,"",SUMIFS('3 Hazed Questions'!$L$2:$L$23,'3 Hazed Questions'!$A$2:$A$23,"Q1",'3 Hazed Questions'!$C$2:$C$23,I256)+SUMIFS('3 Hazed Questions'!$L$2:$L$23,'3 Hazed Questions'!$A$2:$A$23,"Q2",'3 Hazed Questions'!$C$2:$C$23,J256)+SUMIFS('3 Hazed Questions'!$L$2:$L$23,'3 Hazed Questions'!$A$2:$A$23,"Q3",'3 Hazed Questions'!$C$2:$C$23,K256)+SUMIFS('3 Hazed Questions'!$L$2:$L$23,'3 Hazed Questions'!$A$2:$A$23,"Q4",'3 Hazed Questions'!$C$2:$C$23,L256))</f>
        <v/>
      </c>
      <c r="V256" s="14" t="str">
        <f aca="false">IF(COUNTA(I256:L256)=0,"",SUMIFS('3 Hazed Questions'!$M$2:$M$23,'3 Hazed Questions'!$A$2:$A$23,"Q1",'3 Hazed Questions'!$C$2:$C$23,I256)+SUMIFS('3 Hazed Questions'!$M$2:$M$23,'3 Hazed Questions'!$A$2:$A$23,"Q2",'3 Hazed Questions'!$C$2:$C$23,J256)+SUMIFS('3 Hazed Questions'!$M$2:$M$23,'3 Hazed Questions'!$A$2:$A$23,"Q3",'3 Hazed Questions'!$C$2:$C$23,K256)+SUMIFS('3 Hazed Questions'!$M$2:$M$23,'3 Hazed Questions'!$A$2:$A$23,"Q4",'3 Hazed Questions'!$C$2:$C$23,L256))</f>
        <v/>
      </c>
      <c r="W256" s="14" t="str">
        <f aca="false">IF(COUNTA(I256:L256)=0,"",SUMIFS('3 Hazed Questions'!$N$2:$N$23,'3 Hazed Questions'!$A$2:$A$23,"Q1",'3 Hazed Questions'!$C$2:$C$23,I256)+SUMIFS('3 Hazed Questions'!$N$2:$N$23,'3 Hazed Questions'!$A$2:$A$23,"Q2",'3 Hazed Questions'!$C$2:$C$23,J256)+SUMIFS('3 Hazed Questions'!$N$2:$N$23,'3 Hazed Questions'!$A$2:$A$23,"Q3",'3 Hazed Questions'!$C$2:$C$23,K256)+SUMIFS('3 Hazed Questions'!$N$2:$N$23,'3 Hazed Questions'!$A$2:$A$23,"Q4",'3 Hazed Questions'!$C$2:$C$23,L256))</f>
        <v/>
      </c>
      <c r="X256" s="14" t="str">
        <f aca="false">IF(COUNTA(I256:L256)=0,"",INDEX(Fields!$B$2:$B$50,MATCH(SUBSTITUTE(INDEX($N$1:$W$1,MATCH(MAX($N256:$W256),$N256:$W256,0)),"Score: ",""),Fields!$A$2:$A$50,0)))</f>
        <v/>
      </c>
      <c r="Y256" s="14" t="str">
        <f aca="true">IF(COUNTA(I256:L256)=0,"",IF(LARGE($N256:$W256,2)=0,"-",INDEX(Fields!$B$2:$B$50,MATCH(SUBSTITUTE(INDEX($N$1:$W$1,IF(LARGE($N256:$W256,2)=MAX($N256:$W256),MATCH(MAX($N256:$W256),OFFSET($N256:$W256,0,MATCH(MAX($N256:$W256),$N256:$W256,0),1,10-MATCH(MAX($N256:$W256),$N256:$W256,0)),0)+MATCH(MAX($N256:$W256),$N256:$W256,0),MATCH(LARGE($N256:$W256,2),$N256:$W256,0))),"Score: ",""),Fields!$A$2:$A$50,0))))</f>
        <v/>
      </c>
      <c r="Z256" s="14" t="str">
        <f aca="false">IF(M256="","",IFERROR(INDEX('3 Hazed Questions'!$O$2:$O$23,MATCH(1,INDEX(('3 Hazed Questions'!$A$2:$A$23="Q5")*('3 Hazed Questions'!$C$2:$C$23=M256),0),0))&amp;"",""))</f>
        <v/>
      </c>
      <c r="AA256" s="18"/>
      <c r="AB256" s="18"/>
      <c r="AC256" s="19"/>
      <c r="AD256" s="19"/>
      <c r="AE256" s="18"/>
      <c r="AF256" s="18"/>
      <c r="AG256" s="18"/>
    </row>
    <row r="257" customFormat="false" ht="15" hidden="false" customHeight="false" outlineLevel="0" collapsed="false">
      <c r="A257" s="18"/>
      <c r="B257" s="19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4" t="str">
        <f aca="false">IF(COUNTA(I257:L257)=0,"",SUMIFS('3 Hazed Questions'!$E$2:$E$23,'3 Hazed Questions'!$A$2:$A$23,"Q1",'3 Hazed Questions'!$C$2:$C$23,I257)+SUMIFS('3 Hazed Questions'!$E$2:$E$23,'3 Hazed Questions'!$A$2:$A$23,"Q2",'3 Hazed Questions'!$C$2:$C$23,J257)+SUMIFS('3 Hazed Questions'!$E$2:$E$23,'3 Hazed Questions'!$A$2:$A$23,"Q3",'3 Hazed Questions'!$C$2:$C$23,K257)+SUMIFS('3 Hazed Questions'!$E$2:$E$23,'3 Hazed Questions'!$A$2:$A$23,"Q4",'3 Hazed Questions'!$C$2:$C$23,L257))</f>
        <v/>
      </c>
      <c r="O257" s="14" t="str">
        <f aca="false">IF(COUNTA(I257:L257)=0,"",SUMIFS('3 Hazed Questions'!$F$2:$F$23,'3 Hazed Questions'!$A$2:$A$23,"Q1",'3 Hazed Questions'!$C$2:$C$23,I257)+SUMIFS('3 Hazed Questions'!$F$2:$F$23,'3 Hazed Questions'!$A$2:$A$23,"Q2",'3 Hazed Questions'!$C$2:$C$23,J257)+SUMIFS('3 Hazed Questions'!$F$2:$F$23,'3 Hazed Questions'!$A$2:$A$23,"Q3",'3 Hazed Questions'!$C$2:$C$23,K257)+SUMIFS('3 Hazed Questions'!$F$2:$F$23,'3 Hazed Questions'!$A$2:$A$23,"Q4",'3 Hazed Questions'!$C$2:$C$23,L257))</f>
        <v/>
      </c>
      <c r="P257" s="14" t="str">
        <f aca="false">IF(COUNTA(I257:L257)=0,"",SUMIFS('3 Hazed Questions'!$G$2:$G$23,'3 Hazed Questions'!$A$2:$A$23,"Q1",'3 Hazed Questions'!$C$2:$C$23,I257)+SUMIFS('3 Hazed Questions'!$G$2:$G$23,'3 Hazed Questions'!$A$2:$A$23,"Q2",'3 Hazed Questions'!$C$2:$C$23,J257)+SUMIFS('3 Hazed Questions'!$G$2:$G$23,'3 Hazed Questions'!$A$2:$A$23,"Q3",'3 Hazed Questions'!$C$2:$C$23,K257)+SUMIFS('3 Hazed Questions'!$G$2:$G$23,'3 Hazed Questions'!$A$2:$A$23,"Q4",'3 Hazed Questions'!$C$2:$C$23,L257))</f>
        <v/>
      </c>
      <c r="Q257" s="14" t="str">
        <f aca="false">IF(COUNTA(I257:L257)=0,"",SUMIFS('3 Hazed Questions'!$H$2:$H$23,'3 Hazed Questions'!$A$2:$A$23,"Q1",'3 Hazed Questions'!$C$2:$C$23,I257)+SUMIFS('3 Hazed Questions'!$H$2:$H$23,'3 Hazed Questions'!$A$2:$A$23,"Q2",'3 Hazed Questions'!$C$2:$C$23,J257)+SUMIFS('3 Hazed Questions'!$H$2:$H$23,'3 Hazed Questions'!$A$2:$A$23,"Q3",'3 Hazed Questions'!$C$2:$C$23,K257)+SUMIFS('3 Hazed Questions'!$H$2:$H$23,'3 Hazed Questions'!$A$2:$A$23,"Q4",'3 Hazed Questions'!$C$2:$C$23,L257))</f>
        <v/>
      </c>
      <c r="R257" s="14" t="str">
        <f aca="false">IF(COUNTA(I257:L257)=0,"",SUMIFS('3 Hazed Questions'!$I$2:$I$23,'3 Hazed Questions'!$A$2:$A$23,"Q1",'3 Hazed Questions'!$C$2:$C$23,I257)+SUMIFS('3 Hazed Questions'!$I$2:$I$23,'3 Hazed Questions'!$A$2:$A$23,"Q2",'3 Hazed Questions'!$C$2:$C$23,J257)+SUMIFS('3 Hazed Questions'!$I$2:$I$23,'3 Hazed Questions'!$A$2:$A$23,"Q3",'3 Hazed Questions'!$C$2:$C$23,K257)+SUMIFS('3 Hazed Questions'!$I$2:$I$23,'3 Hazed Questions'!$A$2:$A$23,"Q4",'3 Hazed Questions'!$C$2:$C$23,L257))</f>
        <v/>
      </c>
      <c r="S257" s="14" t="str">
        <f aca="false">IF(COUNTA(I257:L257)=0,"",SUMIFS('3 Hazed Questions'!$J$2:$J$23,'3 Hazed Questions'!$A$2:$A$23,"Q1",'3 Hazed Questions'!$C$2:$C$23,I257)+SUMIFS('3 Hazed Questions'!$J$2:$J$23,'3 Hazed Questions'!$A$2:$A$23,"Q2",'3 Hazed Questions'!$C$2:$C$23,J257)+SUMIFS('3 Hazed Questions'!$J$2:$J$23,'3 Hazed Questions'!$A$2:$A$23,"Q3",'3 Hazed Questions'!$C$2:$C$23,K257)+SUMIFS('3 Hazed Questions'!$J$2:$J$23,'3 Hazed Questions'!$A$2:$A$23,"Q4",'3 Hazed Questions'!$C$2:$C$23,L257))</f>
        <v/>
      </c>
      <c r="T257" s="14" t="str">
        <f aca="false">IF(COUNTA(I257:L257)=0,"",SUMIFS('3 Hazed Questions'!$K$2:$K$23,'3 Hazed Questions'!$A$2:$A$23,"Q1",'3 Hazed Questions'!$C$2:$C$23,I257)+SUMIFS('3 Hazed Questions'!$K$2:$K$23,'3 Hazed Questions'!$A$2:$A$23,"Q2",'3 Hazed Questions'!$C$2:$C$23,J257)+SUMIFS('3 Hazed Questions'!$K$2:$K$23,'3 Hazed Questions'!$A$2:$A$23,"Q3",'3 Hazed Questions'!$C$2:$C$23,K257)+SUMIFS('3 Hazed Questions'!$K$2:$K$23,'3 Hazed Questions'!$A$2:$A$23,"Q4",'3 Hazed Questions'!$C$2:$C$23,L257))</f>
        <v/>
      </c>
      <c r="U257" s="14" t="str">
        <f aca="false">IF(COUNTA(I257:L257)=0,"",SUMIFS('3 Hazed Questions'!$L$2:$L$23,'3 Hazed Questions'!$A$2:$A$23,"Q1",'3 Hazed Questions'!$C$2:$C$23,I257)+SUMIFS('3 Hazed Questions'!$L$2:$L$23,'3 Hazed Questions'!$A$2:$A$23,"Q2",'3 Hazed Questions'!$C$2:$C$23,J257)+SUMIFS('3 Hazed Questions'!$L$2:$L$23,'3 Hazed Questions'!$A$2:$A$23,"Q3",'3 Hazed Questions'!$C$2:$C$23,K257)+SUMIFS('3 Hazed Questions'!$L$2:$L$23,'3 Hazed Questions'!$A$2:$A$23,"Q4",'3 Hazed Questions'!$C$2:$C$23,L257))</f>
        <v/>
      </c>
      <c r="V257" s="14" t="str">
        <f aca="false">IF(COUNTA(I257:L257)=0,"",SUMIFS('3 Hazed Questions'!$M$2:$M$23,'3 Hazed Questions'!$A$2:$A$23,"Q1",'3 Hazed Questions'!$C$2:$C$23,I257)+SUMIFS('3 Hazed Questions'!$M$2:$M$23,'3 Hazed Questions'!$A$2:$A$23,"Q2",'3 Hazed Questions'!$C$2:$C$23,J257)+SUMIFS('3 Hazed Questions'!$M$2:$M$23,'3 Hazed Questions'!$A$2:$A$23,"Q3",'3 Hazed Questions'!$C$2:$C$23,K257)+SUMIFS('3 Hazed Questions'!$M$2:$M$23,'3 Hazed Questions'!$A$2:$A$23,"Q4",'3 Hazed Questions'!$C$2:$C$23,L257))</f>
        <v/>
      </c>
      <c r="W257" s="14" t="str">
        <f aca="false">IF(COUNTA(I257:L257)=0,"",SUMIFS('3 Hazed Questions'!$N$2:$N$23,'3 Hazed Questions'!$A$2:$A$23,"Q1",'3 Hazed Questions'!$C$2:$C$23,I257)+SUMIFS('3 Hazed Questions'!$N$2:$N$23,'3 Hazed Questions'!$A$2:$A$23,"Q2",'3 Hazed Questions'!$C$2:$C$23,J257)+SUMIFS('3 Hazed Questions'!$N$2:$N$23,'3 Hazed Questions'!$A$2:$A$23,"Q3",'3 Hazed Questions'!$C$2:$C$23,K257)+SUMIFS('3 Hazed Questions'!$N$2:$N$23,'3 Hazed Questions'!$A$2:$A$23,"Q4",'3 Hazed Questions'!$C$2:$C$23,L257))</f>
        <v/>
      </c>
      <c r="X257" s="14" t="str">
        <f aca="false">IF(COUNTA(I257:L257)=0,"",INDEX(Fields!$B$2:$B$50,MATCH(SUBSTITUTE(INDEX($N$1:$W$1,MATCH(MAX($N257:$W257),$N257:$W257,0)),"Score: ",""),Fields!$A$2:$A$50,0)))</f>
        <v/>
      </c>
      <c r="Y257" s="14" t="str">
        <f aca="true">IF(COUNTA(I257:L257)=0,"",IF(LARGE($N257:$W257,2)=0,"-",INDEX(Fields!$B$2:$B$50,MATCH(SUBSTITUTE(INDEX($N$1:$W$1,IF(LARGE($N257:$W257,2)=MAX($N257:$W257),MATCH(MAX($N257:$W257),OFFSET($N257:$W257,0,MATCH(MAX($N257:$W257),$N257:$W257,0),1,10-MATCH(MAX($N257:$W257),$N257:$W257,0)),0)+MATCH(MAX($N257:$W257),$N257:$W257,0),MATCH(LARGE($N257:$W257,2),$N257:$W257,0))),"Score: ",""),Fields!$A$2:$A$50,0))))</f>
        <v/>
      </c>
      <c r="Z257" s="14" t="str">
        <f aca="false">IF(M257="","",IFERROR(INDEX('3 Hazed Questions'!$O$2:$O$23,MATCH(1,INDEX(('3 Hazed Questions'!$A$2:$A$23="Q5")*('3 Hazed Questions'!$C$2:$C$23=M257),0),0))&amp;"",""))</f>
        <v/>
      </c>
      <c r="AA257" s="18"/>
      <c r="AB257" s="18"/>
      <c r="AC257" s="19"/>
      <c r="AD257" s="19"/>
      <c r="AE257" s="18"/>
      <c r="AF257" s="18"/>
      <c r="AG257" s="18"/>
    </row>
    <row r="258" customFormat="false" ht="15" hidden="false" customHeight="false" outlineLevel="0" collapsed="false">
      <c r="A258" s="18"/>
      <c r="B258" s="19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4" t="str">
        <f aca="false">IF(COUNTA(I258:L258)=0,"",SUMIFS('3 Hazed Questions'!$E$2:$E$23,'3 Hazed Questions'!$A$2:$A$23,"Q1",'3 Hazed Questions'!$C$2:$C$23,I258)+SUMIFS('3 Hazed Questions'!$E$2:$E$23,'3 Hazed Questions'!$A$2:$A$23,"Q2",'3 Hazed Questions'!$C$2:$C$23,J258)+SUMIFS('3 Hazed Questions'!$E$2:$E$23,'3 Hazed Questions'!$A$2:$A$23,"Q3",'3 Hazed Questions'!$C$2:$C$23,K258)+SUMIFS('3 Hazed Questions'!$E$2:$E$23,'3 Hazed Questions'!$A$2:$A$23,"Q4",'3 Hazed Questions'!$C$2:$C$23,L258))</f>
        <v/>
      </c>
      <c r="O258" s="14" t="str">
        <f aca="false">IF(COUNTA(I258:L258)=0,"",SUMIFS('3 Hazed Questions'!$F$2:$F$23,'3 Hazed Questions'!$A$2:$A$23,"Q1",'3 Hazed Questions'!$C$2:$C$23,I258)+SUMIFS('3 Hazed Questions'!$F$2:$F$23,'3 Hazed Questions'!$A$2:$A$23,"Q2",'3 Hazed Questions'!$C$2:$C$23,J258)+SUMIFS('3 Hazed Questions'!$F$2:$F$23,'3 Hazed Questions'!$A$2:$A$23,"Q3",'3 Hazed Questions'!$C$2:$C$23,K258)+SUMIFS('3 Hazed Questions'!$F$2:$F$23,'3 Hazed Questions'!$A$2:$A$23,"Q4",'3 Hazed Questions'!$C$2:$C$23,L258))</f>
        <v/>
      </c>
      <c r="P258" s="14" t="str">
        <f aca="false">IF(COUNTA(I258:L258)=0,"",SUMIFS('3 Hazed Questions'!$G$2:$G$23,'3 Hazed Questions'!$A$2:$A$23,"Q1",'3 Hazed Questions'!$C$2:$C$23,I258)+SUMIFS('3 Hazed Questions'!$G$2:$G$23,'3 Hazed Questions'!$A$2:$A$23,"Q2",'3 Hazed Questions'!$C$2:$C$23,J258)+SUMIFS('3 Hazed Questions'!$G$2:$G$23,'3 Hazed Questions'!$A$2:$A$23,"Q3",'3 Hazed Questions'!$C$2:$C$23,K258)+SUMIFS('3 Hazed Questions'!$G$2:$G$23,'3 Hazed Questions'!$A$2:$A$23,"Q4",'3 Hazed Questions'!$C$2:$C$23,L258))</f>
        <v/>
      </c>
      <c r="Q258" s="14" t="str">
        <f aca="false">IF(COUNTA(I258:L258)=0,"",SUMIFS('3 Hazed Questions'!$H$2:$H$23,'3 Hazed Questions'!$A$2:$A$23,"Q1",'3 Hazed Questions'!$C$2:$C$23,I258)+SUMIFS('3 Hazed Questions'!$H$2:$H$23,'3 Hazed Questions'!$A$2:$A$23,"Q2",'3 Hazed Questions'!$C$2:$C$23,J258)+SUMIFS('3 Hazed Questions'!$H$2:$H$23,'3 Hazed Questions'!$A$2:$A$23,"Q3",'3 Hazed Questions'!$C$2:$C$23,K258)+SUMIFS('3 Hazed Questions'!$H$2:$H$23,'3 Hazed Questions'!$A$2:$A$23,"Q4",'3 Hazed Questions'!$C$2:$C$23,L258))</f>
        <v/>
      </c>
      <c r="R258" s="14" t="str">
        <f aca="false">IF(COUNTA(I258:L258)=0,"",SUMIFS('3 Hazed Questions'!$I$2:$I$23,'3 Hazed Questions'!$A$2:$A$23,"Q1",'3 Hazed Questions'!$C$2:$C$23,I258)+SUMIFS('3 Hazed Questions'!$I$2:$I$23,'3 Hazed Questions'!$A$2:$A$23,"Q2",'3 Hazed Questions'!$C$2:$C$23,J258)+SUMIFS('3 Hazed Questions'!$I$2:$I$23,'3 Hazed Questions'!$A$2:$A$23,"Q3",'3 Hazed Questions'!$C$2:$C$23,K258)+SUMIFS('3 Hazed Questions'!$I$2:$I$23,'3 Hazed Questions'!$A$2:$A$23,"Q4",'3 Hazed Questions'!$C$2:$C$23,L258))</f>
        <v/>
      </c>
      <c r="S258" s="14" t="str">
        <f aca="false">IF(COUNTA(I258:L258)=0,"",SUMIFS('3 Hazed Questions'!$J$2:$J$23,'3 Hazed Questions'!$A$2:$A$23,"Q1",'3 Hazed Questions'!$C$2:$C$23,I258)+SUMIFS('3 Hazed Questions'!$J$2:$J$23,'3 Hazed Questions'!$A$2:$A$23,"Q2",'3 Hazed Questions'!$C$2:$C$23,J258)+SUMIFS('3 Hazed Questions'!$J$2:$J$23,'3 Hazed Questions'!$A$2:$A$23,"Q3",'3 Hazed Questions'!$C$2:$C$23,K258)+SUMIFS('3 Hazed Questions'!$J$2:$J$23,'3 Hazed Questions'!$A$2:$A$23,"Q4",'3 Hazed Questions'!$C$2:$C$23,L258))</f>
        <v/>
      </c>
      <c r="T258" s="14" t="str">
        <f aca="false">IF(COUNTA(I258:L258)=0,"",SUMIFS('3 Hazed Questions'!$K$2:$K$23,'3 Hazed Questions'!$A$2:$A$23,"Q1",'3 Hazed Questions'!$C$2:$C$23,I258)+SUMIFS('3 Hazed Questions'!$K$2:$K$23,'3 Hazed Questions'!$A$2:$A$23,"Q2",'3 Hazed Questions'!$C$2:$C$23,J258)+SUMIFS('3 Hazed Questions'!$K$2:$K$23,'3 Hazed Questions'!$A$2:$A$23,"Q3",'3 Hazed Questions'!$C$2:$C$23,K258)+SUMIFS('3 Hazed Questions'!$K$2:$K$23,'3 Hazed Questions'!$A$2:$A$23,"Q4",'3 Hazed Questions'!$C$2:$C$23,L258))</f>
        <v/>
      </c>
      <c r="U258" s="14" t="str">
        <f aca="false">IF(COUNTA(I258:L258)=0,"",SUMIFS('3 Hazed Questions'!$L$2:$L$23,'3 Hazed Questions'!$A$2:$A$23,"Q1",'3 Hazed Questions'!$C$2:$C$23,I258)+SUMIFS('3 Hazed Questions'!$L$2:$L$23,'3 Hazed Questions'!$A$2:$A$23,"Q2",'3 Hazed Questions'!$C$2:$C$23,J258)+SUMIFS('3 Hazed Questions'!$L$2:$L$23,'3 Hazed Questions'!$A$2:$A$23,"Q3",'3 Hazed Questions'!$C$2:$C$23,K258)+SUMIFS('3 Hazed Questions'!$L$2:$L$23,'3 Hazed Questions'!$A$2:$A$23,"Q4",'3 Hazed Questions'!$C$2:$C$23,L258))</f>
        <v/>
      </c>
      <c r="V258" s="14" t="str">
        <f aca="false">IF(COUNTA(I258:L258)=0,"",SUMIFS('3 Hazed Questions'!$M$2:$M$23,'3 Hazed Questions'!$A$2:$A$23,"Q1",'3 Hazed Questions'!$C$2:$C$23,I258)+SUMIFS('3 Hazed Questions'!$M$2:$M$23,'3 Hazed Questions'!$A$2:$A$23,"Q2",'3 Hazed Questions'!$C$2:$C$23,J258)+SUMIFS('3 Hazed Questions'!$M$2:$M$23,'3 Hazed Questions'!$A$2:$A$23,"Q3",'3 Hazed Questions'!$C$2:$C$23,K258)+SUMIFS('3 Hazed Questions'!$M$2:$M$23,'3 Hazed Questions'!$A$2:$A$23,"Q4",'3 Hazed Questions'!$C$2:$C$23,L258))</f>
        <v/>
      </c>
      <c r="W258" s="14" t="str">
        <f aca="false">IF(COUNTA(I258:L258)=0,"",SUMIFS('3 Hazed Questions'!$N$2:$N$23,'3 Hazed Questions'!$A$2:$A$23,"Q1",'3 Hazed Questions'!$C$2:$C$23,I258)+SUMIFS('3 Hazed Questions'!$N$2:$N$23,'3 Hazed Questions'!$A$2:$A$23,"Q2",'3 Hazed Questions'!$C$2:$C$23,J258)+SUMIFS('3 Hazed Questions'!$N$2:$N$23,'3 Hazed Questions'!$A$2:$A$23,"Q3",'3 Hazed Questions'!$C$2:$C$23,K258)+SUMIFS('3 Hazed Questions'!$N$2:$N$23,'3 Hazed Questions'!$A$2:$A$23,"Q4",'3 Hazed Questions'!$C$2:$C$23,L258))</f>
        <v/>
      </c>
      <c r="X258" s="14" t="str">
        <f aca="false">IF(COUNTA(I258:L258)=0,"",INDEX(Fields!$B$2:$B$50,MATCH(SUBSTITUTE(INDEX($N$1:$W$1,MATCH(MAX($N258:$W258),$N258:$W258,0)),"Score: ",""),Fields!$A$2:$A$50,0)))</f>
        <v/>
      </c>
      <c r="Y258" s="14" t="str">
        <f aca="true">IF(COUNTA(I258:L258)=0,"",IF(LARGE($N258:$W258,2)=0,"-",INDEX(Fields!$B$2:$B$50,MATCH(SUBSTITUTE(INDEX($N$1:$W$1,IF(LARGE($N258:$W258,2)=MAX($N258:$W258),MATCH(MAX($N258:$W258),OFFSET($N258:$W258,0,MATCH(MAX($N258:$W258),$N258:$W258,0),1,10-MATCH(MAX($N258:$W258),$N258:$W258,0)),0)+MATCH(MAX($N258:$W258),$N258:$W258,0),MATCH(LARGE($N258:$W258,2),$N258:$W258,0))),"Score: ",""),Fields!$A$2:$A$50,0))))</f>
        <v/>
      </c>
      <c r="Z258" s="14" t="str">
        <f aca="false">IF(M258="","",IFERROR(INDEX('3 Hazed Questions'!$O$2:$O$23,MATCH(1,INDEX(('3 Hazed Questions'!$A$2:$A$23="Q5")*('3 Hazed Questions'!$C$2:$C$23=M258),0),0))&amp;"",""))</f>
        <v/>
      </c>
      <c r="AA258" s="18"/>
      <c r="AB258" s="18"/>
      <c r="AC258" s="19"/>
      <c r="AD258" s="19"/>
      <c r="AE258" s="18"/>
      <c r="AF258" s="18"/>
      <c r="AG258" s="18"/>
    </row>
    <row r="259" customFormat="false" ht="15" hidden="false" customHeight="false" outlineLevel="0" collapsed="false">
      <c r="A259" s="18"/>
      <c r="B259" s="19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4" t="str">
        <f aca="false">IF(COUNTA(I259:L259)=0,"",SUMIFS('3 Hazed Questions'!$E$2:$E$23,'3 Hazed Questions'!$A$2:$A$23,"Q1",'3 Hazed Questions'!$C$2:$C$23,I259)+SUMIFS('3 Hazed Questions'!$E$2:$E$23,'3 Hazed Questions'!$A$2:$A$23,"Q2",'3 Hazed Questions'!$C$2:$C$23,J259)+SUMIFS('3 Hazed Questions'!$E$2:$E$23,'3 Hazed Questions'!$A$2:$A$23,"Q3",'3 Hazed Questions'!$C$2:$C$23,K259)+SUMIFS('3 Hazed Questions'!$E$2:$E$23,'3 Hazed Questions'!$A$2:$A$23,"Q4",'3 Hazed Questions'!$C$2:$C$23,L259))</f>
        <v/>
      </c>
      <c r="O259" s="14" t="str">
        <f aca="false">IF(COUNTA(I259:L259)=0,"",SUMIFS('3 Hazed Questions'!$F$2:$F$23,'3 Hazed Questions'!$A$2:$A$23,"Q1",'3 Hazed Questions'!$C$2:$C$23,I259)+SUMIFS('3 Hazed Questions'!$F$2:$F$23,'3 Hazed Questions'!$A$2:$A$23,"Q2",'3 Hazed Questions'!$C$2:$C$23,J259)+SUMIFS('3 Hazed Questions'!$F$2:$F$23,'3 Hazed Questions'!$A$2:$A$23,"Q3",'3 Hazed Questions'!$C$2:$C$23,K259)+SUMIFS('3 Hazed Questions'!$F$2:$F$23,'3 Hazed Questions'!$A$2:$A$23,"Q4",'3 Hazed Questions'!$C$2:$C$23,L259))</f>
        <v/>
      </c>
      <c r="P259" s="14" t="str">
        <f aca="false">IF(COUNTA(I259:L259)=0,"",SUMIFS('3 Hazed Questions'!$G$2:$G$23,'3 Hazed Questions'!$A$2:$A$23,"Q1",'3 Hazed Questions'!$C$2:$C$23,I259)+SUMIFS('3 Hazed Questions'!$G$2:$G$23,'3 Hazed Questions'!$A$2:$A$23,"Q2",'3 Hazed Questions'!$C$2:$C$23,J259)+SUMIFS('3 Hazed Questions'!$G$2:$G$23,'3 Hazed Questions'!$A$2:$A$23,"Q3",'3 Hazed Questions'!$C$2:$C$23,K259)+SUMIFS('3 Hazed Questions'!$G$2:$G$23,'3 Hazed Questions'!$A$2:$A$23,"Q4",'3 Hazed Questions'!$C$2:$C$23,L259))</f>
        <v/>
      </c>
      <c r="Q259" s="14" t="str">
        <f aca="false">IF(COUNTA(I259:L259)=0,"",SUMIFS('3 Hazed Questions'!$H$2:$H$23,'3 Hazed Questions'!$A$2:$A$23,"Q1",'3 Hazed Questions'!$C$2:$C$23,I259)+SUMIFS('3 Hazed Questions'!$H$2:$H$23,'3 Hazed Questions'!$A$2:$A$23,"Q2",'3 Hazed Questions'!$C$2:$C$23,J259)+SUMIFS('3 Hazed Questions'!$H$2:$H$23,'3 Hazed Questions'!$A$2:$A$23,"Q3",'3 Hazed Questions'!$C$2:$C$23,K259)+SUMIFS('3 Hazed Questions'!$H$2:$H$23,'3 Hazed Questions'!$A$2:$A$23,"Q4",'3 Hazed Questions'!$C$2:$C$23,L259))</f>
        <v/>
      </c>
      <c r="R259" s="14" t="str">
        <f aca="false">IF(COUNTA(I259:L259)=0,"",SUMIFS('3 Hazed Questions'!$I$2:$I$23,'3 Hazed Questions'!$A$2:$A$23,"Q1",'3 Hazed Questions'!$C$2:$C$23,I259)+SUMIFS('3 Hazed Questions'!$I$2:$I$23,'3 Hazed Questions'!$A$2:$A$23,"Q2",'3 Hazed Questions'!$C$2:$C$23,J259)+SUMIFS('3 Hazed Questions'!$I$2:$I$23,'3 Hazed Questions'!$A$2:$A$23,"Q3",'3 Hazed Questions'!$C$2:$C$23,K259)+SUMIFS('3 Hazed Questions'!$I$2:$I$23,'3 Hazed Questions'!$A$2:$A$23,"Q4",'3 Hazed Questions'!$C$2:$C$23,L259))</f>
        <v/>
      </c>
      <c r="S259" s="14" t="str">
        <f aca="false">IF(COUNTA(I259:L259)=0,"",SUMIFS('3 Hazed Questions'!$J$2:$J$23,'3 Hazed Questions'!$A$2:$A$23,"Q1",'3 Hazed Questions'!$C$2:$C$23,I259)+SUMIFS('3 Hazed Questions'!$J$2:$J$23,'3 Hazed Questions'!$A$2:$A$23,"Q2",'3 Hazed Questions'!$C$2:$C$23,J259)+SUMIFS('3 Hazed Questions'!$J$2:$J$23,'3 Hazed Questions'!$A$2:$A$23,"Q3",'3 Hazed Questions'!$C$2:$C$23,K259)+SUMIFS('3 Hazed Questions'!$J$2:$J$23,'3 Hazed Questions'!$A$2:$A$23,"Q4",'3 Hazed Questions'!$C$2:$C$23,L259))</f>
        <v/>
      </c>
      <c r="T259" s="14" t="str">
        <f aca="false">IF(COUNTA(I259:L259)=0,"",SUMIFS('3 Hazed Questions'!$K$2:$K$23,'3 Hazed Questions'!$A$2:$A$23,"Q1",'3 Hazed Questions'!$C$2:$C$23,I259)+SUMIFS('3 Hazed Questions'!$K$2:$K$23,'3 Hazed Questions'!$A$2:$A$23,"Q2",'3 Hazed Questions'!$C$2:$C$23,J259)+SUMIFS('3 Hazed Questions'!$K$2:$K$23,'3 Hazed Questions'!$A$2:$A$23,"Q3",'3 Hazed Questions'!$C$2:$C$23,K259)+SUMIFS('3 Hazed Questions'!$K$2:$K$23,'3 Hazed Questions'!$A$2:$A$23,"Q4",'3 Hazed Questions'!$C$2:$C$23,L259))</f>
        <v/>
      </c>
      <c r="U259" s="14" t="str">
        <f aca="false">IF(COUNTA(I259:L259)=0,"",SUMIFS('3 Hazed Questions'!$L$2:$L$23,'3 Hazed Questions'!$A$2:$A$23,"Q1",'3 Hazed Questions'!$C$2:$C$23,I259)+SUMIFS('3 Hazed Questions'!$L$2:$L$23,'3 Hazed Questions'!$A$2:$A$23,"Q2",'3 Hazed Questions'!$C$2:$C$23,J259)+SUMIFS('3 Hazed Questions'!$L$2:$L$23,'3 Hazed Questions'!$A$2:$A$23,"Q3",'3 Hazed Questions'!$C$2:$C$23,K259)+SUMIFS('3 Hazed Questions'!$L$2:$L$23,'3 Hazed Questions'!$A$2:$A$23,"Q4",'3 Hazed Questions'!$C$2:$C$23,L259))</f>
        <v/>
      </c>
      <c r="V259" s="14" t="str">
        <f aca="false">IF(COUNTA(I259:L259)=0,"",SUMIFS('3 Hazed Questions'!$M$2:$M$23,'3 Hazed Questions'!$A$2:$A$23,"Q1",'3 Hazed Questions'!$C$2:$C$23,I259)+SUMIFS('3 Hazed Questions'!$M$2:$M$23,'3 Hazed Questions'!$A$2:$A$23,"Q2",'3 Hazed Questions'!$C$2:$C$23,J259)+SUMIFS('3 Hazed Questions'!$M$2:$M$23,'3 Hazed Questions'!$A$2:$A$23,"Q3",'3 Hazed Questions'!$C$2:$C$23,K259)+SUMIFS('3 Hazed Questions'!$M$2:$M$23,'3 Hazed Questions'!$A$2:$A$23,"Q4",'3 Hazed Questions'!$C$2:$C$23,L259))</f>
        <v/>
      </c>
      <c r="W259" s="14" t="str">
        <f aca="false">IF(COUNTA(I259:L259)=0,"",SUMIFS('3 Hazed Questions'!$N$2:$N$23,'3 Hazed Questions'!$A$2:$A$23,"Q1",'3 Hazed Questions'!$C$2:$C$23,I259)+SUMIFS('3 Hazed Questions'!$N$2:$N$23,'3 Hazed Questions'!$A$2:$A$23,"Q2",'3 Hazed Questions'!$C$2:$C$23,J259)+SUMIFS('3 Hazed Questions'!$N$2:$N$23,'3 Hazed Questions'!$A$2:$A$23,"Q3",'3 Hazed Questions'!$C$2:$C$23,K259)+SUMIFS('3 Hazed Questions'!$N$2:$N$23,'3 Hazed Questions'!$A$2:$A$23,"Q4",'3 Hazed Questions'!$C$2:$C$23,L259))</f>
        <v/>
      </c>
      <c r="X259" s="14" t="str">
        <f aca="false">IF(COUNTA(I259:L259)=0,"",INDEX(Fields!$B$2:$B$50,MATCH(SUBSTITUTE(INDEX($N$1:$W$1,MATCH(MAX($N259:$W259),$N259:$W259,0)),"Score: ",""),Fields!$A$2:$A$50,0)))</f>
        <v/>
      </c>
      <c r="Y259" s="14" t="str">
        <f aca="true">IF(COUNTA(I259:L259)=0,"",IF(LARGE($N259:$W259,2)=0,"-",INDEX(Fields!$B$2:$B$50,MATCH(SUBSTITUTE(INDEX($N$1:$W$1,IF(LARGE($N259:$W259,2)=MAX($N259:$W259),MATCH(MAX($N259:$W259),OFFSET($N259:$W259,0,MATCH(MAX($N259:$W259),$N259:$W259,0),1,10-MATCH(MAX($N259:$W259),$N259:$W259,0)),0)+MATCH(MAX($N259:$W259),$N259:$W259,0),MATCH(LARGE($N259:$W259,2),$N259:$W259,0))),"Score: ",""),Fields!$A$2:$A$50,0))))</f>
        <v/>
      </c>
      <c r="Z259" s="14" t="str">
        <f aca="false">IF(M259="","",IFERROR(INDEX('3 Hazed Questions'!$O$2:$O$23,MATCH(1,INDEX(('3 Hazed Questions'!$A$2:$A$23="Q5")*('3 Hazed Questions'!$C$2:$C$23=M259),0),0))&amp;"",""))</f>
        <v/>
      </c>
      <c r="AA259" s="18"/>
      <c r="AB259" s="18"/>
      <c r="AC259" s="19"/>
      <c r="AD259" s="19"/>
      <c r="AE259" s="18"/>
      <c r="AF259" s="18"/>
      <c r="AG259" s="18"/>
    </row>
    <row r="260" customFormat="false" ht="15" hidden="false" customHeight="false" outlineLevel="0" collapsed="false">
      <c r="A260" s="18"/>
      <c r="B260" s="19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4" t="str">
        <f aca="false">IF(COUNTA(I260:L260)=0,"",SUMIFS('3 Hazed Questions'!$E$2:$E$23,'3 Hazed Questions'!$A$2:$A$23,"Q1",'3 Hazed Questions'!$C$2:$C$23,I260)+SUMIFS('3 Hazed Questions'!$E$2:$E$23,'3 Hazed Questions'!$A$2:$A$23,"Q2",'3 Hazed Questions'!$C$2:$C$23,J260)+SUMIFS('3 Hazed Questions'!$E$2:$E$23,'3 Hazed Questions'!$A$2:$A$23,"Q3",'3 Hazed Questions'!$C$2:$C$23,K260)+SUMIFS('3 Hazed Questions'!$E$2:$E$23,'3 Hazed Questions'!$A$2:$A$23,"Q4",'3 Hazed Questions'!$C$2:$C$23,L260))</f>
        <v/>
      </c>
      <c r="O260" s="14" t="str">
        <f aca="false">IF(COUNTA(I260:L260)=0,"",SUMIFS('3 Hazed Questions'!$F$2:$F$23,'3 Hazed Questions'!$A$2:$A$23,"Q1",'3 Hazed Questions'!$C$2:$C$23,I260)+SUMIFS('3 Hazed Questions'!$F$2:$F$23,'3 Hazed Questions'!$A$2:$A$23,"Q2",'3 Hazed Questions'!$C$2:$C$23,J260)+SUMIFS('3 Hazed Questions'!$F$2:$F$23,'3 Hazed Questions'!$A$2:$A$23,"Q3",'3 Hazed Questions'!$C$2:$C$23,K260)+SUMIFS('3 Hazed Questions'!$F$2:$F$23,'3 Hazed Questions'!$A$2:$A$23,"Q4",'3 Hazed Questions'!$C$2:$C$23,L260))</f>
        <v/>
      </c>
      <c r="P260" s="14" t="str">
        <f aca="false">IF(COUNTA(I260:L260)=0,"",SUMIFS('3 Hazed Questions'!$G$2:$G$23,'3 Hazed Questions'!$A$2:$A$23,"Q1",'3 Hazed Questions'!$C$2:$C$23,I260)+SUMIFS('3 Hazed Questions'!$G$2:$G$23,'3 Hazed Questions'!$A$2:$A$23,"Q2",'3 Hazed Questions'!$C$2:$C$23,J260)+SUMIFS('3 Hazed Questions'!$G$2:$G$23,'3 Hazed Questions'!$A$2:$A$23,"Q3",'3 Hazed Questions'!$C$2:$C$23,K260)+SUMIFS('3 Hazed Questions'!$G$2:$G$23,'3 Hazed Questions'!$A$2:$A$23,"Q4",'3 Hazed Questions'!$C$2:$C$23,L260))</f>
        <v/>
      </c>
      <c r="Q260" s="14" t="str">
        <f aca="false">IF(COUNTA(I260:L260)=0,"",SUMIFS('3 Hazed Questions'!$H$2:$H$23,'3 Hazed Questions'!$A$2:$A$23,"Q1",'3 Hazed Questions'!$C$2:$C$23,I260)+SUMIFS('3 Hazed Questions'!$H$2:$H$23,'3 Hazed Questions'!$A$2:$A$23,"Q2",'3 Hazed Questions'!$C$2:$C$23,J260)+SUMIFS('3 Hazed Questions'!$H$2:$H$23,'3 Hazed Questions'!$A$2:$A$23,"Q3",'3 Hazed Questions'!$C$2:$C$23,K260)+SUMIFS('3 Hazed Questions'!$H$2:$H$23,'3 Hazed Questions'!$A$2:$A$23,"Q4",'3 Hazed Questions'!$C$2:$C$23,L260))</f>
        <v/>
      </c>
      <c r="R260" s="14" t="str">
        <f aca="false">IF(COUNTA(I260:L260)=0,"",SUMIFS('3 Hazed Questions'!$I$2:$I$23,'3 Hazed Questions'!$A$2:$A$23,"Q1",'3 Hazed Questions'!$C$2:$C$23,I260)+SUMIFS('3 Hazed Questions'!$I$2:$I$23,'3 Hazed Questions'!$A$2:$A$23,"Q2",'3 Hazed Questions'!$C$2:$C$23,J260)+SUMIFS('3 Hazed Questions'!$I$2:$I$23,'3 Hazed Questions'!$A$2:$A$23,"Q3",'3 Hazed Questions'!$C$2:$C$23,K260)+SUMIFS('3 Hazed Questions'!$I$2:$I$23,'3 Hazed Questions'!$A$2:$A$23,"Q4",'3 Hazed Questions'!$C$2:$C$23,L260))</f>
        <v/>
      </c>
      <c r="S260" s="14" t="str">
        <f aca="false">IF(COUNTA(I260:L260)=0,"",SUMIFS('3 Hazed Questions'!$J$2:$J$23,'3 Hazed Questions'!$A$2:$A$23,"Q1",'3 Hazed Questions'!$C$2:$C$23,I260)+SUMIFS('3 Hazed Questions'!$J$2:$J$23,'3 Hazed Questions'!$A$2:$A$23,"Q2",'3 Hazed Questions'!$C$2:$C$23,J260)+SUMIFS('3 Hazed Questions'!$J$2:$J$23,'3 Hazed Questions'!$A$2:$A$23,"Q3",'3 Hazed Questions'!$C$2:$C$23,K260)+SUMIFS('3 Hazed Questions'!$J$2:$J$23,'3 Hazed Questions'!$A$2:$A$23,"Q4",'3 Hazed Questions'!$C$2:$C$23,L260))</f>
        <v/>
      </c>
      <c r="T260" s="14" t="str">
        <f aca="false">IF(COUNTA(I260:L260)=0,"",SUMIFS('3 Hazed Questions'!$K$2:$K$23,'3 Hazed Questions'!$A$2:$A$23,"Q1",'3 Hazed Questions'!$C$2:$C$23,I260)+SUMIFS('3 Hazed Questions'!$K$2:$K$23,'3 Hazed Questions'!$A$2:$A$23,"Q2",'3 Hazed Questions'!$C$2:$C$23,J260)+SUMIFS('3 Hazed Questions'!$K$2:$K$23,'3 Hazed Questions'!$A$2:$A$23,"Q3",'3 Hazed Questions'!$C$2:$C$23,K260)+SUMIFS('3 Hazed Questions'!$K$2:$K$23,'3 Hazed Questions'!$A$2:$A$23,"Q4",'3 Hazed Questions'!$C$2:$C$23,L260))</f>
        <v/>
      </c>
      <c r="U260" s="14" t="str">
        <f aca="false">IF(COUNTA(I260:L260)=0,"",SUMIFS('3 Hazed Questions'!$L$2:$L$23,'3 Hazed Questions'!$A$2:$A$23,"Q1",'3 Hazed Questions'!$C$2:$C$23,I260)+SUMIFS('3 Hazed Questions'!$L$2:$L$23,'3 Hazed Questions'!$A$2:$A$23,"Q2",'3 Hazed Questions'!$C$2:$C$23,J260)+SUMIFS('3 Hazed Questions'!$L$2:$L$23,'3 Hazed Questions'!$A$2:$A$23,"Q3",'3 Hazed Questions'!$C$2:$C$23,K260)+SUMIFS('3 Hazed Questions'!$L$2:$L$23,'3 Hazed Questions'!$A$2:$A$23,"Q4",'3 Hazed Questions'!$C$2:$C$23,L260))</f>
        <v/>
      </c>
      <c r="V260" s="14" t="str">
        <f aca="false">IF(COUNTA(I260:L260)=0,"",SUMIFS('3 Hazed Questions'!$M$2:$M$23,'3 Hazed Questions'!$A$2:$A$23,"Q1",'3 Hazed Questions'!$C$2:$C$23,I260)+SUMIFS('3 Hazed Questions'!$M$2:$M$23,'3 Hazed Questions'!$A$2:$A$23,"Q2",'3 Hazed Questions'!$C$2:$C$23,J260)+SUMIFS('3 Hazed Questions'!$M$2:$M$23,'3 Hazed Questions'!$A$2:$A$23,"Q3",'3 Hazed Questions'!$C$2:$C$23,K260)+SUMIFS('3 Hazed Questions'!$M$2:$M$23,'3 Hazed Questions'!$A$2:$A$23,"Q4",'3 Hazed Questions'!$C$2:$C$23,L260))</f>
        <v/>
      </c>
      <c r="W260" s="14" t="str">
        <f aca="false">IF(COUNTA(I260:L260)=0,"",SUMIFS('3 Hazed Questions'!$N$2:$N$23,'3 Hazed Questions'!$A$2:$A$23,"Q1",'3 Hazed Questions'!$C$2:$C$23,I260)+SUMIFS('3 Hazed Questions'!$N$2:$N$23,'3 Hazed Questions'!$A$2:$A$23,"Q2",'3 Hazed Questions'!$C$2:$C$23,J260)+SUMIFS('3 Hazed Questions'!$N$2:$N$23,'3 Hazed Questions'!$A$2:$A$23,"Q3",'3 Hazed Questions'!$C$2:$C$23,K260)+SUMIFS('3 Hazed Questions'!$N$2:$N$23,'3 Hazed Questions'!$A$2:$A$23,"Q4",'3 Hazed Questions'!$C$2:$C$23,L260))</f>
        <v/>
      </c>
      <c r="X260" s="14" t="str">
        <f aca="false">IF(COUNTA(I260:L260)=0,"",INDEX(Fields!$B$2:$B$50,MATCH(SUBSTITUTE(INDEX($N$1:$W$1,MATCH(MAX($N260:$W260),$N260:$W260,0)),"Score: ",""),Fields!$A$2:$A$50,0)))</f>
        <v/>
      </c>
      <c r="Y260" s="14" t="str">
        <f aca="true">IF(COUNTA(I260:L260)=0,"",IF(LARGE($N260:$W260,2)=0,"-",INDEX(Fields!$B$2:$B$50,MATCH(SUBSTITUTE(INDEX($N$1:$W$1,IF(LARGE($N260:$W260,2)=MAX($N260:$W260),MATCH(MAX($N260:$W260),OFFSET($N260:$W260,0,MATCH(MAX($N260:$W260),$N260:$W260,0),1,10-MATCH(MAX($N260:$W260),$N260:$W260,0)),0)+MATCH(MAX($N260:$W260),$N260:$W260,0),MATCH(LARGE($N260:$W260,2),$N260:$W260,0))),"Score: ",""),Fields!$A$2:$A$50,0))))</f>
        <v/>
      </c>
      <c r="Z260" s="14" t="str">
        <f aca="false">IF(M260="","",IFERROR(INDEX('3 Hazed Questions'!$O$2:$O$23,MATCH(1,INDEX(('3 Hazed Questions'!$A$2:$A$23="Q5")*('3 Hazed Questions'!$C$2:$C$23=M260),0),0))&amp;"",""))</f>
        <v/>
      </c>
      <c r="AA260" s="18"/>
      <c r="AB260" s="18"/>
      <c r="AC260" s="19"/>
      <c r="AD260" s="19"/>
      <c r="AE260" s="18"/>
      <c r="AF260" s="18"/>
      <c r="AG260" s="18"/>
    </row>
    <row r="261" customFormat="false" ht="15" hidden="false" customHeight="false" outlineLevel="0" collapsed="false">
      <c r="A261" s="18"/>
      <c r="B261" s="19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4" t="str">
        <f aca="false">IF(COUNTA(I261:L261)=0,"",SUMIFS('3 Hazed Questions'!$E$2:$E$23,'3 Hazed Questions'!$A$2:$A$23,"Q1",'3 Hazed Questions'!$C$2:$C$23,I261)+SUMIFS('3 Hazed Questions'!$E$2:$E$23,'3 Hazed Questions'!$A$2:$A$23,"Q2",'3 Hazed Questions'!$C$2:$C$23,J261)+SUMIFS('3 Hazed Questions'!$E$2:$E$23,'3 Hazed Questions'!$A$2:$A$23,"Q3",'3 Hazed Questions'!$C$2:$C$23,K261)+SUMIFS('3 Hazed Questions'!$E$2:$E$23,'3 Hazed Questions'!$A$2:$A$23,"Q4",'3 Hazed Questions'!$C$2:$C$23,L261))</f>
        <v/>
      </c>
      <c r="O261" s="14" t="str">
        <f aca="false">IF(COUNTA(I261:L261)=0,"",SUMIFS('3 Hazed Questions'!$F$2:$F$23,'3 Hazed Questions'!$A$2:$A$23,"Q1",'3 Hazed Questions'!$C$2:$C$23,I261)+SUMIFS('3 Hazed Questions'!$F$2:$F$23,'3 Hazed Questions'!$A$2:$A$23,"Q2",'3 Hazed Questions'!$C$2:$C$23,J261)+SUMIFS('3 Hazed Questions'!$F$2:$F$23,'3 Hazed Questions'!$A$2:$A$23,"Q3",'3 Hazed Questions'!$C$2:$C$23,K261)+SUMIFS('3 Hazed Questions'!$F$2:$F$23,'3 Hazed Questions'!$A$2:$A$23,"Q4",'3 Hazed Questions'!$C$2:$C$23,L261))</f>
        <v/>
      </c>
      <c r="P261" s="14" t="str">
        <f aca="false">IF(COUNTA(I261:L261)=0,"",SUMIFS('3 Hazed Questions'!$G$2:$G$23,'3 Hazed Questions'!$A$2:$A$23,"Q1",'3 Hazed Questions'!$C$2:$C$23,I261)+SUMIFS('3 Hazed Questions'!$G$2:$G$23,'3 Hazed Questions'!$A$2:$A$23,"Q2",'3 Hazed Questions'!$C$2:$C$23,J261)+SUMIFS('3 Hazed Questions'!$G$2:$G$23,'3 Hazed Questions'!$A$2:$A$23,"Q3",'3 Hazed Questions'!$C$2:$C$23,K261)+SUMIFS('3 Hazed Questions'!$G$2:$G$23,'3 Hazed Questions'!$A$2:$A$23,"Q4",'3 Hazed Questions'!$C$2:$C$23,L261))</f>
        <v/>
      </c>
      <c r="Q261" s="14" t="str">
        <f aca="false">IF(COUNTA(I261:L261)=0,"",SUMIFS('3 Hazed Questions'!$H$2:$H$23,'3 Hazed Questions'!$A$2:$A$23,"Q1",'3 Hazed Questions'!$C$2:$C$23,I261)+SUMIFS('3 Hazed Questions'!$H$2:$H$23,'3 Hazed Questions'!$A$2:$A$23,"Q2",'3 Hazed Questions'!$C$2:$C$23,J261)+SUMIFS('3 Hazed Questions'!$H$2:$H$23,'3 Hazed Questions'!$A$2:$A$23,"Q3",'3 Hazed Questions'!$C$2:$C$23,K261)+SUMIFS('3 Hazed Questions'!$H$2:$H$23,'3 Hazed Questions'!$A$2:$A$23,"Q4",'3 Hazed Questions'!$C$2:$C$23,L261))</f>
        <v/>
      </c>
      <c r="R261" s="14" t="str">
        <f aca="false">IF(COUNTA(I261:L261)=0,"",SUMIFS('3 Hazed Questions'!$I$2:$I$23,'3 Hazed Questions'!$A$2:$A$23,"Q1",'3 Hazed Questions'!$C$2:$C$23,I261)+SUMIFS('3 Hazed Questions'!$I$2:$I$23,'3 Hazed Questions'!$A$2:$A$23,"Q2",'3 Hazed Questions'!$C$2:$C$23,J261)+SUMIFS('3 Hazed Questions'!$I$2:$I$23,'3 Hazed Questions'!$A$2:$A$23,"Q3",'3 Hazed Questions'!$C$2:$C$23,K261)+SUMIFS('3 Hazed Questions'!$I$2:$I$23,'3 Hazed Questions'!$A$2:$A$23,"Q4",'3 Hazed Questions'!$C$2:$C$23,L261))</f>
        <v/>
      </c>
      <c r="S261" s="14" t="str">
        <f aca="false">IF(COUNTA(I261:L261)=0,"",SUMIFS('3 Hazed Questions'!$J$2:$J$23,'3 Hazed Questions'!$A$2:$A$23,"Q1",'3 Hazed Questions'!$C$2:$C$23,I261)+SUMIFS('3 Hazed Questions'!$J$2:$J$23,'3 Hazed Questions'!$A$2:$A$23,"Q2",'3 Hazed Questions'!$C$2:$C$23,J261)+SUMIFS('3 Hazed Questions'!$J$2:$J$23,'3 Hazed Questions'!$A$2:$A$23,"Q3",'3 Hazed Questions'!$C$2:$C$23,K261)+SUMIFS('3 Hazed Questions'!$J$2:$J$23,'3 Hazed Questions'!$A$2:$A$23,"Q4",'3 Hazed Questions'!$C$2:$C$23,L261))</f>
        <v/>
      </c>
      <c r="T261" s="14" t="str">
        <f aca="false">IF(COUNTA(I261:L261)=0,"",SUMIFS('3 Hazed Questions'!$K$2:$K$23,'3 Hazed Questions'!$A$2:$A$23,"Q1",'3 Hazed Questions'!$C$2:$C$23,I261)+SUMIFS('3 Hazed Questions'!$K$2:$K$23,'3 Hazed Questions'!$A$2:$A$23,"Q2",'3 Hazed Questions'!$C$2:$C$23,J261)+SUMIFS('3 Hazed Questions'!$K$2:$K$23,'3 Hazed Questions'!$A$2:$A$23,"Q3",'3 Hazed Questions'!$C$2:$C$23,K261)+SUMIFS('3 Hazed Questions'!$K$2:$K$23,'3 Hazed Questions'!$A$2:$A$23,"Q4",'3 Hazed Questions'!$C$2:$C$23,L261))</f>
        <v/>
      </c>
      <c r="U261" s="14" t="str">
        <f aca="false">IF(COUNTA(I261:L261)=0,"",SUMIFS('3 Hazed Questions'!$L$2:$L$23,'3 Hazed Questions'!$A$2:$A$23,"Q1",'3 Hazed Questions'!$C$2:$C$23,I261)+SUMIFS('3 Hazed Questions'!$L$2:$L$23,'3 Hazed Questions'!$A$2:$A$23,"Q2",'3 Hazed Questions'!$C$2:$C$23,J261)+SUMIFS('3 Hazed Questions'!$L$2:$L$23,'3 Hazed Questions'!$A$2:$A$23,"Q3",'3 Hazed Questions'!$C$2:$C$23,K261)+SUMIFS('3 Hazed Questions'!$L$2:$L$23,'3 Hazed Questions'!$A$2:$A$23,"Q4",'3 Hazed Questions'!$C$2:$C$23,L261))</f>
        <v/>
      </c>
      <c r="V261" s="14" t="str">
        <f aca="false">IF(COUNTA(I261:L261)=0,"",SUMIFS('3 Hazed Questions'!$M$2:$M$23,'3 Hazed Questions'!$A$2:$A$23,"Q1",'3 Hazed Questions'!$C$2:$C$23,I261)+SUMIFS('3 Hazed Questions'!$M$2:$M$23,'3 Hazed Questions'!$A$2:$A$23,"Q2",'3 Hazed Questions'!$C$2:$C$23,J261)+SUMIFS('3 Hazed Questions'!$M$2:$M$23,'3 Hazed Questions'!$A$2:$A$23,"Q3",'3 Hazed Questions'!$C$2:$C$23,K261)+SUMIFS('3 Hazed Questions'!$M$2:$M$23,'3 Hazed Questions'!$A$2:$A$23,"Q4",'3 Hazed Questions'!$C$2:$C$23,L261))</f>
        <v/>
      </c>
      <c r="W261" s="14" t="str">
        <f aca="false">IF(COUNTA(I261:L261)=0,"",SUMIFS('3 Hazed Questions'!$N$2:$N$23,'3 Hazed Questions'!$A$2:$A$23,"Q1",'3 Hazed Questions'!$C$2:$C$23,I261)+SUMIFS('3 Hazed Questions'!$N$2:$N$23,'3 Hazed Questions'!$A$2:$A$23,"Q2",'3 Hazed Questions'!$C$2:$C$23,J261)+SUMIFS('3 Hazed Questions'!$N$2:$N$23,'3 Hazed Questions'!$A$2:$A$23,"Q3",'3 Hazed Questions'!$C$2:$C$23,K261)+SUMIFS('3 Hazed Questions'!$N$2:$N$23,'3 Hazed Questions'!$A$2:$A$23,"Q4",'3 Hazed Questions'!$C$2:$C$23,L261))</f>
        <v/>
      </c>
      <c r="X261" s="14" t="str">
        <f aca="false">IF(COUNTA(I261:L261)=0,"",INDEX(Fields!$B$2:$B$50,MATCH(SUBSTITUTE(INDEX($N$1:$W$1,MATCH(MAX($N261:$W261),$N261:$W261,0)),"Score: ",""),Fields!$A$2:$A$50,0)))</f>
        <v/>
      </c>
      <c r="Y261" s="14" t="str">
        <f aca="true">IF(COUNTA(I261:L261)=0,"",IF(LARGE($N261:$W261,2)=0,"-",INDEX(Fields!$B$2:$B$50,MATCH(SUBSTITUTE(INDEX($N$1:$W$1,IF(LARGE($N261:$W261,2)=MAX($N261:$W261),MATCH(MAX($N261:$W261),OFFSET($N261:$W261,0,MATCH(MAX($N261:$W261),$N261:$W261,0),1,10-MATCH(MAX($N261:$W261),$N261:$W261,0)),0)+MATCH(MAX($N261:$W261),$N261:$W261,0),MATCH(LARGE($N261:$W261,2),$N261:$W261,0))),"Score: ",""),Fields!$A$2:$A$50,0))))</f>
        <v/>
      </c>
      <c r="Z261" s="14" t="str">
        <f aca="false">IF(M261="","",IFERROR(INDEX('3 Hazed Questions'!$O$2:$O$23,MATCH(1,INDEX(('3 Hazed Questions'!$A$2:$A$23="Q5")*('3 Hazed Questions'!$C$2:$C$23=M261),0),0))&amp;"",""))</f>
        <v/>
      </c>
      <c r="AA261" s="18"/>
      <c r="AB261" s="18"/>
      <c r="AC261" s="19"/>
      <c r="AD261" s="19"/>
      <c r="AE261" s="18"/>
      <c r="AF261" s="18"/>
      <c r="AG261" s="18"/>
    </row>
    <row r="262" customFormat="false" ht="15" hidden="false" customHeight="false" outlineLevel="0" collapsed="false">
      <c r="A262" s="18"/>
      <c r="B262" s="19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4" t="str">
        <f aca="false">IF(COUNTA(I262:L262)=0,"",SUMIFS('3 Hazed Questions'!$E$2:$E$23,'3 Hazed Questions'!$A$2:$A$23,"Q1",'3 Hazed Questions'!$C$2:$C$23,I262)+SUMIFS('3 Hazed Questions'!$E$2:$E$23,'3 Hazed Questions'!$A$2:$A$23,"Q2",'3 Hazed Questions'!$C$2:$C$23,J262)+SUMIFS('3 Hazed Questions'!$E$2:$E$23,'3 Hazed Questions'!$A$2:$A$23,"Q3",'3 Hazed Questions'!$C$2:$C$23,K262)+SUMIFS('3 Hazed Questions'!$E$2:$E$23,'3 Hazed Questions'!$A$2:$A$23,"Q4",'3 Hazed Questions'!$C$2:$C$23,L262))</f>
        <v/>
      </c>
      <c r="O262" s="14" t="str">
        <f aca="false">IF(COUNTA(I262:L262)=0,"",SUMIFS('3 Hazed Questions'!$F$2:$F$23,'3 Hazed Questions'!$A$2:$A$23,"Q1",'3 Hazed Questions'!$C$2:$C$23,I262)+SUMIFS('3 Hazed Questions'!$F$2:$F$23,'3 Hazed Questions'!$A$2:$A$23,"Q2",'3 Hazed Questions'!$C$2:$C$23,J262)+SUMIFS('3 Hazed Questions'!$F$2:$F$23,'3 Hazed Questions'!$A$2:$A$23,"Q3",'3 Hazed Questions'!$C$2:$C$23,K262)+SUMIFS('3 Hazed Questions'!$F$2:$F$23,'3 Hazed Questions'!$A$2:$A$23,"Q4",'3 Hazed Questions'!$C$2:$C$23,L262))</f>
        <v/>
      </c>
      <c r="P262" s="14" t="str">
        <f aca="false">IF(COUNTA(I262:L262)=0,"",SUMIFS('3 Hazed Questions'!$G$2:$G$23,'3 Hazed Questions'!$A$2:$A$23,"Q1",'3 Hazed Questions'!$C$2:$C$23,I262)+SUMIFS('3 Hazed Questions'!$G$2:$G$23,'3 Hazed Questions'!$A$2:$A$23,"Q2",'3 Hazed Questions'!$C$2:$C$23,J262)+SUMIFS('3 Hazed Questions'!$G$2:$G$23,'3 Hazed Questions'!$A$2:$A$23,"Q3",'3 Hazed Questions'!$C$2:$C$23,K262)+SUMIFS('3 Hazed Questions'!$G$2:$G$23,'3 Hazed Questions'!$A$2:$A$23,"Q4",'3 Hazed Questions'!$C$2:$C$23,L262))</f>
        <v/>
      </c>
      <c r="Q262" s="14" t="str">
        <f aca="false">IF(COUNTA(I262:L262)=0,"",SUMIFS('3 Hazed Questions'!$H$2:$H$23,'3 Hazed Questions'!$A$2:$A$23,"Q1",'3 Hazed Questions'!$C$2:$C$23,I262)+SUMIFS('3 Hazed Questions'!$H$2:$H$23,'3 Hazed Questions'!$A$2:$A$23,"Q2",'3 Hazed Questions'!$C$2:$C$23,J262)+SUMIFS('3 Hazed Questions'!$H$2:$H$23,'3 Hazed Questions'!$A$2:$A$23,"Q3",'3 Hazed Questions'!$C$2:$C$23,K262)+SUMIFS('3 Hazed Questions'!$H$2:$H$23,'3 Hazed Questions'!$A$2:$A$23,"Q4",'3 Hazed Questions'!$C$2:$C$23,L262))</f>
        <v/>
      </c>
      <c r="R262" s="14" t="str">
        <f aca="false">IF(COUNTA(I262:L262)=0,"",SUMIFS('3 Hazed Questions'!$I$2:$I$23,'3 Hazed Questions'!$A$2:$A$23,"Q1",'3 Hazed Questions'!$C$2:$C$23,I262)+SUMIFS('3 Hazed Questions'!$I$2:$I$23,'3 Hazed Questions'!$A$2:$A$23,"Q2",'3 Hazed Questions'!$C$2:$C$23,J262)+SUMIFS('3 Hazed Questions'!$I$2:$I$23,'3 Hazed Questions'!$A$2:$A$23,"Q3",'3 Hazed Questions'!$C$2:$C$23,K262)+SUMIFS('3 Hazed Questions'!$I$2:$I$23,'3 Hazed Questions'!$A$2:$A$23,"Q4",'3 Hazed Questions'!$C$2:$C$23,L262))</f>
        <v/>
      </c>
      <c r="S262" s="14" t="str">
        <f aca="false">IF(COUNTA(I262:L262)=0,"",SUMIFS('3 Hazed Questions'!$J$2:$J$23,'3 Hazed Questions'!$A$2:$A$23,"Q1",'3 Hazed Questions'!$C$2:$C$23,I262)+SUMIFS('3 Hazed Questions'!$J$2:$J$23,'3 Hazed Questions'!$A$2:$A$23,"Q2",'3 Hazed Questions'!$C$2:$C$23,J262)+SUMIFS('3 Hazed Questions'!$J$2:$J$23,'3 Hazed Questions'!$A$2:$A$23,"Q3",'3 Hazed Questions'!$C$2:$C$23,K262)+SUMIFS('3 Hazed Questions'!$J$2:$J$23,'3 Hazed Questions'!$A$2:$A$23,"Q4",'3 Hazed Questions'!$C$2:$C$23,L262))</f>
        <v/>
      </c>
      <c r="T262" s="14" t="str">
        <f aca="false">IF(COUNTA(I262:L262)=0,"",SUMIFS('3 Hazed Questions'!$K$2:$K$23,'3 Hazed Questions'!$A$2:$A$23,"Q1",'3 Hazed Questions'!$C$2:$C$23,I262)+SUMIFS('3 Hazed Questions'!$K$2:$K$23,'3 Hazed Questions'!$A$2:$A$23,"Q2",'3 Hazed Questions'!$C$2:$C$23,J262)+SUMIFS('3 Hazed Questions'!$K$2:$K$23,'3 Hazed Questions'!$A$2:$A$23,"Q3",'3 Hazed Questions'!$C$2:$C$23,K262)+SUMIFS('3 Hazed Questions'!$K$2:$K$23,'3 Hazed Questions'!$A$2:$A$23,"Q4",'3 Hazed Questions'!$C$2:$C$23,L262))</f>
        <v/>
      </c>
      <c r="U262" s="14" t="str">
        <f aca="false">IF(COUNTA(I262:L262)=0,"",SUMIFS('3 Hazed Questions'!$L$2:$L$23,'3 Hazed Questions'!$A$2:$A$23,"Q1",'3 Hazed Questions'!$C$2:$C$23,I262)+SUMIFS('3 Hazed Questions'!$L$2:$L$23,'3 Hazed Questions'!$A$2:$A$23,"Q2",'3 Hazed Questions'!$C$2:$C$23,J262)+SUMIFS('3 Hazed Questions'!$L$2:$L$23,'3 Hazed Questions'!$A$2:$A$23,"Q3",'3 Hazed Questions'!$C$2:$C$23,K262)+SUMIFS('3 Hazed Questions'!$L$2:$L$23,'3 Hazed Questions'!$A$2:$A$23,"Q4",'3 Hazed Questions'!$C$2:$C$23,L262))</f>
        <v/>
      </c>
      <c r="V262" s="14" t="str">
        <f aca="false">IF(COUNTA(I262:L262)=0,"",SUMIFS('3 Hazed Questions'!$M$2:$M$23,'3 Hazed Questions'!$A$2:$A$23,"Q1",'3 Hazed Questions'!$C$2:$C$23,I262)+SUMIFS('3 Hazed Questions'!$M$2:$M$23,'3 Hazed Questions'!$A$2:$A$23,"Q2",'3 Hazed Questions'!$C$2:$C$23,J262)+SUMIFS('3 Hazed Questions'!$M$2:$M$23,'3 Hazed Questions'!$A$2:$A$23,"Q3",'3 Hazed Questions'!$C$2:$C$23,K262)+SUMIFS('3 Hazed Questions'!$M$2:$M$23,'3 Hazed Questions'!$A$2:$A$23,"Q4",'3 Hazed Questions'!$C$2:$C$23,L262))</f>
        <v/>
      </c>
      <c r="W262" s="14" t="str">
        <f aca="false">IF(COUNTA(I262:L262)=0,"",SUMIFS('3 Hazed Questions'!$N$2:$N$23,'3 Hazed Questions'!$A$2:$A$23,"Q1",'3 Hazed Questions'!$C$2:$C$23,I262)+SUMIFS('3 Hazed Questions'!$N$2:$N$23,'3 Hazed Questions'!$A$2:$A$23,"Q2",'3 Hazed Questions'!$C$2:$C$23,J262)+SUMIFS('3 Hazed Questions'!$N$2:$N$23,'3 Hazed Questions'!$A$2:$A$23,"Q3",'3 Hazed Questions'!$C$2:$C$23,K262)+SUMIFS('3 Hazed Questions'!$N$2:$N$23,'3 Hazed Questions'!$A$2:$A$23,"Q4",'3 Hazed Questions'!$C$2:$C$23,L262))</f>
        <v/>
      </c>
      <c r="X262" s="14" t="str">
        <f aca="false">IF(COUNTA(I262:L262)=0,"",INDEX(Fields!$B$2:$B$50,MATCH(SUBSTITUTE(INDEX($N$1:$W$1,MATCH(MAX($N262:$W262),$N262:$W262,0)),"Score: ",""),Fields!$A$2:$A$50,0)))</f>
        <v/>
      </c>
      <c r="Y262" s="14" t="str">
        <f aca="true">IF(COUNTA(I262:L262)=0,"",IF(LARGE($N262:$W262,2)=0,"-",INDEX(Fields!$B$2:$B$50,MATCH(SUBSTITUTE(INDEX($N$1:$W$1,IF(LARGE($N262:$W262,2)=MAX($N262:$W262),MATCH(MAX($N262:$W262),OFFSET($N262:$W262,0,MATCH(MAX($N262:$W262),$N262:$W262,0),1,10-MATCH(MAX($N262:$W262),$N262:$W262,0)),0)+MATCH(MAX($N262:$W262),$N262:$W262,0),MATCH(LARGE($N262:$W262,2),$N262:$W262,0))),"Score: ",""),Fields!$A$2:$A$50,0))))</f>
        <v/>
      </c>
      <c r="Z262" s="14" t="str">
        <f aca="false">IF(M262="","",IFERROR(INDEX('3 Hazed Questions'!$O$2:$O$23,MATCH(1,INDEX(('3 Hazed Questions'!$A$2:$A$23="Q5")*('3 Hazed Questions'!$C$2:$C$23=M262),0),0))&amp;"",""))</f>
        <v/>
      </c>
      <c r="AA262" s="18"/>
      <c r="AB262" s="18"/>
      <c r="AC262" s="19"/>
      <c r="AD262" s="19"/>
      <c r="AE262" s="18"/>
      <c r="AF262" s="18"/>
      <c r="AG262" s="18"/>
    </row>
    <row r="263" customFormat="false" ht="15" hidden="false" customHeight="false" outlineLevel="0" collapsed="false">
      <c r="A263" s="18"/>
      <c r="B263" s="19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4" t="str">
        <f aca="false">IF(COUNTA(I263:L263)=0,"",SUMIFS('3 Hazed Questions'!$E$2:$E$23,'3 Hazed Questions'!$A$2:$A$23,"Q1",'3 Hazed Questions'!$C$2:$C$23,I263)+SUMIFS('3 Hazed Questions'!$E$2:$E$23,'3 Hazed Questions'!$A$2:$A$23,"Q2",'3 Hazed Questions'!$C$2:$C$23,J263)+SUMIFS('3 Hazed Questions'!$E$2:$E$23,'3 Hazed Questions'!$A$2:$A$23,"Q3",'3 Hazed Questions'!$C$2:$C$23,K263)+SUMIFS('3 Hazed Questions'!$E$2:$E$23,'3 Hazed Questions'!$A$2:$A$23,"Q4",'3 Hazed Questions'!$C$2:$C$23,L263))</f>
        <v/>
      </c>
      <c r="O263" s="14" t="str">
        <f aca="false">IF(COUNTA(I263:L263)=0,"",SUMIFS('3 Hazed Questions'!$F$2:$F$23,'3 Hazed Questions'!$A$2:$A$23,"Q1",'3 Hazed Questions'!$C$2:$C$23,I263)+SUMIFS('3 Hazed Questions'!$F$2:$F$23,'3 Hazed Questions'!$A$2:$A$23,"Q2",'3 Hazed Questions'!$C$2:$C$23,J263)+SUMIFS('3 Hazed Questions'!$F$2:$F$23,'3 Hazed Questions'!$A$2:$A$23,"Q3",'3 Hazed Questions'!$C$2:$C$23,K263)+SUMIFS('3 Hazed Questions'!$F$2:$F$23,'3 Hazed Questions'!$A$2:$A$23,"Q4",'3 Hazed Questions'!$C$2:$C$23,L263))</f>
        <v/>
      </c>
      <c r="P263" s="14" t="str">
        <f aca="false">IF(COUNTA(I263:L263)=0,"",SUMIFS('3 Hazed Questions'!$G$2:$G$23,'3 Hazed Questions'!$A$2:$A$23,"Q1",'3 Hazed Questions'!$C$2:$C$23,I263)+SUMIFS('3 Hazed Questions'!$G$2:$G$23,'3 Hazed Questions'!$A$2:$A$23,"Q2",'3 Hazed Questions'!$C$2:$C$23,J263)+SUMIFS('3 Hazed Questions'!$G$2:$G$23,'3 Hazed Questions'!$A$2:$A$23,"Q3",'3 Hazed Questions'!$C$2:$C$23,K263)+SUMIFS('3 Hazed Questions'!$G$2:$G$23,'3 Hazed Questions'!$A$2:$A$23,"Q4",'3 Hazed Questions'!$C$2:$C$23,L263))</f>
        <v/>
      </c>
      <c r="Q263" s="14" t="str">
        <f aca="false">IF(COUNTA(I263:L263)=0,"",SUMIFS('3 Hazed Questions'!$H$2:$H$23,'3 Hazed Questions'!$A$2:$A$23,"Q1",'3 Hazed Questions'!$C$2:$C$23,I263)+SUMIFS('3 Hazed Questions'!$H$2:$H$23,'3 Hazed Questions'!$A$2:$A$23,"Q2",'3 Hazed Questions'!$C$2:$C$23,J263)+SUMIFS('3 Hazed Questions'!$H$2:$H$23,'3 Hazed Questions'!$A$2:$A$23,"Q3",'3 Hazed Questions'!$C$2:$C$23,K263)+SUMIFS('3 Hazed Questions'!$H$2:$H$23,'3 Hazed Questions'!$A$2:$A$23,"Q4",'3 Hazed Questions'!$C$2:$C$23,L263))</f>
        <v/>
      </c>
      <c r="R263" s="14" t="str">
        <f aca="false">IF(COUNTA(I263:L263)=0,"",SUMIFS('3 Hazed Questions'!$I$2:$I$23,'3 Hazed Questions'!$A$2:$A$23,"Q1",'3 Hazed Questions'!$C$2:$C$23,I263)+SUMIFS('3 Hazed Questions'!$I$2:$I$23,'3 Hazed Questions'!$A$2:$A$23,"Q2",'3 Hazed Questions'!$C$2:$C$23,J263)+SUMIFS('3 Hazed Questions'!$I$2:$I$23,'3 Hazed Questions'!$A$2:$A$23,"Q3",'3 Hazed Questions'!$C$2:$C$23,K263)+SUMIFS('3 Hazed Questions'!$I$2:$I$23,'3 Hazed Questions'!$A$2:$A$23,"Q4",'3 Hazed Questions'!$C$2:$C$23,L263))</f>
        <v/>
      </c>
      <c r="S263" s="14" t="str">
        <f aca="false">IF(COUNTA(I263:L263)=0,"",SUMIFS('3 Hazed Questions'!$J$2:$J$23,'3 Hazed Questions'!$A$2:$A$23,"Q1",'3 Hazed Questions'!$C$2:$C$23,I263)+SUMIFS('3 Hazed Questions'!$J$2:$J$23,'3 Hazed Questions'!$A$2:$A$23,"Q2",'3 Hazed Questions'!$C$2:$C$23,J263)+SUMIFS('3 Hazed Questions'!$J$2:$J$23,'3 Hazed Questions'!$A$2:$A$23,"Q3",'3 Hazed Questions'!$C$2:$C$23,K263)+SUMIFS('3 Hazed Questions'!$J$2:$J$23,'3 Hazed Questions'!$A$2:$A$23,"Q4",'3 Hazed Questions'!$C$2:$C$23,L263))</f>
        <v/>
      </c>
      <c r="T263" s="14" t="str">
        <f aca="false">IF(COUNTA(I263:L263)=0,"",SUMIFS('3 Hazed Questions'!$K$2:$K$23,'3 Hazed Questions'!$A$2:$A$23,"Q1",'3 Hazed Questions'!$C$2:$C$23,I263)+SUMIFS('3 Hazed Questions'!$K$2:$K$23,'3 Hazed Questions'!$A$2:$A$23,"Q2",'3 Hazed Questions'!$C$2:$C$23,J263)+SUMIFS('3 Hazed Questions'!$K$2:$K$23,'3 Hazed Questions'!$A$2:$A$23,"Q3",'3 Hazed Questions'!$C$2:$C$23,K263)+SUMIFS('3 Hazed Questions'!$K$2:$K$23,'3 Hazed Questions'!$A$2:$A$23,"Q4",'3 Hazed Questions'!$C$2:$C$23,L263))</f>
        <v/>
      </c>
      <c r="U263" s="14" t="str">
        <f aca="false">IF(COUNTA(I263:L263)=0,"",SUMIFS('3 Hazed Questions'!$L$2:$L$23,'3 Hazed Questions'!$A$2:$A$23,"Q1",'3 Hazed Questions'!$C$2:$C$23,I263)+SUMIFS('3 Hazed Questions'!$L$2:$L$23,'3 Hazed Questions'!$A$2:$A$23,"Q2",'3 Hazed Questions'!$C$2:$C$23,J263)+SUMIFS('3 Hazed Questions'!$L$2:$L$23,'3 Hazed Questions'!$A$2:$A$23,"Q3",'3 Hazed Questions'!$C$2:$C$23,K263)+SUMIFS('3 Hazed Questions'!$L$2:$L$23,'3 Hazed Questions'!$A$2:$A$23,"Q4",'3 Hazed Questions'!$C$2:$C$23,L263))</f>
        <v/>
      </c>
      <c r="V263" s="14" t="str">
        <f aca="false">IF(COUNTA(I263:L263)=0,"",SUMIFS('3 Hazed Questions'!$M$2:$M$23,'3 Hazed Questions'!$A$2:$A$23,"Q1",'3 Hazed Questions'!$C$2:$C$23,I263)+SUMIFS('3 Hazed Questions'!$M$2:$M$23,'3 Hazed Questions'!$A$2:$A$23,"Q2",'3 Hazed Questions'!$C$2:$C$23,J263)+SUMIFS('3 Hazed Questions'!$M$2:$M$23,'3 Hazed Questions'!$A$2:$A$23,"Q3",'3 Hazed Questions'!$C$2:$C$23,K263)+SUMIFS('3 Hazed Questions'!$M$2:$M$23,'3 Hazed Questions'!$A$2:$A$23,"Q4",'3 Hazed Questions'!$C$2:$C$23,L263))</f>
        <v/>
      </c>
      <c r="W263" s="14" t="str">
        <f aca="false">IF(COUNTA(I263:L263)=0,"",SUMIFS('3 Hazed Questions'!$N$2:$N$23,'3 Hazed Questions'!$A$2:$A$23,"Q1",'3 Hazed Questions'!$C$2:$C$23,I263)+SUMIFS('3 Hazed Questions'!$N$2:$N$23,'3 Hazed Questions'!$A$2:$A$23,"Q2",'3 Hazed Questions'!$C$2:$C$23,J263)+SUMIFS('3 Hazed Questions'!$N$2:$N$23,'3 Hazed Questions'!$A$2:$A$23,"Q3",'3 Hazed Questions'!$C$2:$C$23,K263)+SUMIFS('3 Hazed Questions'!$N$2:$N$23,'3 Hazed Questions'!$A$2:$A$23,"Q4",'3 Hazed Questions'!$C$2:$C$23,L263))</f>
        <v/>
      </c>
      <c r="X263" s="14" t="str">
        <f aca="false">IF(COUNTA(I263:L263)=0,"",INDEX(Fields!$B$2:$B$50,MATCH(SUBSTITUTE(INDEX($N$1:$W$1,MATCH(MAX($N263:$W263),$N263:$W263,0)),"Score: ",""),Fields!$A$2:$A$50,0)))</f>
        <v/>
      </c>
      <c r="Y263" s="14" t="str">
        <f aca="true">IF(COUNTA(I263:L263)=0,"",IF(LARGE($N263:$W263,2)=0,"-",INDEX(Fields!$B$2:$B$50,MATCH(SUBSTITUTE(INDEX($N$1:$W$1,IF(LARGE($N263:$W263,2)=MAX($N263:$W263),MATCH(MAX($N263:$W263),OFFSET($N263:$W263,0,MATCH(MAX($N263:$W263),$N263:$W263,0),1,10-MATCH(MAX($N263:$W263),$N263:$W263,0)),0)+MATCH(MAX($N263:$W263),$N263:$W263,0),MATCH(LARGE($N263:$W263,2),$N263:$W263,0))),"Score: ",""),Fields!$A$2:$A$50,0))))</f>
        <v/>
      </c>
      <c r="Z263" s="14" t="str">
        <f aca="false">IF(M263="","",IFERROR(INDEX('3 Hazed Questions'!$O$2:$O$23,MATCH(1,INDEX(('3 Hazed Questions'!$A$2:$A$23="Q5")*('3 Hazed Questions'!$C$2:$C$23=M263),0),0))&amp;"",""))</f>
        <v/>
      </c>
      <c r="AA263" s="18"/>
      <c r="AB263" s="18"/>
      <c r="AC263" s="19"/>
      <c r="AD263" s="19"/>
      <c r="AE263" s="18"/>
      <c r="AF263" s="18"/>
      <c r="AG263" s="18"/>
    </row>
    <row r="264" customFormat="false" ht="15" hidden="false" customHeight="false" outlineLevel="0" collapsed="false">
      <c r="A264" s="18"/>
      <c r="B264" s="19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4" t="str">
        <f aca="false">IF(COUNTA(I264:L264)=0,"",SUMIFS('3 Hazed Questions'!$E$2:$E$23,'3 Hazed Questions'!$A$2:$A$23,"Q1",'3 Hazed Questions'!$C$2:$C$23,I264)+SUMIFS('3 Hazed Questions'!$E$2:$E$23,'3 Hazed Questions'!$A$2:$A$23,"Q2",'3 Hazed Questions'!$C$2:$C$23,J264)+SUMIFS('3 Hazed Questions'!$E$2:$E$23,'3 Hazed Questions'!$A$2:$A$23,"Q3",'3 Hazed Questions'!$C$2:$C$23,K264)+SUMIFS('3 Hazed Questions'!$E$2:$E$23,'3 Hazed Questions'!$A$2:$A$23,"Q4",'3 Hazed Questions'!$C$2:$C$23,L264))</f>
        <v/>
      </c>
      <c r="O264" s="14" t="str">
        <f aca="false">IF(COUNTA(I264:L264)=0,"",SUMIFS('3 Hazed Questions'!$F$2:$F$23,'3 Hazed Questions'!$A$2:$A$23,"Q1",'3 Hazed Questions'!$C$2:$C$23,I264)+SUMIFS('3 Hazed Questions'!$F$2:$F$23,'3 Hazed Questions'!$A$2:$A$23,"Q2",'3 Hazed Questions'!$C$2:$C$23,J264)+SUMIFS('3 Hazed Questions'!$F$2:$F$23,'3 Hazed Questions'!$A$2:$A$23,"Q3",'3 Hazed Questions'!$C$2:$C$23,K264)+SUMIFS('3 Hazed Questions'!$F$2:$F$23,'3 Hazed Questions'!$A$2:$A$23,"Q4",'3 Hazed Questions'!$C$2:$C$23,L264))</f>
        <v/>
      </c>
      <c r="P264" s="14" t="str">
        <f aca="false">IF(COUNTA(I264:L264)=0,"",SUMIFS('3 Hazed Questions'!$G$2:$G$23,'3 Hazed Questions'!$A$2:$A$23,"Q1",'3 Hazed Questions'!$C$2:$C$23,I264)+SUMIFS('3 Hazed Questions'!$G$2:$G$23,'3 Hazed Questions'!$A$2:$A$23,"Q2",'3 Hazed Questions'!$C$2:$C$23,J264)+SUMIFS('3 Hazed Questions'!$G$2:$G$23,'3 Hazed Questions'!$A$2:$A$23,"Q3",'3 Hazed Questions'!$C$2:$C$23,K264)+SUMIFS('3 Hazed Questions'!$G$2:$G$23,'3 Hazed Questions'!$A$2:$A$23,"Q4",'3 Hazed Questions'!$C$2:$C$23,L264))</f>
        <v/>
      </c>
      <c r="Q264" s="14" t="str">
        <f aca="false">IF(COUNTA(I264:L264)=0,"",SUMIFS('3 Hazed Questions'!$H$2:$H$23,'3 Hazed Questions'!$A$2:$A$23,"Q1",'3 Hazed Questions'!$C$2:$C$23,I264)+SUMIFS('3 Hazed Questions'!$H$2:$H$23,'3 Hazed Questions'!$A$2:$A$23,"Q2",'3 Hazed Questions'!$C$2:$C$23,J264)+SUMIFS('3 Hazed Questions'!$H$2:$H$23,'3 Hazed Questions'!$A$2:$A$23,"Q3",'3 Hazed Questions'!$C$2:$C$23,K264)+SUMIFS('3 Hazed Questions'!$H$2:$H$23,'3 Hazed Questions'!$A$2:$A$23,"Q4",'3 Hazed Questions'!$C$2:$C$23,L264))</f>
        <v/>
      </c>
      <c r="R264" s="14" t="str">
        <f aca="false">IF(COUNTA(I264:L264)=0,"",SUMIFS('3 Hazed Questions'!$I$2:$I$23,'3 Hazed Questions'!$A$2:$A$23,"Q1",'3 Hazed Questions'!$C$2:$C$23,I264)+SUMIFS('3 Hazed Questions'!$I$2:$I$23,'3 Hazed Questions'!$A$2:$A$23,"Q2",'3 Hazed Questions'!$C$2:$C$23,J264)+SUMIFS('3 Hazed Questions'!$I$2:$I$23,'3 Hazed Questions'!$A$2:$A$23,"Q3",'3 Hazed Questions'!$C$2:$C$23,K264)+SUMIFS('3 Hazed Questions'!$I$2:$I$23,'3 Hazed Questions'!$A$2:$A$23,"Q4",'3 Hazed Questions'!$C$2:$C$23,L264))</f>
        <v/>
      </c>
      <c r="S264" s="14" t="str">
        <f aca="false">IF(COUNTA(I264:L264)=0,"",SUMIFS('3 Hazed Questions'!$J$2:$J$23,'3 Hazed Questions'!$A$2:$A$23,"Q1",'3 Hazed Questions'!$C$2:$C$23,I264)+SUMIFS('3 Hazed Questions'!$J$2:$J$23,'3 Hazed Questions'!$A$2:$A$23,"Q2",'3 Hazed Questions'!$C$2:$C$23,J264)+SUMIFS('3 Hazed Questions'!$J$2:$J$23,'3 Hazed Questions'!$A$2:$A$23,"Q3",'3 Hazed Questions'!$C$2:$C$23,K264)+SUMIFS('3 Hazed Questions'!$J$2:$J$23,'3 Hazed Questions'!$A$2:$A$23,"Q4",'3 Hazed Questions'!$C$2:$C$23,L264))</f>
        <v/>
      </c>
      <c r="T264" s="14" t="str">
        <f aca="false">IF(COUNTA(I264:L264)=0,"",SUMIFS('3 Hazed Questions'!$K$2:$K$23,'3 Hazed Questions'!$A$2:$A$23,"Q1",'3 Hazed Questions'!$C$2:$C$23,I264)+SUMIFS('3 Hazed Questions'!$K$2:$K$23,'3 Hazed Questions'!$A$2:$A$23,"Q2",'3 Hazed Questions'!$C$2:$C$23,J264)+SUMIFS('3 Hazed Questions'!$K$2:$K$23,'3 Hazed Questions'!$A$2:$A$23,"Q3",'3 Hazed Questions'!$C$2:$C$23,K264)+SUMIFS('3 Hazed Questions'!$K$2:$K$23,'3 Hazed Questions'!$A$2:$A$23,"Q4",'3 Hazed Questions'!$C$2:$C$23,L264))</f>
        <v/>
      </c>
      <c r="U264" s="14" t="str">
        <f aca="false">IF(COUNTA(I264:L264)=0,"",SUMIFS('3 Hazed Questions'!$L$2:$L$23,'3 Hazed Questions'!$A$2:$A$23,"Q1",'3 Hazed Questions'!$C$2:$C$23,I264)+SUMIFS('3 Hazed Questions'!$L$2:$L$23,'3 Hazed Questions'!$A$2:$A$23,"Q2",'3 Hazed Questions'!$C$2:$C$23,J264)+SUMIFS('3 Hazed Questions'!$L$2:$L$23,'3 Hazed Questions'!$A$2:$A$23,"Q3",'3 Hazed Questions'!$C$2:$C$23,K264)+SUMIFS('3 Hazed Questions'!$L$2:$L$23,'3 Hazed Questions'!$A$2:$A$23,"Q4",'3 Hazed Questions'!$C$2:$C$23,L264))</f>
        <v/>
      </c>
      <c r="V264" s="14" t="str">
        <f aca="false">IF(COUNTA(I264:L264)=0,"",SUMIFS('3 Hazed Questions'!$M$2:$M$23,'3 Hazed Questions'!$A$2:$A$23,"Q1",'3 Hazed Questions'!$C$2:$C$23,I264)+SUMIFS('3 Hazed Questions'!$M$2:$M$23,'3 Hazed Questions'!$A$2:$A$23,"Q2",'3 Hazed Questions'!$C$2:$C$23,J264)+SUMIFS('3 Hazed Questions'!$M$2:$M$23,'3 Hazed Questions'!$A$2:$A$23,"Q3",'3 Hazed Questions'!$C$2:$C$23,K264)+SUMIFS('3 Hazed Questions'!$M$2:$M$23,'3 Hazed Questions'!$A$2:$A$23,"Q4",'3 Hazed Questions'!$C$2:$C$23,L264))</f>
        <v/>
      </c>
      <c r="W264" s="14" t="str">
        <f aca="false">IF(COUNTA(I264:L264)=0,"",SUMIFS('3 Hazed Questions'!$N$2:$N$23,'3 Hazed Questions'!$A$2:$A$23,"Q1",'3 Hazed Questions'!$C$2:$C$23,I264)+SUMIFS('3 Hazed Questions'!$N$2:$N$23,'3 Hazed Questions'!$A$2:$A$23,"Q2",'3 Hazed Questions'!$C$2:$C$23,J264)+SUMIFS('3 Hazed Questions'!$N$2:$N$23,'3 Hazed Questions'!$A$2:$A$23,"Q3",'3 Hazed Questions'!$C$2:$C$23,K264)+SUMIFS('3 Hazed Questions'!$N$2:$N$23,'3 Hazed Questions'!$A$2:$A$23,"Q4",'3 Hazed Questions'!$C$2:$C$23,L264))</f>
        <v/>
      </c>
      <c r="X264" s="14" t="str">
        <f aca="false">IF(COUNTA(I264:L264)=0,"",INDEX(Fields!$B$2:$B$50,MATCH(SUBSTITUTE(INDEX($N$1:$W$1,MATCH(MAX($N264:$W264),$N264:$W264,0)),"Score: ",""),Fields!$A$2:$A$50,0)))</f>
        <v/>
      </c>
      <c r="Y264" s="14" t="str">
        <f aca="true">IF(COUNTA(I264:L264)=0,"",IF(LARGE($N264:$W264,2)=0,"-",INDEX(Fields!$B$2:$B$50,MATCH(SUBSTITUTE(INDEX($N$1:$W$1,IF(LARGE($N264:$W264,2)=MAX($N264:$W264),MATCH(MAX($N264:$W264),OFFSET($N264:$W264,0,MATCH(MAX($N264:$W264),$N264:$W264,0),1,10-MATCH(MAX($N264:$W264),$N264:$W264,0)),0)+MATCH(MAX($N264:$W264),$N264:$W264,0),MATCH(LARGE($N264:$W264,2),$N264:$W264,0))),"Score: ",""),Fields!$A$2:$A$50,0))))</f>
        <v/>
      </c>
      <c r="Z264" s="14" t="str">
        <f aca="false">IF(M264="","",IFERROR(INDEX('3 Hazed Questions'!$O$2:$O$23,MATCH(1,INDEX(('3 Hazed Questions'!$A$2:$A$23="Q5")*('3 Hazed Questions'!$C$2:$C$23=M264),0),0))&amp;"",""))</f>
        <v/>
      </c>
      <c r="AA264" s="18"/>
      <c r="AB264" s="18"/>
      <c r="AC264" s="19"/>
      <c r="AD264" s="19"/>
      <c r="AE264" s="18"/>
      <c r="AF264" s="18"/>
      <c r="AG264" s="18"/>
    </row>
    <row r="265" customFormat="false" ht="15" hidden="false" customHeight="false" outlineLevel="0" collapsed="false">
      <c r="A265" s="18"/>
      <c r="B265" s="19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4" t="str">
        <f aca="false">IF(COUNTA(I265:L265)=0,"",SUMIFS('3 Hazed Questions'!$E$2:$E$23,'3 Hazed Questions'!$A$2:$A$23,"Q1",'3 Hazed Questions'!$C$2:$C$23,I265)+SUMIFS('3 Hazed Questions'!$E$2:$E$23,'3 Hazed Questions'!$A$2:$A$23,"Q2",'3 Hazed Questions'!$C$2:$C$23,J265)+SUMIFS('3 Hazed Questions'!$E$2:$E$23,'3 Hazed Questions'!$A$2:$A$23,"Q3",'3 Hazed Questions'!$C$2:$C$23,K265)+SUMIFS('3 Hazed Questions'!$E$2:$E$23,'3 Hazed Questions'!$A$2:$A$23,"Q4",'3 Hazed Questions'!$C$2:$C$23,L265))</f>
        <v/>
      </c>
      <c r="O265" s="14" t="str">
        <f aca="false">IF(COUNTA(I265:L265)=0,"",SUMIFS('3 Hazed Questions'!$F$2:$F$23,'3 Hazed Questions'!$A$2:$A$23,"Q1",'3 Hazed Questions'!$C$2:$C$23,I265)+SUMIFS('3 Hazed Questions'!$F$2:$F$23,'3 Hazed Questions'!$A$2:$A$23,"Q2",'3 Hazed Questions'!$C$2:$C$23,J265)+SUMIFS('3 Hazed Questions'!$F$2:$F$23,'3 Hazed Questions'!$A$2:$A$23,"Q3",'3 Hazed Questions'!$C$2:$C$23,K265)+SUMIFS('3 Hazed Questions'!$F$2:$F$23,'3 Hazed Questions'!$A$2:$A$23,"Q4",'3 Hazed Questions'!$C$2:$C$23,L265))</f>
        <v/>
      </c>
      <c r="P265" s="14" t="str">
        <f aca="false">IF(COUNTA(I265:L265)=0,"",SUMIFS('3 Hazed Questions'!$G$2:$G$23,'3 Hazed Questions'!$A$2:$A$23,"Q1",'3 Hazed Questions'!$C$2:$C$23,I265)+SUMIFS('3 Hazed Questions'!$G$2:$G$23,'3 Hazed Questions'!$A$2:$A$23,"Q2",'3 Hazed Questions'!$C$2:$C$23,J265)+SUMIFS('3 Hazed Questions'!$G$2:$G$23,'3 Hazed Questions'!$A$2:$A$23,"Q3",'3 Hazed Questions'!$C$2:$C$23,K265)+SUMIFS('3 Hazed Questions'!$G$2:$G$23,'3 Hazed Questions'!$A$2:$A$23,"Q4",'3 Hazed Questions'!$C$2:$C$23,L265))</f>
        <v/>
      </c>
      <c r="Q265" s="14" t="str">
        <f aca="false">IF(COUNTA(I265:L265)=0,"",SUMIFS('3 Hazed Questions'!$H$2:$H$23,'3 Hazed Questions'!$A$2:$A$23,"Q1",'3 Hazed Questions'!$C$2:$C$23,I265)+SUMIFS('3 Hazed Questions'!$H$2:$H$23,'3 Hazed Questions'!$A$2:$A$23,"Q2",'3 Hazed Questions'!$C$2:$C$23,J265)+SUMIFS('3 Hazed Questions'!$H$2:$H$23,'3 Hazed Questions'!$A$2:$A$23,"Q3",'3 Hazed Questions'!$C$2:$C$23,K265)+SUMIFS('3 Hazed Questions'!$H$2:$H$23,'3 Hazed Questions'!$A$2:$A$23,"Q4",'3 Hazed Questions'!$C$2:$C$23,L265))</f>
        <v/>
      </c>
      <c r="R265" s="14" t="str">
        <f aca="false">IF(COUNTA(I265:L265)=0,"",SUMIFS('3 Hazed Questions'!$I$2:$I$23,'3 Hazed Questions'!$A$2:$A$23,"Q1",'3 Hazed Questions'!$C$2:$C$23,I265)+SUMIFS('3 Hazed Questions'!$I$2:$I$23,'3 Hazed Questions'!$A$2:$A$23,"Q2",'3 Hazed Questions'!$C$2:$C$23,J265)+SUMIFS('3 Hazed Questions'!$I$2:$I$23,'3 Hazed Questions'!$A$2:$A$23,"Q3",'3 Hazed Questions'!$C$2:$C$23,K265)+SUMIFS('3 Hazed Questions'!$I$2:$I$23,'3 Hazed Questions'!$A$2:$A$23,"Q4",'3 Hazed Questions'!$C$2:$C$23,L265))</f>
        <v/>
      </c>
      <c r="S265" s="14" t="str">
        <f aca="false">IF(COUNTA(I265:L265)=0,"",SUMIFS('3 Hazed Questions'!$J$2:$J$23,'3 Hazed Questions'!$A$2:$A$23,"Q1",'3 Hazed Questions'!$C$2:$C$23,I265)+SUMIFS('3 Hazed Questions'!$J$2:$J$23,'3 Hazed Questions'!$A$2:$A$23,"Q2",'3 Hazed Questions'!$C$2:$C$23,J265)+SUMIFS('3 Hazed Questions'!$J$2:$J$23,'3 Hazed Questions'!$A$2:$A$23,"Q3",'3 Hazed Questions'!$C$2:$C$23,K265)+SUMIFS('3 Hazed Questions'!$J$2:$J$23,'3 Hazed Questions'!$A$2:$A$23,"Q4",'3 Hazed Questions'!$C$2:$C$23,L265))</f>
        <v/>
      </c>
      <c r="T265" s="14" t="str">
        <f aca="false">IF(COUNTA(I265:L265)=0,"",SUMIFS('3 Hazed Questions'!$K$2:$K$23,'3 Hazed Questions'!$A$2:$A$23,"Q1",'3 Hazed Questions'!$C$2:$C$23,I265)+SUMIFS('3 Hazed Questions'!$K$2:$K$23,'3 Hazed Questions'!$A$2:$A$23,"Q2",'3 Hazed Questions'!$C$2:$C$23,J265)+SUMIFS('3 Hazed Questions'!$K$2:$K$23,'3 Hazed Questions'!$A$2:$A$23,"Q3",'3 Hazed Questions'!$C$2:$C$23,K265)+SUMIFS('3 Hazed Questions'!$K$2:$K$23,'3 Hazed Questions'!$A$2:$A$23,"Q4",'3 Hazed Questions'!$C$2:$C$23,L265))</f>
        <v/>
      </c>
      <c r="U265" s="14" t="str">
        <f aca="false">IF(COUNTA(I265:L265)=0,"",SUMIFS('3 Hazed Questions'!$L$2:$L$23,'3 Hazed Questions'!$A$2:$A$23,"Q1",'3 Hazed Questions'!$C$2:$C$23,I265)+SUMIFS('3 Hazed Questions'!$L$2:$L$23,'3 Hazed Questions'!$A$2:$A$23,"Q2",'3 Hazed Questions'!$C$2:$C$23,J265)+SUMIFS('3 Hazed Questions'!$L$2:$L$23,'3 Hazed Questions'!$A$2:$A$23,"Q3",'3 Hazed Questions'!$C$2:$C$23,K265)+SUMIFS('3 Hazed Questions'!$L$2:$L$23,'3 Hazed Questions'!$A$2:$A$23,"Q4",'3 Hazed Questions'!$C$2:$C$23,L265))</f>
        <v/>
      </c>
      <c r="V265" s="14" t="str">
        <f aca="false">IF(COUNTA(I265:L265)=0,"",SUMIFS('3 Hazed Questions'!$M$2:$M$23,'3 Hazed Questions'!$A$2:$A$23,"Q1",'3 Hazed Questions'!$C$2:$C$23,I265)+SUMIFS('3 Hazed Questions'!$M$2:$M$23,'3 Hazed Questions'!$A$2:$A$23,"Q2",'3 Hazed Questions'!$C$2:$C$23,J265)+SUMIFS('3 Hazed Questions'!$M$2:$M$23,'3 Hazed Questions'!$A$2:$A$23,"Q3",'3 Hazed Questions'!$C$2:$C$23,K265)+SUMIFS('3 Hazed Questions'!$M$2:$M$23,'3 Hazed Questions'!$A$2:$A$23,"Q4",'3 Hazed Questions'!$C$2:$C$23,L265))</f>
        <v/>
      </c>
      <c r="W265" s="14" t="str">
        <f aca="false">IF(COUNTA(I265:L265)=0,"",SUMIFS('3 Hazed Questions'!$N$2:$N$23,'3 Hazed Questions'!$A$2:$A$23,"Q1",'3 Hazed Questions'!$C$2:$C$23,I265)+SUMIFS('3 Hazed Questions'!$N$2:$N$23,'3 Hazed Questions'!$A$2:$A$23,"Q2",'3 Hazed Questions'!$C$2:$C$23,J265)+SUMIFS('3 Hazed Questions'!$N$2:$N$23,'3 Hazed Questions'!$A$2:$A$23,"Q3",'3 Hazed Questions'!$C$2:$C$23,K265)+SUMIFS('3 Hazed Questions'!$N$2:$N$23,'3 Hazed Questions'!$A$2:$A$23,"Q4",'3 Hazed Questions'!$C$2:$C$23,L265))</f>
        <v/>
      </c>
      <c r="X265" s="14" t="str">
        <f aca="false">IF(COUNTA(I265:L265)=0,"",INDEX(Fields!$B$2:$B$50,MATCH(SUBSTITUTE(INDEX($N$1:$W$1,MATCH(MAX($N265:$W265),$N265:$W265,0)),"Score: ",""),Fields!$A$2:$A$50,0)))</f>
        <v/>
      </c>
      <c r="Y265" s="14" t="str">
        <f aca="true">IF(COUNTA(I265:L265)=0,"",IF(LARGE($N265:$W265,2)=0,"-",INDEX(Fields!$B$2:$B$50,MATCH(SUBSTITUTE(INDEX($N$1:$W$1,IF(LARGE($N265:$W265,2)=MAX($N265:$W265),MATCH(MAX($N265:$W265),OFFSET($N265:$W265,0,MATCH(MAX($N265:$W265),$N265:$W265,0),1,10-MATCH(MAX($N265:$W265),$N265:$W265,0)),0)+MATCH(MAX($N265:$W265),$N265:$W265,0),MATCH(LARGE($N265:$W265,2),$N265:$W265,0))),"Score: ",""),Fields!$A$2:$A$50,0))))</f>
        <v/>
      </c>
      <c r="Z265" s="14" t="str">
        <f aca="false">IF(M265="","",IFERROR(INDEX('3 Hazed Questions'!$O$2:$O$23,MATCH(1,INDEX(('3 Hazed Questions'!$A$2:$A$23="Q5")*('3 Hazed Questions'!$C$2:$C$23=M265),0),0))&amp;"",""))</f>
        <v/>
      </c>
      <c r="AA265" s="18"/>
      <c r="AB265" s="18"/>
      <c r="AC265" s="19"/>
      <c r="AD265" s="19"/>
      <c r="AE265" s="18"/>
      <c r="AF265" s="18"/>
      <c r="AG265" s="18"/>
    </row>
    <row r="266" customFormat="false" ht="15" hidden="false" customHeight="false" outlineLevel="0" collapsed="false">
      <c r="A266" s="18"/>
      <c r="B266" s="19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4" t="str">
        <f aca="false">IF(COUNTA(I266:L266)=0,"",SUMIFS('3 Hazed Questions'!$E$2:$E$23,'3 Hazed Questions'!$A$2:$A$23,"Q1",'3 Hazed Questions'!$C$2:$C$23,I266)+SUMIFS('3 Hazed Questions'!$E$2:$E$23,'3 Hazed Questions'!$A$2:$A$23,"Q2",'3 Hazed Questions'!$C$2:$C$23,J266)+SUMIFS('3 Hazed Questions'!$E$2:$E$23,'3 Hazed Questions'!$A$2:$A$23,"Q3",'3 Hazed Questions'!$C$2:$C$23,K266)+SUMIFS('3 Hazed Questions'!$E$2:$E$23,'3 Hazed Questions'!$A$2:$A$23,"Q4",'3 Hazed Questions'!$C$2:$C$23,L266))</f>
        <v/>
      </c>
      <c r="O266" s="14" t="str">
        <f aca="false">IF(COUNTA(I266:L266)=0,"",SUMIFS('3 Hazed Questions'!$F$2:$F$23,'3 Hazed Questions'!$A$2:$A$23,"Q1",'3 Hazed Questions'!$C$2:$C$23,I266)+SUMIFS('3 Hazed Questions'!$F$2:$F$23,'3 Hazed Questions'!$A$2:$A$23,"Q2",'3 Hazed Questions'!$C$2:$C$23,J266)+SUMIFS('3 Hazed Questions'!$F$2:$F$23,'3 Hazed Questions'!$A$2:$A$23,"Q3",'3 Hazed Questions'!$C$2:$C$23,K266)+SUMIFS('3 Hazed Questions'!$F$2:$F$23,'3 Hazed Questions'!$A$2:$A$23,"Q4",'3 Hazed Questions'!$C$2:$C$23,L266))</f>
        <v/>
      </c>
      <c r="P266" s="14" t="str">
        <f aca="false">IF(COUNTA(I266:L266)=0,"",SUMIFS('3 Hazed Questions'!$G$2:$G$23,'3 Hazed Questions'!$A$2:$A$23,"Q1",'3 Hazed Questions'!$C$2:$C$23,I266)+SUMIFS('3 Hazed Questions'!$G$2:$G$23,'3 Hazed Questions'!$A$2:$A$23,"Q2",'3 Hazed Questions'!$C$2:$C$23,J266)+SUMIFS('3 Hazed Questions'!$G$2:$G$23,'3 Hazed Questions'!$A$2:$A$23,"Q3",'3 Hazed Questions'!$C$2:$C$23,K266)+SUMIFS('3 Hazed Questions'!$G$2:$G$23,'3 Hazed Questions'!$A$2:$A$23,"Q4",'3 Hazed Questions'!$C$2:$C$23,L266))</f>
        <v/>
      </c>
      <c r="Q266" s="14" t="str">
        <f aca="false">IF(COUNTA(I266:L266)=0,"",SUMIFS('3 Hazed Questions'!$H$2:$H$23,'3 Hazed Questions'!$A$2:$A$23,"Q1",'3 Hazed Questions'!$C$2:$C$23,I266)+SUMIFS('3 Hazed Questions'!$H$2:$H$23,'3 Hazed Questions'!$A$2:$A$23,"Q2",'3 Hazed Questions'!$C$2:$C$23,J266)+SUMIFS('3 Hazed Questions'!$H$2:$H$23,'3 Hazed Questions'!$A$2:$A$23,"Q3",'3 Hazed Questions'!$C$2:$C$23,K266)+SUMIFS('3 Hazed Questions'!$H$2:$H$23,'3 Hazed Questions'!$A$2:$A$23,"Q4",'3 Hazed Questions'!$C$2:$C$23,L266))</f>
        <v/>
      </c>
      <c r="R266" s="14" t="str">
        <f aca="false">IF(COUNTA(I266:L266)=0,"",SUMIFS('3 Hazed Questions'!$I$2:$I$23,'3 Hazed Questions'!$A$2:$A$23,"Q1",'3 Hazed Questions'!$C$2:$C$23,I266)+SUMIFS('3 Hazed Questions'!$I$2:$I$23,'3 Hazed Questions'!$A$2:$A$23,"Q2",'3 Hazed Questions'!$C$2:$C$23,J266)+SUMIFS('3 Hazed Questions'!$I$2:$I$23,'3 Hazed Questions'!$A$2:$A$23,"Q3",'3 Hazed Questions'!$C$2:$C$23,K266)+SUMIFS('3 Hazed Questions'!$I$2:$I$23,'3 Hazed Questions'!$A$2:$A$23,"Q4",'3 Hazed Questions'!$C$2:$C$23,L266))</f>
        <v/>
      </c>
      <c r="S266" s="14" t="str">
        <f aca="false">IF(COUNTA(I266:L266)=0,"",SUMIFS('3 Hazed Questions'!$J$2:$J$23,'3 Hazed Questions'!$A$2:$A$23,"Q1",'3 Hazed Questions'!$C$2:$C$23,I266)+SUMIFS('3 Hazed Questions'!$J$2:$J$23,'3 Hazed Questions'!$A$2:$A$23,"Q2",'3 Hazed Questions'!$C$2:$C$23,J266)+SUMIFS('3 Hazed Questions'!$J$2:$J$23,'3 Hazed Questions'!$A$2:$A$23,"Q3",'3 Hazed Questions'!$C$2:$C$23,K266)+SUMIFS('3 Hazed Questions'!$J$2:$J$23,'3 Hazed Questions'!$A$2:$A$23,"Q4",'3 Hazed Questions'!$C$2:$C$23,L266))</f>
        <v/>
      </c>
      <c r="T266" s="14" t="str">
        <f aca="false">IF(COUNTA(I266:L266)=0,"",SUMIFS('3 Hazed Questions'!$K$2:$K$23,'3 Hazed Questions'!$A$2:$A$23,"Q1",'3 Hazed Questions'!$C$2:$C$23,I266)+SUMIFS('3 Hazed Questions'!$K$2:$K$23,'3 Hazed Questions'!$A$2:$A$23,"Q2",'3 Hazed Questions'!$C$2:$C$23,J266)+SUMIFS('3 Hazed Questions'!$K$2:$K$23,'3 Hazed Questions'!$A$2:$A$23,"Q3",'3 Hazed Questions'!$C$2:$C$23,K266)+SUMIFS('3 Hazed Questions'!$K$2:$K$23,'3 Hazed Questions'!$A$2:$A$23,"Q4",'3 Hazed Questions'!$C$2:$C$23,L266))</f>
        <v/>
      </c>
      <c r="U266" s="14" t="str">
        <f aca="false">IF(COUNTA(I266:L266)=0,"",SUMIFS('3 Hazed Questions'!$L$2:$L$23,'3 Hazed Questions'!$A$2:$A$23,"Q1",'3 Hazed Questions'!$C$2:$C$23,I266)+SUMIFS('3 Hazed Questions'!$L$2:$L$23,'3 Hazed Questions'!$A$2:$A$23,"Q2",'3 Hazed Questions'!$C$2:$C$23,J266)+SUMIFS('3 Hazed Questions'!$L$2:$L$23,'3 Hazed Questions'!$A$2:$A$23,"Q3",'3 Hazed Questions'!$C$2:$C$23,K266)+SUMIFS('3 Hazed Questions'!$L$2:$L$23,'3 Hazed Questions'!$A$2:$A$23,"Q4",'3 Hazed Questions'!$C$2:$C$23,L266))</f>
        <v/>
      </c>
      <c r="V266" s="14" t="str">
        <f aca="false">IF(COUNTA(I266:L266)=0,"",SUMIFS('3 Hazed Questions'!$M$2:$M$23,'3 Hazed Questions'!$A$2:$A$23,"Q1",'3 Hazed Questions'!$C$2:$C$23,I266)+SUMIFS('3 Hazed Questions'!$M$2:$M$23,'3 Hazed Questions'!$A$2:$A$23,"Q2",'3 Hazed Questions'!$C$2:$C$23,J266)+SUMIFS('3 Hazed Questions'!$M$2:$M$23,'3 Hazed Questions'!$A$2:$A$23,"Q3",'3 Hazed Questions'!$C$2:$C$23,K266)+SUMIFS('3 Hazed Questions'!$M$2:$M$23,'3 Hazed Questions'!$A$2:$A$23,"Q4",'3 Hazed Questions'!$C$2:$C$23,L266))</f>
        <v/>
      </c>
      <c r="W266" s="14" t="str">
        <f aca="false">IF(COUNTA(I266:L266)=0,"",SUMIFS('3 Hazed Questions'!$N$2:$N$23,'3 Hazed Questions'!$A$2:$A$23,"Q1",'3 Hazed Questions'!$C$2:$C$23,I266)+SUMIFS('3 Hazed Questions'!$N$2:$N$23,'3 Hazed Questions'!$A$2:$A$23,"Q2",'3 Hazed Questions'!$C$2:$C$23,J266)+SUMIFS('3 Hazed Questions'!$N$2:$N$23,'3 Hazed Questions'!$A$2:$A$23,"Q3",'3 Hazed Questions'!$C$2:$C$23,K266)+SUMIFS('3 Hazed Questions'!$N$2:$N$23,'3 Hazed Questions'!$A$2:$A$23,"Q4",'3 Hazed Questions'!$C$2:$C$23,L266))</f>
        <v/>
      </c>
      <c r="X266" s="14" t="str">
        <f aca="false">IF(COUNTA(I266:L266)=0,"",INDEX(Fields!$B$2:$B$50,MATCH(SUBSTITUTE(INDEX($N$1:$W$1,MATCH(MAX($N266:$W266),$N266:$W266,0)),"Score: ",""),Fields!$A$2:$A$50,0)))</f>
        <v/>
      </c>
      <c r="Y266" s="14" t="str">
        <f aca="true">IF(COUNTA(I266:L266)=0,"",IF(LARGE($N266:$W266,2)=0,"-",INDEX(Fields!$B$2:$B$50,MATCH(SUBSTITUTE(INDEX($N$1:$W$1,IF(LARGE($N266:$W266,2)=MAX($N266:$W266),MATCH(MAX($N266:$W266),OFFSET($N266:$W266,0,MATCH(MAX($N266:$W266),$N266:$W266,0),1,10-MATCH(MAX($N266:$W266),$N266:$W266,0)),0)+MATCH(MAX($N266:$W266),$N266:$W266,0),MATCH(LARGE($N266:$W266,2),$N266:$W266,0))),"Score: ",""),Fields!$A$2:$A$50,0))))</f>
        <v/>
      </c>
      <c r="Z266" s="14" t="str">
        <f aca="false">IF(M266="","",IFERROR(INDEX('3 Hazed Questions'!$O$2:$O$23,MATCH(1,INDEX(('3 Hazed Questions'!$A$2:$A$23="Q5")*('3 Hazed Questions'!$C$2:$C$23=M266),0),0))&amp;"",""))</f>
        <v/>
      </c>
      <c r="AA266" s="18"/>
      <c r="AB266" s="18"/>
      <c r="AC266" s="19"/>
      <c r="AD266" s="19"/>
      <c r="AE266" s="18"/>
      <c r="AF266" s="18"/>
      <c r="AG266" s="18"/>
    </row>
    <row r="267" customFormat="false" ht="15" hidden="false" customHeight="false" outlineLevel="0" collapsed="false">
      <c r="A267" s="18"/>
      <c r="B267" s="19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4" t="str">
        <f aca="false">IF(COUNTA(I267:L267)=0,"",SUMIFS('3 Hazed Questions'!$E$2:$E$23,'3 Hazed Questions'!$A$2:$A$23,"Q1",'3 Hazed Questions'!$C$2:$C$23,I267)+SUMIFS('3 Hazed Questions'!$E$2:$E$23,'3 Hazed Questions'!$A$2:$A$23,"Q2",'3 Hazed Questions'!$C$2:$C$23,J267)+SUMIFS('3 Hazed Questions'!$E$2:$E$23,'3 Hazed Questions'!$A$2:$A$23,"Q3",'3 Hazed Questions'!$C$2:$C$23,K267)+SUMIFS('3 Hazed Questions'!$E$2:$E$23,'3 Hazed Questions'!$A$2:$A$23,"Q4",'3 Hazed Questions'!$C$2:$C$23,L267))</f>
        <v/>
      </c>
      <c r="O267" s="14" t="str">
        <f aca="false">IF(COUNTA(I267:L267)=0,"",SUMIFS('3 Hazed Questions'!$F$2:$F$23,'3 Hazed Questions'!$A$2:$A$23,"Q1",'3 Hazed Questions'!$C$2:$C$23,I267)+SUMIFS('3 Hazed Questions'!$F$2:$F$23,'3 Hazed Questions'!$A$2:$A$23,"Q2",'3 Hazed Questions'!$C$2:$C$23,J267)+SUMIFS('3 Hazed Questions'!$F$2:$F$23,'3 Hazed Questions'!$A$2:$A$23,"Q3",'3 Hazed Questions'!$C$2:$C$23,K267)+SUMIFS('3 Hazed Questions'!$F$2:$F$23,'3 Hazed Questions'!$A$2:$A$23,"Q4",'3 Hazed Questions'!$C$2:$C$23,L267))</f>
        <v/>
      </c>
      <c r="P267" s="14" t="str">
        <f aca="false">IF(COUNTA(I267:L267)=0,"",SUMIFS('3 Hazed Questions'!$G$2:$G$23,'3 Hazed Questions'!$A$2:$A$23,"Q1",'3 Hazed Questions'!$C$2:$C$23,I267)+SUMIFS('3 Hazed Questions'!$G$2:$G$23,'3 Hazed Questions'!$A$2:$A$23,"Q2",'3 Hazed Questions'!$C$2:$C$23,J267)+SUMIFS('3 Hazed Questions'!$G$2:$G$23,'3 Hazed Questions'!$A$2:$A$23,"Q3",'3 Hazed Questions'!$C$2:$C$23,K267)+SUMIFS('3 Hazed Questions'!$G$2:$G$23,'3 Hazed Questions'!$A$2:$A$23,"Q4",'3 Hazed Questions'!$C$2:$C$23,L267))</f>
        <v/>
      </c>
      <c r="Q267" s="14" t="str">
        <f aca="false">IF(COUNTA(I267:L267)=0,"",SUMIFS('3 Hazed Questions'!$H$2:$H$23,'3 Hazed Questions'!$A$2:$A$23,"Q1",'3 Hazed Questions'!$C$2:$C$23,I267)+SUMIFS('3 Hazed Questions'!$H$2:$H$23,'3 Hazed Questions'!$A$2:$A$23,"Q2",'3 Hazed Questions'!$C$2:$C$23,J267)+SUMIFS('3 Hazed Questions'!$H$2:$H$23,'3 Hazed Questions'!$A$2:$A$23,"Q3",'3 Hazed Questions'!$C$2:$C$23,K267)+SUMIFS('3 Hazed Questions'!$H$2:$H$23,'3 Hazed Questions'!$A$2:$A$23,"Q4",'3 Hazed Questions'!$C$2:$C$23,L267))</f>
        <v/>
      </c>
      <c r="R267" s="14" t="str">
        <f aca="false">IF(COUNTA(I267:L267)=0,"",SUMIFS('3 Hazed Questions'!$I$2:$I$23,'3 Hazed Questions'!$A$2:$A$23,"Q1",'3 Hazed Questions'!$C$2:$C$23,I267)+SUMIFS('3 Hazed Questions'!$I$2:$I$23,'3 Hazed Questions'!$A$2:$A$23,"Q2",'3 Hazed Questions'!$C$2:$C$23,J267)+SUMIFS('3 Hazed Questions'!$I$2:$I$23,'3 Hazed Questions'!$A$2:$A$23,"Q3",'3 Hazed Questions'!$C$2:$C$23,K267)+SUMIFS('3 Hazed Questions'!$I$2:$I$23,'3 Hazed Questions'!$A$2:$A$23,"Q4",'3 Hazed Questions'!$C$2:$C$23,L267))</f>
        <v/>
      </c>
      <c r="S267" s="14" t="str">
        <f aca="false">IF(COUNTA(I267:L267)=0,"",SUMIFS('3 Hazed Questions'!$J$2:$J$23,'3 Hazed Questions'!$A$2:$A$23,"Q1",'3 Hazed Questions'!$C$2:$C$23,I267)+SUMIFS('3 Hazed Questions'!$J$2:$J$23,'3 Hazed Questions'!$A$2:$A$23,"Q2",'3 Hazed Questions'!$C$2:$C$23,J267)+SUMIFS('3 Hazed Questions'!$J$2:$J$23,'3 Hazed Questions'!$A$2:$A$23,"Q3",'3 Hazed Questions'!$C$2:$C$23,K267)+SUMIFS('3 Hazed Questions'!$J$2:$J$23,'3 Hazed Questions'!$A$2:$A$23,"Q4",'3 Hazed Questions'!$C$2:$C$23,L267))</f>
        <v/>
      </c>
      <c r="T267" s="14" t="str">
        <f aca="false">IF(COUNTA(I267:L267)=0,"",SUMIFS('3 Hazed Questions'!$K$2:$K$23,'3 Hazed Questions'!$A$2:$A$23,"Q1",'3 Hazed Questions'!$C$2:$C$23,I267)+SUMIFS('3 Hazed Questions'!$K$2:$K$23,'3 Hazed Questions'!$A$2:$A$23,"Q2",'3 Hazed Questions'!$C$2:$C$23,J267)+SUMIFS('3 Hazed Questions'!$K$2:$K$23,'3 Hazed Questions'!$A$2:$A$23,"Q3",'3 Hazed Questions'!$C$2:$C$23,K267)+SUMIFS('3 Hazed Questions'!$K$2:$K$23,'3 Hazed Questions'!$A$2:$A$23,"Q4",'3 Hazed Questions'!$C$2:$C$23,L267))</f>
        <v/>
      </c>
      <c r="U267" s="14" t="str">
        <f aca="false">IF(COUNTA(I267:L267)=0,"",SUMIFS('3 Hazed Questions'!$L$2:$L$23,'3 Hazed Questions'!$A$2:$A$23,"Q1",'3 Hazed Questions'!$C$2:$C$23,I267)+SUMIFS('3 Hazed Questions'!$L$2:$L$23,'3 Hazed Questions'!$A$2:$A$23,"Q2",'3 Hazed Questions'!$C$2:$C$23,J267)+SUMIFS('3 Hazed Questions'!$L$2:$L$23,'3 Hazed Questions'!$A$2:$A$23,"Q3",'3 Hazed Questions'!$C$2:$C$23,K267)+SUMIFS('3 Hazed Questions'!$L$2:$L$23,'3 Hazed Questions'!$A$2:$A$23,"Q4",'3 Hazed Questions'!$C$2:$C$23,L267))</f>
        <v/>
      </c>
      <c r="V267" s="14" t="str">
        <f aca="false">IF(COUNTA(I267:L267)=0,"",SUMIFS('3 Hazed Questions'!$M$2:$M$23,'3 Hazed Questions'!$A$2:$A$23,"Q1",'3 Hazed Questions'!$C$2:$C$23,I267)+SUMIFS('3 Hazed Questions'!$M$2:$M$23,'3 Hazed Questions'!$A$2:$A$23,"Q2",'3 Hazed Questions'!$C$2:$C$23,J267)+SUMIFS('3 Hazed Questions'!$M$2:$M$23,'3 Hazed Questions'!$A$2:$A$23,"Q3",'3 Hazed Questions'!$C$2:$C$23,K267)+SUMIFS('3 Hazed Questions'!$M$2:$M$23,'3 Hazed Questions'!$A$2:$A$23,"Q4",'3 Hazed Questions'!$C$2:$C$23,L267))</f>
        <v/>
      </c>
      <c r="W267" s="14" t="str">
        <f aca="false">IF(COUNTA(I267:L267)=0,"",SUMIFS('3 Hazed Questions'!$N$2:$N$23,'3 Hazed Questions'!$A$2:$A$23,"Q1",'3 Hazed Questions'!$C$2:$C$23,I267)+SUMIFS('3 Hazed Questions'!$N$2:$N$23,'3 Hazed Questions'!$A$2:$A$23,"Q2",'3 Hazed Questions'!$C$2:$C$23,J267)+SUMIFS('3 Hazed Questions'!$N$2:$N$23,'3 Hazed Questions'!$A$2:$A$23,"Q3",'3 Hazed Questions'!$C$2:$C$23,K267)+SUMIFS('3 Hazed Questions'!$N$2:$N$23,'3 Hazed Questions'!$A$2:$A$23,"Q4",'3 Hazed Questions'!$C$2:$C$23,L267))</f>
        <v/>
      </c>
      <c r="X267" s="14" t="str">
        <f aca="false">IF(COUNTA(I267:L267)=0,"",INDEX(Fields!$B$2:$B$50,MATCH(SUBSTITUTE(INDEX($N$1:$W$1,MATCH(MAX($N267:$W267),$N267:$W267,0)),"Score: ",""),Fields!$A$2:$A$50,0)))</f>
        <v/>
      </c>
      <c r="Y267" s="14" t="str">
        <f aca="true">IF(COUNTA(I267:L267)=0,"",IF(LARGE($N267:$W267,2)=0,"-",INDEX(Fields!$B$2:$B$50,MATCH(SUBSTITUTE(INDEX($N$1:$W$1,IF(LARGE($N267:$W267,2)=MAX($N267:$W267),MATCH(MAX($N267:$W267),OFFSET($N267:$W267,0,MATCH(MAX($N267:$W267),$N267:$W267,0),1,10-MATCH(MAX($N267:$W267),$N267:$W267,0)),0)+MATCH(MAX($N267:$W267),$N267:$W267,0),MATCH(LARGE($N267:$W267,2),$N267:$W267,0))),"Score: ",""),Fields!$A$2:$A$50,0))))</f>
        <v/>
      </c>
      <c r="Z267" s="14" t="str">
        <f aca="false">IF(M267="","",IFERROR(INDEX('3 Hazed Questions'!$O$2:$O$23,MATCH(1,INDEX(('3 Hazed Questions'!$A$2:$A$23="Q5")*('3 Hazed Questions'!$C$2:$C$23=M267),0),0))&amp;"",""))</f>
        <v/>
      </c>
      <c r="AA267" s="18"/>
      <c r="AB267" s="18"/>
      <c r="AC267" s="19"/>
      <c r="AD267" s="19"/>
      <c r="AE267" s="18"/>
      <c r="AF267" s="18"/>
      <c r="AG267" s="18"/>
    </row>
    <row r="268" customFormat="false" ht="15" hidden="false" customHeight="false" outlineLevel="0" collapsed="false">
      <c r="A268" s="18"/>
      <c r="B268" s="19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4" t="str">
        <f aca="false">IF(COUNTA(I268:L268)=0,"",SUMIFS('3 Hazed Questions'!$E$2:$E$23,'3 Hazed Questions'!$A$2:$A$23,"Q1",'3 Hazed Questions'!$C$2:$C$23,I268)+SUMIFS('3 Hazed Questions'!$E$2:$E$23,'3 Hazed Questions'!$A$2:$A$23,"Q2",'3 Hazed Questions'!$C$2:$C$23,J268)+SUMIFS('3 Hazed Questions'!$E$2:$E$23,'3 Hazed Questions'!$A$2:$A$23,"Q3",'3 Hazed Questions'!$C$2:$C$23,K268)+SUMIFS('3 Hazed Questions'!$E$2:$E$23,'3 Hazed Questions'!$A$2:$A$23,"Q4",'3 Hazed Questions'!$C$2:$C$23,L268))</f>
        <v/>
      </c>
      <c r="O268" s="14" t="str">
        <f aca="false">IF(COUNTA(I268:L268)=0,"",SUMIFS('3 Hazed Questions'!$F$2:$F$23,'3 Hazed Questions'!$A$2:$A$23,"Q1",'3 Hazed Questions'!$C$2:$C$23,I268)+SUMIFS('3 Hazed Questions'!$F$2:$F$23,'3 Hazed Questions'!$A$2:$A$23,"Q2",'3 Hazed Questions'!$C$2:$C$23,J268)+SUMIFS('3 Hazed Questions'!$F$2:$F$23,'3 Hazed Questions'!$A$2:$A$23,"Q3",'3 Hazed Questions'!$C$2:$C$23,K268)+SUMIFS('3 Hazed Questions'!$F$2:$F$23,'3 Hazed Questions'!$A$2:$A$23,"Q4",'3 Hazed Questions'!$C$2:$C$23,L268))</f>
        <v/>
      </c>
      <c r="P268" s="14" t="str">
        <f aca="false">IF(COUNTA(I268:L268)=0,"",SUMIFS('3 Hazed Questions'!$G$2:$G$23,'3 Hazed Questions'!$A$2:$A$23,"Q1",'3 Hazed Questions'!$C$2:$C$23,I268)+SUMIFS('3 Hazed Questions'!$G$2:$G$23,'3 Hazed Questions'!$A$2:$A$23,"Q2",'3 Hazed Questions'!$C$2:$C$23,J268)+SUMIFS('3 Hazed Questions'!$G$2:$G$23,'3 Hazed Questions'!$A$2:$A$23,"Q3",'3 Hazed Questions'!$C$2:$C$23,K268)+SUMIFS('3 Hazed Questions'!$G$2:$G$23,'3 Hazed Questions'!$A$2:$A$23,"Q4",'3 Hazed Questions'!$C$2:$C$23,L268))</f>
        <v/>
      </c>
      <c r="Q268" s="14" t="str">
        <f aca="false">IF(COUNTA(I268:L268)=0,"",SUMIFS('3 Hazed Questions'!$H$2:$H$23,'3 Hazed Questions'!$A$2:$A$23,"Q1",'3 Hazed Questions'!$C$2:$C$23,I268)+SUMIFS('3 Hazed Questions'!$H$2:$H$23,'3 Hazed Questions'!$A$2:$A$23,"Q2",'3 Hazed Questions'!$C$2:$C$23,J268)+SUMIFS('3 Hazed Questions'!$H$2:$H$23,'3 Hazed Questions'!$A$2:$A$23,"Q3",'3 Hazed Questions'!$C$2:$C$23,K268)+SUMIFS('3 Hazed Questions'!$H$2:$H$23,'3 Hazed Questions'!$A$2:$A$23,"Q4",'3 Hazed Questions'!$C$2:$C$23,L268))</f>
        <v/>
      </c>
      <c r="R268" s="14" t="str">
        <f aca="false">IF(COUNTA(I268:L268)=0,"",SUMIFS('3 Hazed Questions'!$I$2:$I$23,'3 Hazed Questions'!$A$2:$A$23,"Q1",'3 Hazed Questions'!$C$2:$C$23,I268)+SUMIFS('3 Hazed Questions'!$I$2:$I$23,'3 Hazed Questions'!$A$2:$A$23,"Q2",'3 Hazed Questions'!$C$2:$C$23,J268)+SUMIFS('3 Hazed Questions'!$I$2:$I$23,'3 Hazed Questions'!$A$2:$A$23,"Q3",'3 Hazed Questions'!$C$2:$C$23,K268)+SUMIFS('3 Hazed Questions'!$I$2:$I$23,'3 Hazed Questions'!$A$2:$A$23,"Q4",'3 Hazed Questions'!$C$2:$C$23,L268))</f>
        <v/>
      </c>
      <c r="S268" s="14" t="str">
        <f aca="false">IF(COUNTA(I268:L268)=0,"",SUMIFS('3 Hazed Questions'!$J$2:$J$23,'3 Hazed Questions'!$A$2:$A$23,"Q1",'3 Hazed Questions'!$C$2:$C$23,I268)+SUMIFS('3 Hazed Questions'!$J$2:$J$23,'3 Hazed Questions'!$A$2:$A$23,"Q2",'3 Hazed Questions'!$C$2:$C$23,J268)+SUMIFS('3 Hazed Questions'!$J$2:$J$23,'3 Hazed Questions'!$A$2:$A$23,"Q3",'3 Hazed Questions'!$C$2:$C$23,K268)+SUMIFS('3 Hazed Questions'!$J$2:$J$23,'3 Hazed Questions'!$A$2:$A$23,"Q4",'3 Hazed Questions'!$C$2:$C$23,L268))</f>
        <v/>
      </c>
      <c r="T268" s="14" t="str">
        <f aca="false">IF(COUNTA(I268:L268)=0,"",SUMIFS('3 Hazed Questions'!$K$2:$K$23,'3 Hazed Questions'!$A$2:$A$23,"Q1",'3 Hazed Questions'!$C$2:$C$23,I268)+SUMIFS('3 Hazed Questions'!$K$2:$K$23,'3 Hazed Questions'!$A$2:$A$23,"Q2",'3 Hazed Questions'!$C$2:$C$23,J268)+SUMIFS('3 Hazed Questions'!$K$2:$K$23,'3 Hazed Questions'!$A$2:$A$23,"Q3",'3 Hazed Questions'!$C$2:$C$23,K268)+SUMIFS('3 Hazed Questions'!$K$2:$K$23,'3 Hazed Questions'!$A$2:$A$23,"Q4",'3 Hazed Questions'!$C$2:$C$23,L268))</f>
        <v/>
      </c>
      <c r="U268" s="14" t="str">
        <f aca="false">IF(COUNTA(I268:L268)=0,"",SUMIFS('3 Hazed Questions'!$L$2:$L$23,'3 Hazed Questions'!$A$2:$A$23,"Q1",'3 Hazed Questions'!$C$2:$C$23,I268)+SUMIFS('3 Hazed Questions'!$L$2:$L$23,'3 Hazed Questions'!$A$2:$A$23,"Q2",'3 Hazed Questions'!$C$2:$C$23,J268)+SUMIFS('3 Hazed Questions'!$L$2:$L$23,'3 Hazed Questions'!$A$2:$A$23,"Q3",'3 Hazed Questions'!$C$2:$C$23,K268)+SUMIFS('3 Hazed Questions'!$L$2:$L$23,'3 Hazed Questions'!$A$2:$A$23,"Q4",'3 Hazed Questions'!$C$2:$C$23,L268))</f>
        <v/>
      </c>
      <c r="V268" s="14" t="str">
        <f aca="false">IF(COUNTA(I268:L268)=0,"",SUMIFS('3 Hazed Questions'!$M$2:$M$23,'3 Hazed Questions'!$A$2:$A$23,"Q1",'3 Hazed Questions'!$C$2:$C$23,I268)+SUMIFS('3 Hazed Questions'!$M$2:$M$23,'3 Hazed Questions'!$A$2:$A$23,"Q2",'3 Hazed Questions'!$C$2:$C$23,J268)+SUMIFS('3 Hazed Questions'!$M$2:$M$23,'3 Hazed Questions'!$A$2:$A$23,"Q3",'3 Hazed Questions'!$C$2:$C$23,K268)+SUMIFS('3 Hazed Questions'!$M$2:$M$23,'3 Hazed Questions'!$A$2:$A$23,"Q4",'3 Hazed Questions'!$C$2:$C$23,L268))</f>
        <v/>
      </c>
      <c r="W268" s="14" t="str">
        <f aca="false">IF(COUNTA(I268:L268)=0,"",SUMIFS('3 Hazed Questions'!$N$2:$N$23,'3 Hazed Questions'!$A$2:$A$23,"Q1",'3 Hazed Questions'!$C$2:$C$23,I268)+SUMIFS('3 Hazed Questions'!$N$2:$N$23,'3 Hazed Questions'!$A$2:$A$23,"Q2",'3 Hazed Questions'!$C$2:$C$23,J268)+SUMIFS('3 Hazed Questions'!$N$2:$N$23,'3 Hazed Questions'!$A$2:$A$23,"Q3",'3 Hazed Questions'!$C$2:$C$23,K268)+SUMIFS('3 Hazed Questions'!$N$2:$N$23,'3 Hazed Questions'!$A$2:$A$23,"Q4",'3 Hazed Questions'!$C$2:$C$23,L268))</f>
        <v/>
      </c>
      <c r="X268" s="14" t="str">
        <f aca="false">IF(COUNTA(I268:L268)=0,"",INDEX(Fields!$B$2:$B$50,MATCH(SUBSTITUTE(INDEX($N$1:$W$1,MATCH(MAX($N268:$W268),$N268:$W268,0)),"Score: ",""),Fields!$A$2:$A$50,0)))</f>
        <v/>
      </c>
      <c r="Y268" s="14" t="str">
        <f aca="true">IF(COUNTA(I268:L268)=0,"",IF(LARGE($N268:$W268,2)=0,"-",INDEX(Fields!$B$2:$B$50,MATCH(SUBSTITUTE(INDEX($N$1:$W$1,IF(LARGE($N268:$W268,2)=MAX($N268:$W268),MATCH(MAX($N268:$W268),OFFSET($N268:$W268,0,MATCH(MAX($N268:$W268),$N268:$W268,0),1,10-MATCH(MAX($N268:$W268),$N268:$W268,0)),0)+MATCH(MAX($N268:$W268),$N268:$W268,0),MATCH(LARGE($N268:$W268,2),$N268:$W268,0))),"Score: ",""),Fields!$A$2:$A$50,0))))</f>
        <v/>
      </c>
      <c r="Z268" s="14" t="str">
        <f aca="false">IF(M268="","",IFERROR(INDEX('3 Hazed Questions'!$O$2:$O$23,MATCH(1,INDEX(('3 Hazed Questions'!$A$2:$A$23="Q5")*('3 Hazed Questions'!$C$2:$C$23=M268),0),0))&amp;"",""))</f>
        <v/>
      </c>
      <c r="AA268" s="18"/>
      <c r="AB268" s="18"/>
      <c r="AC268" s="19"/>
      <c r="AD268" s="19"/>
      <c r="AE268" s="18"/>
      <c r="AF268" s="18"/>
      <c r="AG268" s="18"/>
    </row>
    <row r="269" customFormat="false" ht="15" hidden="false" customHeight="false" outlineLevel="0" collapsed="false">
      <c r="A269" s="18"/>
      <c r="B269" s="19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4" t="str">
        <f aca="false">IF(COUNTA(I269:L269)=0,"",SUMIFS('3 Hazed Questions'!$E$2:$E$23,'3 Hazed Questions'!$A$2:$A$23,"Q1",'3 Hazed Questions'!$C$2:$C$23,I269)+SUMIFS('3 Hazed Questions'!$E$2:$E$23,'3 Hazed Questions'!$A$2:$A$23,"Q2",'3 Hazed Questions'!$C$2:$C$23,J269)+SUMIFS('3 Hazed Questions'!$E$2:$E$23,'3 Hazed Questions'!$A$2:$A$23,"Q3",'3 Hazed Questions'!$C$2:$C$23,K269)+SUMIFS('3 Hazed Questions'!$E$2:$E$23,'3 Hazed Questions'!$A$2:$A$23,"Q4",'3 Hazed Questions'!$C$2:$C$23,L269))</f>
        <v/>
      </c>
      <c r="O269" s="14" t="str">
        <f aca="false">IF(COUNTA(I269:L269)=0,"",SUMIFS('3 Hazed Questions'!$F$2:$F$23,'3 Hazed Questions'!$A$2:$A$23,"Q1",'3 Hazed Questions'!$C$2:$C$23,I269)+SUMIFS('3 Hazed Questions'!$F$2:$F$23,'3 Hazed Questions'!$A$2:$A$23,"Q2",'3 Hazed Questions'!$C$2:$C$23,J269)+SUMIFS('3 Hazed Questions'!$F$2:$F$23,'3 Hazed Questions'!$A$2:$A$23,"Q3",'3 Hazed Questions'!$C$2:$C$23,K269)+SUMIFS('3 Hazed Questions'!$F$2:$F$23,'3 Hazed Questions'!$A$2:$A$23,"Q4",'3 Hazed Questions'!$C$2:$C$23,L269))</f>
        <v/>
      </c>
      <c r="P269" s="14" t="str">
        <f aca="false">IF(COUNTA(I269:L269)=0,"",SUMIFS('3 Hazed Questions'!$G$2:$G$23,'3 Hazed Questions'!$A$2:$A$23,"Q1",'3 Hazed Questions'!$C$2:$C$23,I269)+SUMIFS('3 Hazed Questions'!$G$2:$G$23,'3 Hazed Questions'!$A$2:$A$23,"Q2",'3 Hazed Questions'!$C$2:$C$23,J269)+SUMIFS('3 Hazed Questions'!$G$2:$G$23,'3 Hazed Questions'!$A$2:$A$23,"Q3",'3 Hazed Questions'!$C$2:$C$23,K269)+SUMIFS('3 Hazed Questions'!$G$2:$G$23,'3 Hazed Questions'!$A$2:$A$23,"Q4",'3 Hazed Questions'!$C$2:$C$23,L269))</f>
        <v/>
      </c>
      <c r="Q269" s="14" t="str">
        <f aca="false">IF(COUNTA(I269:L269)=0,"",SUMIFS('3 Hazed Questions'!$H$2:$H$23,'3 Hazed Questions'!$A$2:$A$23,"Q1",'3 Hazed Questions'!$C$2:$C$23,I269)+SUMIFS('3 Hazed Questions'!$H$2:$H$23,'3 Hazed Questions'!$A$2:$A$23,"Q2",'3 Hazed Questions'!$C$2:$C$23,J269)+SUMIFS('3 Hazed Questions'!$H$2:$H$23,'3 Hazed Questions'!$A$2:$A$23,"Q3",'3 Hazed Questions'!$C$2:$C$23,K269)+SUMIFS('3 Hazed Questions'!$H$2:$H$23,'3 Hazed Questions'!$A$2:$A$23,"Q4",'3 Hazed Questions'!$C$2:$C$23,L269))</f>
        <v/>
      </c>
      <c r="R269" s="14" t="str">
        <f aca="false">IF(COUNTA(I269:L269)=0,"",SUMIFS('3 Hazed Questions'!$I$2:$I$23,'3 Hazed Questions'!$A$2:$A$23,"Q1",'3 Hazed Questions'!$C$2:$C$23,I269)+SUMIFS('3 Hazed Questions'!$I$2:$I$23,'3 Hazed Questions'!$A$2:$A$23,"Q2",'3 Hazed Questions'!$C$2:$C$23,J269)+SUMIFS('3 Hazed Questions'!$I$2:$I$23,'3 Hazed Questions'!$A$2:$A$23,"Q3",'3 Hazed Questions'!$C$2:$C$23,K269)+SUMIFS('3 Hazed Questions'!$I$2:$I$23,'3 Hazed Questions'!$A$2:$A$23,"Q4",'3 Hazed Questions'!$C$2:$C$23,L269))</f>
        <v/>
      </c>
      <c r="S269" s="14" t="str">
        <f aca="false">IF(COUNTA(I269:L269)=0,"",SUMIFS('3 Hazed Questions'!$J$2:$J$23,'3 Hazed Questions'!$A$2:$A$23,"Q1",'3 Hazed Questions'!$C$2:$C$23,I269)+SUMIFS('3 Hazed Questions'!$J$2:$J$23,'3 Hazed Questions'!$A$2:$A$23,"Q2",'3 Hazed Questions'!$C$2:$C$23,J269)+SUMIFS('3 Hazed Questions'!$J$2:$J$23,'3 Hazed Questions'!$A$2:$A$23,"Q3",'3 Hazed Questions'!$C$2:$C$23,K269)+SUMIFS('3 Hazed Questions'!$J$2:$J$23,'3 Hazed Questions'!$A$2:$A$23,"Q4",'3 Hazed Questions'!$C$2:$C$23,L269))</f>
        <v/>
      </c>
      <c r="T269" s="14" t="str">
        <f aca="false">IF(COUNTA(I269:L269)=0,"",SUMIFS('3 Hazed Questions'!$K$2:$K$23,'3 Hazed Questions'!$A$2:$A$23,"Q1",'3 Hazed Questions'!$C$2:$C$23,I269)+SUMIFS('3 Hazed Questions'!$K$2:$K$23,'3 Hazed Questions'!$A$2:$A$23,"Q2",'3 Hazed Questions'!$C$2:$C$23,J269)+SUMIFS('3 Hazed Questions'!$K$2:$K$23,'3 Hazed Questions'!$A$2:$A$23,"Q3",'3 Hazed Questions'!$C$2:$C$23,K269)+SUMIFS('3 Hazed Questions'!$K$2:$K$23,'3 Hazed Questions'!$A$2:$A$23,"Q4",'3 Hazed Questions'!$C$2:$C$23,L269))</f>
        <v/>
      </c>
      <c r="U269" s="14" t="str">
        <f aca="false">IF(COUNTA(I269:L269)=0,"",SUMIFS('3 Hazed Questions'!$L$2:$L$23,'3 Hazed Questions'!$A$2:$A$23,"Q1",'3 Hazed Questions'!$C$2:$C$23,I269)+SUMIFS('3 Hazed Questions'!$L$2:$L$23,'3 Hazed Questions'!$A$2:$A$23,"Q2",'3 Hazed Questions'!$C$2:$C$23,J269)+SUMIFS('3 Hazed Questions'!$L$2:$L$23,'3 Hazed Questions'!$A$2:$A$23,"Q3",'3 Hazed Questions'!$C$2:$C$23,K269)+SUMIFS('3 Hazed Questions'!$L$2:$L$23,'3 Hazed Questions'!$A$2:$A$23,"Q4",'3 Hazed Questions'!$C$2:$C$23,L269))</f>
        <v/>
      </c>
      <c r="V269" s="14" t="str">
        <f aca="false">IF(COUNTA(I269:L269)=0,"",SUMIFS('3 Hazed Questions'!$M$2:$M$23,'3 Hazed Questions'!$A$2:$A$23,"Q1",'3 Hazed Questions'!$C$2:$C$23,I269)+SUMIFS('3 Hazed Questions'!$M$2:$M$23,'3 Hazed Questions'!$A$2:$A$23,"Q2",'3 Hazed Questions'!$C$2:$C$23,J269)+SUMIFS('3 Hazed Questions'!$M$2:$M$23,'3 Hazed Questions'!$A$2:$A$23,"Q3",'3 Hazed Questions'!$C$2:$C$23,K269)+SUMIFS('3 Hazed Questions'!$M$2:$M$23,'3 Hazed Questions'!$A$2:$A$23,"Q4",'3 Hazed Questions'!$C$2:$C$23,L269))</f>
        <v/>
      </c>
      <c r="W269" s="14" t="str">
        <f aca="false">IF(COUNTA(I269:L269)=0,"",SUMIFS('3 Hazed Questions'!$N$2:$N$23,'3 Hazed Questions'!$A$2:$A$23,"Q1",'3 Hazed Questions'!$C$2:$C$23,I269)+SUMIFS('3 Hazed Questions'!$N$2:$N$23,'3 Hazed Questions'!$A$2:$A$23,"Q2",'3 Hazed Questions'!$C$2:$C$23,J269)+SUMIFS('3 Hazed Questions'!$N$2:$N$23,'3 Hazed Questions'!$A$2:$A$23,"Q3",'3 Hazed Questions'!$C$2:$C$23,K269)+SUMIFS('3 Hazed Questions'!$N$2:$N$23,'3 Hazed Questions'!$A$2:$A$23,"Q4",'3 Hazed Questions'!$C$2:$C$23,L269))</f>
        <v/>
      </c>
      <c r="X269" s="14" t="str">
        <f aca="false">IF(COUNTA(I269:L269)=0,"",INDEX(Fields!$B$2:$B$50,MATCH(SUBSTITUTE(INDEX($N$1:$W$1,MATCH(MAX($N269:$W269),$N269:$W269,0)),"Score: ",""),Fields!$A$2:$A$50,0)))</f>
        <v/>
      </c>
      <c r="Y269" s="14" t="str">
        <f aca="true">IF(COUNTA(I269:L269)=0,"",IF(LARGE($N269:$W269,2)=0,"-",INDEX(Fields!$B$2:$B$50,MATCH(SUBSTITUTE(INDEX($N$1:$W$1,IF(LARGE($N269:$W269,2)=MAX($N269:$W269),MATCH(MAX($N269:$W269),OFFSET($N269:$W269,0,MATCH(MAX($N269:$W269),$N269:$W269,0),1,10-MATCH(MAX($N269:$W269),$N269:$W269,0)),0)+MATCH(MAX($N269:$W269),$N269:$W269,0),MATCH(LARGE($N269:$W269,2),$N269:$W269,0))),"Score: ",""),Fields!$A$2:$A$50,0))))</f>
        <v/>
      </c>
      <c r="Z269" s="14" t="str">
        <f aca="false">IF(M269="","",IFERROR(INDEX('3 Hazed Questions'!$O$2:$O$23,MATCH(1,INDEX(('3 Hazed Questions'!$A$2:$A$23="Q5")*('3 Hazed Questions'!$C$2:$C$23=M269),0),0))&amp;"",""))</f>
        <v/>
      </c>
      <c r="AA269" s="18"/>
      <c r="AB269" s="18"/>
      <c r="AC269" s="19"/>
      <c r="AD269" s="19"/>
      <c r="AE269" s="18"/>
      <c r="AF269" s="18"/>
      <c r="AG269" s="18"/>
    </row>
    <row r="270" customFormat="false" ht="15" hidden="false" customHeight="false" outlineLevel="0" collapsed="false">
      <c r="A270" s="18"/>
      <c r="B270" s="19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4" t="str">
        <f aca="false">IF(COUNTA(I270:L270)=0,"",SUMIFS('3 Hazed Questions'!$E$2:$E$23,'3 Hazed Questions'!$A$2:$A$23,"Q1",'3 Hazed Questions'!$C$2:$C$23,I270)+SUMIFS('3 Hazed Questions'!$E$2:$E$23,'3 Hazed Questions'!$A$2:$A$23,"Q2",'3 Hazed Questions'!$C$2:$C$23,J270)+SUMIFS('3 Hazed Questions'!$E$2:$E$23,'3 Hazed Questions'!$A$2:$A$23,"Q3",'3 Hazed Questions'!$C$2:$C$23,K270)+SUMIFS('3 Hazed Questions'!$E$2:$E$23,'3 Hazed Questions'!$A$2:$A$23,"Q4",'3 Hazed Questions'!$C$2:$C$23,L270))</f>
        <v/>
      </c>
      <c r="O270" s="14" t="str">
        <f aca="false">IF(COUNTA(I270:L270)=0,"",SUMIFS('3 Hazed Questions'!$F$2:$F$23,'3 Hazed Questions'!$A$2:$A$23,"Q1",'3 Hazed Questions'!$C$2:$C$23,I270)+SUMIFS('3 Hazed Questions'!$F$2:$F$23,'3 Hazed Questions'!$A$2:$A$23,"Q2",'3 Hazed Questions'!$C$2:$C$23,J270)+SUMIFS('3 Hazed Questions'!$F$2:$F$23,'3 Hazed Questions'!$A$2:$A$23,"Q3",'3 Hazed Questions'!$C$2:$C$23,K270)+SUMIFS('3 Hazed Questions'!$F$2:$F$23,'3 Hazed Questions'!$A$2:$A$23,"Q4",'3 Hazed Questions'!$C$2:$C$23,L270))</f>
        <v/>
      </c>
      <c r="P270" s="14" t="str">
        <f aca="false">IF(COUNTA(I270:L270)=0,"",SUMIFS('3 Hazed Questions'!$G$2:$G$23,'3 Hazed Questions'!$A$2:$A$23,"Q1",'3 Hazed Questions'!$C$2:$C$23,I270)+SUMIFS('3 Hazed Questions'!$G$2:$G$23,'3 Hazed Questions'!$A$2:$A$23,"Q2",'3 Hazed Questions'!$C$2:$C$23,J270)+SUMIFS('3 Hazed Questions'!$G$2:$G$23,'3 Hazed Questions'!$A$2:$A$23,"Q3",'3 Hazed Questions'!$C$2:$C$23,K270)+SUMIFS('3 Hazed Questions'!$G$2:$G$23,'3 Hazed Questions'!$A$2:$A$23,"Q4",'3 Hazed Questions'!$C$2:$C$23,L270))</f>
        <v/>
      </c>
      <c r="Q270" s="14" t="str">
        <f aca="false">IF(COUNTA(I270:L270)=0,"",SUMIFS('3 Hazed Questions'!$H$2:$H$23,'3 Hazed Questions'!$A$2:$A$23,"Q1",'3 Hazed Questions'!$C$2:$C$23,I270)+SUMIFS('3 Hazed Questions'!$H$2:$H$23,'3 Hazed Questions'!$A$2:$A$23,"Q2",'3 Hazed Questions'!$C$2:$C$23,J270)+SUMIFS('3 Hazed Questions'!$H$2:$H$23,'3 Hazed Questions'!$A$2:$A$23,"Q3",'3 Hazed Questions'!$C$2:$C$23,K270)+SUMIFS('3 Hazed Questions'!$H$2:$H$23,'3 Hazed Questions'!$A$2:$A$23,"Q4",'3 Hazed Questions'!$C$2:$C$23,L270))</f>
        <v/>
      </c>
      <c r="R270" s="14" t="str">
        <f aca="false">IF(COUNTA(I270:L270)=0,"",SUMIFS('3 Hazed Questions'!$I$2:$I$23,'3 Hazed Questions'!$A$2:$A$23,"Q1",'3 Hazed Questions'!$C$2:$C$23,I270)+SUMIFS('3 Hazed Questions'!$I$2:$I$23,'3 Hazed Questions'!$A$2:$A$23,"Q2",'3 Hazed Questions'!$C$2:$C$23,J270)+SUMIFS('3 Hazed Questions'!$I$2:$I$23,'3 Hazed Questions'!$A$2:$A$23,"Q3",'3 Hazed Questions'!$C$2:$C$23,K270)+SUMIFS('3 Hazed Questions'!$I$2:$I$23,'3 Hazed Questions'!$A$2:$A$23,"Q4",'3 Hazed Questions'!$C$2:$C$23,L270))</f>
        <v/>
      </c>
      <c r="S270" s="14" t="str">
        <f aca="false">IF(COUNTA(I270:L270)=0,"",SUMIFS('3 Hazed Questions'!$J$2:$J$23,'3 Hazed Questions'!$A$2:$A$23,"Q1",'3 Hazed Questions'!$C$2:$C$23,I270)+SUMIFS('3 Hazed Questions'!$J$2:$J$23,'3 Hazed Questions'!$A$2:$A$23,"Q2",'3 Hazed Questions'!$C$2:$C$23,J270)+SUMIFS('3 Hazed Questions'!$J$2:$J$23,'3 Hazed Questions'!$A$2:$A$23,"Q3",'3 Hazed Questions'!$C$2:$C$23,K270)+SUMIFS('3 Hazed Questions'!$J$2:$J$23,'3 Hazed Questions'!$A$2:$A$23,"Q4",'3 Hazed Questions'!$C$2:$C$23,L270))</f>
        <v/>
      </c>
      <c r="T270" s="14" t="str">
        <f aca="false">IF(COUNTA(I270:L270)=0,"",SUMIFS('3 Hazed Questions'!$K$2:$K$23,'3 Hazed Questions'!$A$2:$A$23,"Q1",'3 Hazed Questions'!$C$2:$C$23,I270)+SUMIFS('3 Hazed Questions'!$K$2:$K$23,'3 Hazed Questions'!$A$2:$A$23,"Q2",'3 Hazed Questions'!$C$2:$C$23,J270)+SUMIFS('3 Hazed Questions'!$K$2:$K$23,'3 Hazed Questions'!$A$2:$A$23,"Q3",'3 Hazed Questions'!$C$2:$C$23,K270)+SUMIFS('3 Hazed Questions'!$K$2:$K$23,'3 Hazed Questions'!$A$2:$A$23,"Q4",'3 Hazed Questions'!$C$2:$C$23,L270))</f>
        <v/>
      </c>
      <c r="U270" s="14" t="str">
        <f aca="false">IF(COUNTA(I270:L270)=0,"",SUMIFS('3 Hazed Questions'!$L$2:$L$23,'3 Hazed Questions'!$A$2:$A$23,"Q1",'3 Hazed Questions'!$C$2:$C$23,I270)+SUMIFS('3 Hazed Questions'!$L$2:$L$23,'3 Hazed Questions'!$A$2:$A$23,"Q2",'3 Hazed Questions'!$C$2:$C$23,J270)+SUMIFS('3 Hazed Questions'!$L$2:$L$23,'3 Hazed Questions'!$A$2:$A$23,"Q3",'3 Hazed Questions'!$C$2:$C$23,K270)+SUMIFS('3 Hazed Questions'!$L$2:$L$23,'3 Hazed Questions'!$A$2:$A$23,"Q4",'3 Hazed Questions'!$C$2:$C$23,L270))</f>
        <v/>
      </c>
      <c r="V270" s="14" t="str">
        <f aca="false">IF(COUNTA(I270:L270)=0,"",SUMIFS('3 Hazed Questions'!$M$2:$M$23,'3 Hazed Questions'!$A$2:$A$23,"Q1",'3 Hazed Questions'!$C$2:$C$23,I270)+SUMIFS('3 Hazed Questions'!$M$2:$M$23,'3 Hazed Questions'!$A$2:$A$23,"Q2",'3 Hazed Questions'!$C$2:$C$23,J270)+SUMIFS('3 Hazed Questions'!$M$2:$M$23,'3 Hazed Questions'!$A$2:$A$23,"Q3",'3 Hazed Questions'!$C$2:$C$23,K270)+SUMIFS('3 Hazed Questions'!$M$2:$M$23,'3 Hazed Questions'!$A$2:$A$23,"Q4",'3 Hazed Questions'!$C$2:$C$23,L270))</f>
        <v/>
      </c>
      <c r="W270" s="14" t="str">
        <f aca="false">IF(COUNTA(I270:L270)=0,"",SUMIFS('3 Hazed Questions'!$N$2:$N$23,'3 Hazed Questions'!$A$2:$A$23,"Q1",'3 Hazed Questions'!$C$2:$C$23,I270)+SUMIFS('3 Hazed Questions'!$N$2:$N$23,'3 Hazed Questions'!$A$2:$A$23,"Q2",'3 Hazed Questions'!$C$2:$C$23,J270)+SUMIFS('3 Hazed Questions'!$N$2:$N$23,'3 Hazed Questions'!$A$2:$A$23,"Q3",'3 Hazed Questions'!$C$2:$C$23,K270)+SUMIFS('3 Hazed Questions'!$N$2:$N$23,'3 Hazed Questions'!$A$2:$A$23,"Q4",'3 Hazed Questions'!$C$2:$C$23,L270))</f>
        <v/>
      </c>
      <c r="X270" s="14" t="str">
        <f aca="false">IF(COUNTA(I270:L270)=0,"",INDEX(Fields!$B$2:$B$50,MATCH(SUBSTITUTE(INDEX($N$1:$W$1,MATCH(MAX($N270:$W270),$N270:$W270,0)),"Score: ",""),Fields!$A$2:$A$50,0)))</f>
        <v/>
      </c>
      <c r="Y270" s="14" t="str">
        <f aca="true">IF(COUNTA(I270:L270)=0,"",IF(LARGE($N270:$W270,2)=0,"-",INDEX(Fields!$B$2:$B$50,MATCH(SUBSTITUTE(INDEX($N$1:$W$1,IF(LARGE($N270:$W270,2)=MAX($N270:$W270),MATCH(MAX($N270:$W270),OFFSET($N270:$W270,0,MATCH(MAX($N270:$W270),$N270:$W270,0),1,10-MATCH(MAX($N270:$W270),$N270:$W270,0)),0)+MATCH(MAX($N270:$W270),$N270:$W270,0),MATCH(LARGE($N270:$W270,2),$N270:$W270,0))),"Score: ",""),Fields!$A$2:$A$50,0))))</f>
        <v/>
      </c>
      <c r="Z270" s="14" t="str">
        <f aca="false">IF(M270="","",IFERROR(INDEX('3 Hazed Questions'!$O$2:$O$23,MATCH(1,INDEX(('3 Hazed Questions'!$A$2:$A$23="Q5")*('3 Hazed Questions'!$C$2:$C$23=M270),0),0))&amp;"",""))</f>
        <v/>
      </c>
      <c r="AA270" s="18"/>
      <c r="AB270" s="18"/>
      <c r="AC270" s="19"/>
      <c r="AD270" s="19"/>
      <c r="AE270" s="18"/>
      <c r="AF270" s="18"/>
      <c r="AG270" s="18"/>
    </row>
    <row r="271" customFormat="false" ht="15" hidden="false" customHeight="false" outlineLevel="0" collapsed="false">
      <c r="A271" s="18"/>
      <c r="B271" s="19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4" t="str">
        <f aca="false">IF(COUNTA(I271:L271)=0,"",SUMIFS('3 Hazed Questions'!$E$2:$E$23,'3 Hazed Questions'!$A$2:$A$23,"Q1",'3 Hazed Questions'!$C$2:$C$23,I271)+SUMIFS('3 Hazed Questions'!$E$2:$E$23,'3 Hazed Questions'!$A$2:$A$23,"Q2",'3 Hazed Questions'!$C$2:$C$23,J271)+SUMIFS('3 Hazed Questions'!$E$2:$E$23,'3 Hazed Questions'!$A$2:$A$23,"Q3",'3 Hazed Questions'!$C$2:$C$23,K271)+SUMIFS('3 Hazed Questions'!$E$2:$E$23,'3 Hazed Questions'!$A$2:$A$23,"Q4",'3 Hazed Questions'!$C$2:$C$23,L271))</f>
        <v/>
      </c>
      <c r="O271" s="14" t="str">
        <f aca="false">IF(COUNTA(I271:L271)=0,"",SUMIFS('3 Hazed Questions'!$F$2:$F$23,'3 Hazed Questions'!$A$2:$A$23,"Q1",'3 Hazed Questions'!$C$2:$C$23,I271)+SUMIFS('3 Hazed Questions'!$F$2:$F$23,'3 Hazed Questions'!$A$2:$A$23,"Q2",'3 Hazed Questions'!$C$2:$C$23,J271)+SUMIFS('3 Hazed Questions'!$F$2:$F$23,'3 Hazed Questions'!$A$2:$A$23,"Q3",'3 Hazed Questions'!$C$2:$C$23,K271)+SUMIFS('3 Hazed Questions'!$F$2:$F$23,'3 Hazed Questions'!$A$2:$A$23,"Q4",'3 Hazed Questions'!$C$2:$C$23,L271))</f>
        <v/>
      </c>
      <c r="P271" s="14" t="str">
        <f aca="false">IF(COUNTA(I271:L271)=0,"",SUMIFS('3 Hazed Questions'!$G$2:$G$23,'3 Hazed Questions'!$A$2:$A$23,"Q1",'3 Hazed Questions'!$C$2:$C$23,I271)+SUMIFS('3 Hazed Questions'!$G$2:$G$23,'3 Hazed Questions'!$A$2:$A$23,"Q2",'3 Hazed Questions'!$C$2:$C$23,J271)+SUMIFS('3 Hazed Questions'!$G$2:$G$23,'3 Hazed Questions'!$A$2:$A$23,"Q3",'3 Hazed Questions'!$C$2:$C$23,K271)+SUMIFS('3 Hazed Questions'!$G$2:$G$23,'3 Hazed Questions'!$A$2:$A$23,"Q4",'3 Hazed Questions'!$C$2:$C$23,L271))</f>
        <v/>
      </c>
      <c r="Q271" s="14" t="str">
        <f aca="false">IF(COUNTA(I271:L271)=0,"",SUMIFS('3 Hazed Questions'!$H$2:$H$23,'3 Hazed Questions'!$A$2:$A$23,"Q1",'3 Hazed Questions'!$C$2:$C$23,I271)+SUMIFS('3 Hazed Questions'!$H$2:$H$23,'3 Hazed Questions'!$A$2:$A$23,"Q2",'3 Hazed Questions'!$C$2:$C$23,J271)+SUMIFS('3 Hazed Questions'!$H$2:$H$23,'3 Hazed Questions'!$A$2:$A$23,"Q3",'3 Hazed Questions'!$C$2:$C$23,K271)+SUMIFS('3 Hazed Questions'!$H$2:$H$23,'3 Hazed Questions'!$A$2:$A$23,"Q4",'3 Hazed Questions'!$C$2:$C$23,L271))</f>
        <v/>
      </c>
      <c r="R271" s="14" t="str">
        <f aca="false">IF(COUNTA(I271:L271)=0,"",SUMIFS('3 Hazed Questions'!$I$2:$I$23,'3 Hazed Questions'!$A$2:$A$23,"Q1",'3 Hazed Questions'!$C$2:$C$23,I271)+SUMIFS('3 Hazed Questions'!$I$2:$I$23,'3 Hazed Questions'!$A$2:$A$23,"Q2",'3 Hazed Questions'!$C$2:$C$23,J271)+SUMIFS('3 Hazed Questions'!$I$2:$I$23,'3 Hazed Questions'!$A$2:$A$23,"Q3",'3 Hazed Questions'!$C$2:$C$23,K271)+SUMIFS('3 Hazed Questions'!$I$2:$I$23,'3 Hazed Questions'!$A$2:$A$23,"Q4",'3 Hazed Questions'!$C$2:$C$23,L271))</f>
        <v/>
      </c>
      <c r="S271" s="14" t="str">
        <f aca="false">IF(COUNTA(I271:L271)=0,"",SUMIFS('3 Hazed Questions'!$J$2:$J$23,'3 Hazed Questions'!$A$2:$A$23,"Q1",'3 Hazed Questions'!$C$2:$C$23,I271)+SUMIFS('3 Hazed Questions'!$J$2:$J$23,'3 Hazed Questions'!$A$2:$A$23,"Q2",'3 Hazed Questions'!$C$2:$C$23,J271)+SUMIFS('3 Hazed Questions'!$J$2:$J$23,'3 Hazed Questions'!$A$2:$A$23,"Q3",'3 Hazed Questions'!$C$2:$C$23,K271)+SUMIFS('3 Hazed Questions'!$J$2:$J$23,'3 Hazed Questions'!$A$2:$A$23,"Q4",'3 Hazed Questions'!$C$2:$C$23,L271))</f>
        <v/>
      </c>
      <c r="T271" s="14" t="str">
        <f aca="false">IF(COUNTA(I271:L271)=0,"",SUMIFS('3 Hazed Questions'!$K$2:$K$23,'3 Hazed Questions'!$A$2:$A$23,"Q1",'3 Hazed Questions'!$C$2:$C$23,I271)+SUMIFS('3 Hazed Questions'!$K$2:$K$23,'3 Hazed Questions'!$A$2:$A$23,"Q2",'3 Hazed Questions'!$C$2:$C$23,J271)+SUMIFS('3 Hazed Questions'!$K$2:$K$23,'3 Hazed Questions'!$A$2:$A$23,"Q3",'3 Hazed Questions'!$C$2:$C$23,K271)+SUMIFS('3 Hazed Questions'!$K$2:$K$23,'3 Hazed Questions'!$A$2:$A$23,"Q4",'3 Hazed Questions'!$C$2:$C$23,L271))</f>
        <v/>
      </c>
      <c r="U271" s="14" t="str">
        <f aca="false">IF(COUNTA(I271:L271)=0,"",SUMIFS('3 Hazed Questions'!$L$2:$L$23,'3 Hazed Questions'!$A$2:$A$23,"Q1",'3 Hazed Questions'!$C$2:$C$23,I271)+SUMIFS('3 Hazed Questions'!$L$2:$L$23,'3 Hazed Questions'!$A$2:$A$23,"Q2",'3 Hazed Questions'!$C$2:$C$23,J271)+SUMIFS('3 Hazed Questions'!$L$2:$L$23,'3 Hazed Questions'!$A$2:$A$23,"Q3",'3 Hazed Questions'!$C$2:$C$23,K271)+SUMIFS('3 Hazed Questions'!$L$2:$L$23,'3 Hazed Questions'!$A$2:$A$23,"Q4",'3 Hazed Questions'!$C$2:$C$23,L271))</f>
        <v/>
      </c>
      <c r="V271" s="14" t="str">
        <f aca="false">IF(COUNTA(I271:L271)=0,"",SUMIFS('3 Hazed Questions'!$M$2:$M$23,'3 Hazed Questions'!$A$2:$A$23,"Q1",'3 Hazed Questions'!$C$2:$C$23,I271)+SUMIFS('3 Hazed Questions'!$M$2:$M$23,'3 Hazed Questions'!$A$2:$A$23,"Q2",'3 Hazed Questions'!$C$2:$C$23,J271)+SUMIFS('3 Hazed Questions'!$M$2:$M$23,'3 Hazed Questions'!$A$2:$A$23,"Q3",'3 Hazed Questions'!$C$2:$C$23,K271)+SUMIFS('3 Hazed Questions'!$M$2:$M$23,'3 Hazed Questions'!$A$2:$A$23,"Q4",'3 Hazed Questions'!$C$2:$C$23,L271))</f>
        <v/>
      </c>
      <c r="W271" s="14" t="str">
        <f aca="false">IF(COUNTA(I271:L271)=0,"",SUMIFS('3 Hazed Questions'!$N$2:$N$23,'3 Hazed Questions'!$A$2:$A$23,"Q1",'3 Hazed Questions'!$C$2:$C$23,I271)+SUMIFS('3 Hazed Questions'!$N$2:$N$23,'3 Hazed Questions'!$A$2:$A$23,"Q2",'3 Hazed Questions'!$C$2:$C$23,J271)+SUMIFS('3 Hazed Questions'!$N$2:$N$23,'3 Hazed Questions'!$A$2:$A$23,"Q3",'3 Hazed Questions'!$C$2:$C$23,K271)+SUMIFS('3 Hazed Questions'!$N$2:$N$23,'3 Hazed Questions'!$A$2:$A$23,"Q4",'3 Hazed Questions'!$C$2:$C$23,L271))</f>
        <v/>
      </c>
      <c r="X271" s="14" t="str">
        <f aca="false">IF(COUNTA(I271:L271)=0,"",INDEX(Fields!$B$2:$B$50,MATCH(SUBSTITUTE(INDEX($N$1:$W$1,MATCH(MAX($N271:$W271),$N271:$W271,0)),"Score: ",""),Fields!$A$2:$A$50,0)))</f>
        <v/>
      </c>
      <c r="Y271" s="14" t="str">
        <f aca="true">IF(COUNTA(I271:L271)=0,"",IF(LARGE($N271:$W271,2)=0,"-",INDEX(Fields!$B$2:$B$50,MATCH(SUBSTITUTE(INDEX($N$1:$W$1,IF(LARGE($N271:$W271,2)=MAX($N271:$W271),MATCH(MAX($N271:$W271),OFFSET($N271:$W271,0,MATCH(MAX($N271:$W271),$N271:$W271,0),1,10-MATCH(MAX($N271:$W271),$N271:$W271,0)),0)+MATCH(MAX($N271:$W271),$N271:$W271,0),MATCH(LARGE($N271:$W271,2),$N271:$W271,0))),"Score: ",""),Fields!$A$2:$A$50,0))))</f>
        <v/>
      </c>
      <c r="Z271" s="14" t="str">
        <f aca="false">IF(M271="","",IFERROR(INDEX('3 Hazed Questions'!$O$2:$O$23,MATCH(1,INDEX(('3 Hazed Questions'!$A$2:$A$23="Q5")*('3 Hazed Questions'!$C$2:$C$23=M271),0),0))&amp;"",""))</f>
        <v/>
      </c>
      <c r="AA271" s="18"/>
      <c r="AB271" s="18"/>
      <c r="AC271" s="19"/>
      <c r="AD271" s="19"/>
      <c r="AE271" s="18"/>
      <c r="AF271" s="18"/>
      <c r="AG271" s="18"/>
    </row>
    <row r="272" customFormat="false" ht="15" hidden="false" customHeight="false" outlineLevel="0" collapsed="false">
      <c r="A272" s="18"/>
      <c r="B272" s="19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4" t="str">
        <f aca="false">IF(COUNTA(I272:L272)=0,"",SUMIFS('3 Hazed Questions'!$E$2:$E$23,'3 Hazed Questions'!$A$2:$A$23,"Q1",'3 Hazed Questions'!$C$2:$C$23,I272)+SUMIFS('3 Hazed Questions'!$E$2:$E$23,'3 Hazed Questions'!$A$2:$A$23,"Q2",'3 Hazed Questions'!$C$2:$C$23,J272)+SUMIFS('3 Hazed Questions'!$E$2:$E$23,'3 Hazed Questions'!$A$2:$A$23,"Q3",'3 Hazed Questions'!$C$2:$C$23,K272)+SUMIFS('3 Hazed Questions'!$E$2:$E$23,'3 Hazed Questions'!$A$2:$A$23,"Q4",'3 Hazed Questions'!$C$2:$C$23,L272))</f>
        <v/>
      </c>
      <c r="O272" s="14" t="str">
        <f aca="false">IF(COUNTA(I272:L272)=0,"",SUMIFS('3 Hazed Questions'!$F$2:$F$23,'3 Hazed Questions'!$A$2:$A$23,"Q1",'3 Hazed Questions'!$C$2:$C$23,I272)+SUMIFS('3 Hazed Questions'!$F$2:$F$23,'3 Hazed Questions'!$A$2:$A$23,"Q2",'3 Hazed Questions'!$C$2:$C$23,J272)+SUMIFS('3 Hazed Questions'!$F$2:$F$23,'3 Hazed Questions'!$A$2:$A$23,"Q3",'3 Hazed Questions'!$C$2:$C$23,K272)+SUMIFS('3 Hazed Questions'!$F$2:$F$23,'3 Hazed Questions'!$A$2:$A$23,"Q4",'3 Hazed Questions'!$C$2:$C$23,L272))</f>
        <v/>
      </c>
      <c r="P272" s="14" t="str">
        <f aca="false">IF(COUNTA(I272:L272)=0,"",SUMIFS('3 Hazed Questions'!$G$2:$G$23,'3 Hazed Questions'!$A$2:$A$23,"Q1",'3 Hazed Questions'!$C$2:$C$23,I272)+SUMIFS('3 Hazed Questions'!$G$2:$G$23,'3 Hazed Questions'!$A$2:$A$23,"Q2",'3 Hazed Questions'!$C$2:$C$23,J272)+SUMIFS('3 Hazed Questions'!$G$2:$G$23,'3 Hazed Questions'!$A$2:$A$23,"Q3",'3 Hazed Questions'!$C$2:$C$23,K272)+SUMIFS('3 Hazed Questions'!$G$2:$G$23,'3 Hazed Questions'!$A$2:$A$23,"Q4",'3 Hazed Questions'!$C$2:$C$23,L272))</f>
        <v/>
      </c>
      <c r="Q272" s="14" t="str">
        <f aca="false">IF(COUNTA(I272:L272)=0,"",SUMIFS('3 Hazed Questions'!$H$2:$H$23,'3 Hazed Questions'!$A$2:$A$23,"Q1",'3 Hazed Questions'!$C$2:$C$23,I272)+SUMIFS('3 Hazed Questions'!$H$2:$H$23,'3 Hazed Questions'!$A$2:$A$23,"Q2",'3 Hazed Questions'!$C$2:$C$23,J272)+SUMIFS('3 Hazed Questions'!$H$2:$H$23,'3 Hazed Questions'!$A$2:$A$23,"Q3",'3 Hazed Questions'!$C$2:$C$23,K272)+SUMIFS('3 Hazed Questions'!$H$2:$H$23,'3 Hazed Questions'!$A$2:$A$23,"Q4",'3 Hazed Questions'!$C$2:$C$23,L272))</f>
        <v/>
      </c>
      <c r="R272" s="14" t="str">
        <f aca="false">IF(COUNTA(I272:L272)=0,"",SUMIFS('3 Hazed Questions'!$I$2:$I$23,'3 Hazed Questions'!$A$2:$A$23,"Q1",'3 Hazed Questions'!$C$2:$C$23,I272)+SUMIFS('3 Hazed Questions'!$I$2:$I$23,'3 Hazed Questions'!$A$2:$A$23,"Q2",'3 Hazed Questions'!$C$2:$C$23,J272)+SUMIFS('3 Hazed Questions'!$I$2:$I$23,'3 Hazed Questions'!$A$2:$A$23,"Q3",'3 Hazed Questions'!$C$2:$C$23,K272)+SUMIFS('3 Hazed Questions'!$I$2:$I$23,'3 Hazed Questions'!$A$2:$A$23,"Q4",'3 Hazed Questions'!$C$2:$C$23,L272))</f>
        <v/>
      </c>
      <c r="S272" s="14" t="str">
        <f aca="false">IF(COUNTA(I272:L272)=0,"",SUMIFS('3 Hazed Questions'!$J$2:$J$23,'3 Hazed Questions'!$A$2:$A$23,"Q1",'3 Hazed Questions'!$C$2:$C$23,I272)+SUMIFS('3 Hazed Questions'!$J$2:$J$23,'3 Hazed Questions'!$A$2:$A$23,"Q2",'3 Hazed Questions'!$C$2:$C$23,J272)+SUMIFS('3 Hazed Questions'!$J$2:$J$23,'3 Hazed Questions'!$A$2:$A$23,"Q3",'3 Hazed Questions'!$C$2:$C$23,K272)+SUMIFS('3 Hazed Questions'!$J$2:$J$23,'3 Hazed Questions'!$A$2:$A$23,"Q4",'3 Hazed Questions'!$C$2:$C$23,L272))</f>
        <v/>
      </c>
      <c r="T272" s="14" t="str">
        <f aca="false">IF(COUNTA(I272:L272)=0,"",SUMIFS('3 Hazed Questions'!$K$2:$K$23,'3 Hazed Questions'!$A$2:$A$23,"Q1",'3 Hazed Questions'!$C$2:$C$23,I272)+SUMIFS('3 Hazed Questions'!$K$2:$K$23,'3 Hazed Questions'!$A$2:$A$23,"Q2",'3 Hazed Questions'!$C$2:$C$23,J272)+SUMIFS('3 Hazed Questions'!$K$2:$K$23,'3 Hazed Questions'!$A$2:$A$23,"Q3",'3 Hazed Questions'!$C$2:$C$23,K272)+SUMIFS('3 Hazed Questions'!$K$2:$K$23,'3 Hazed Questions'!$A$2:$A$23,"Q4",'3 Hazed Questions'!$C$2:$C$23,L272))</f>
        <v/>
      </c>
      <c r="U272" s="14" t="str">
        <f aca="false">IF(COUNTA(I272:L272)=0,"",SUMIFS('3 Hazed Questions'!$L$2:$L$23,'3 Hazed Questions'!$A$2:$A$23,"Q1",'3 Hazed Questions'!$C$2:$C$23,I272)+SUMIFS('3 Hazed Questions'!$L$2:$L$23,'3 Hazed Questions'!$A$2:$A$23,"Q2",'3 Hazed Questions'!$C$2:$C$23,J272)+SUMIFS('3 Hazed Questions'!$L$2:$L$23,'3 Hazed Questions'!$A$2:$A$23,"Q3",'3 Hazed Questions'!$C$2:$C$23,K272)+SUMIFS('3 Hazed Questions'!$L$2:$L$23,'3 Hazed Questions'!$A$2:$A$23,"Q4",'3 Hazed Questions'!$C$2:$C$23,L272))</f>
        <v/>
      </c>
      <c r="V272" s="14" t="str">
        <f aca="false">IF(COUNTA(I272:L272)=0,"",SUMIFS('3 Hazed Questions'!$M$2:$M$23,'3 Hazed Questions'!$A$2:$A$23,"Q1",'3 Hazed Questions'!$C$2:$C$23,I272)+SUMIFS('3 Hazed Questions'!$M$2:$M$23,'3 Hazed Questions'!$A$2:$A$23,"Q2",'3 Hazed Questions'!$C$2:$C$23,J272)+SUMIFS('3 Hazed Questions'!$M$2:$M$23,'3 Hazed Questions'!$A$2:$A$23,"Q3",'3 Hazed Questions'!$C$2:$C$23,K272)+SUMIFS('3 Hazed Questions'!$M$2:$M$23,'3 Hazed Questions'!$A$2:$A$23,"Q4",'3 Hazed Questions'!$C$2:$C$23,L272))</f>
        <v/>
      </c>
      <c r="W272" s="14" t="str">
        <f aca="false">IF(COUNTA(I272:L272)=0,"",SUMIFS('3 Hazed Questions'!$N$2:$N$23,'3 Hazed Questions'!$A$2:$A$23,"Q1",'3 Hazed Questions'!$C$2:$C$23,I272)+SUMIFS('3 Hazed Questions'!$N$2:$N$23,'3 Hazed Questions'!$A$2:$A$23,"Q2",'3 Hazed Questions'!$C$2:$C$23,J272)+SUMIFS('3 Hazed Questions'!$N$2:$N$23,'3 Hazed Questions'!$A$2:$A$23,"Q3",'3 Hazed Questions'!$C$2:$C$23,K272)+SUMIFS('3 Hazed Questions'!$N$2:$N$23,'3 Hazed Questions'!$A$2:$A$23,"Q4",'3 Hazed Questions'!$C$2:$C$23,L272))</f>
        <v/>
      </c>
      <c r="X272" s="14" t="str">
        <f aca="false">IF(COUNTA(I272:L272)=0,"",INDEX(Fields!$B$2:$B$50,MATCH(SUBSTITUTE(INDEX($N$1:$W$1,MATCH(MAX($N272:$W272),$N272:$W272,0)),"Score: ",""),Fields!$A$2:$A$50,0)))</f>
        <v/>
      </c>
      <c r="Y272" s="14" t="str">
        <f aca="true">IF(COUNTA(I272:L272)=0,"",IF(LARGE($N272:$W272,2)=0,"-",INDEX(Fields!$B$2:$B$50,MATCH(SUBSTITUTE(INDEX($N$1:$W$1,IF(LARGE($N272:$W272,2)=MAX($N272:$W272),MATCH(MAX($N272:$W272),OFFSET($N272:$W272,0,MATCH(MAX($N272:$W272),$N272:$W272,0),1,10-MATCH(MAX($N272:$W272),$N272:$W272,0)),0)+MATCH(MAX($N272:$W272),$N272:$W272,0),MATCH(LARGE($N272:$W272,2),$N272:$W272,0))),"Score: ",""),Fields!$A$2:$A$50,0))))</f>
        <v/>
      </c>
      <c r="Z272" s="14" t="str">
        <f aca="false">IF(M272="","",IFERROR(INDEX('3 Hazed Questions'!$O$2:$O$23,MATCH(1,INDEX(('3 Hazed Questions'!$A$2:$A$23="Q5")*('3 Hazed Questions'!$C$2:$C$23=M272),0),0))&amp;"",""))</f>
        <v/>
      </c>
      <c r="AA272" s="18"/>
      <c r="AB272" s="18"/>
      <c r="AC272" s="19"/>
      <c r="AD272" s="19"/>
      <c r="AE272" s="18"/>
      <c r="AF272" s="18"/>
      <c r="AG272" s="18"/>
    </row>
    <row r="273" customFormat="false" ht="15" hidden="false" customHeight="false" outlineLevel="0" collapsed="false">
      <c r="A273" s="18"/>
      <c r="B273" s="19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4" t="str">
        <f aca="false">IF(COUNTA(I273:L273)=0,"",SUMIFS('3 Hazed Questions'!$E$2:$E$23,'3 Hazed Questions'!$A$2:$A$23,"Q1",'3 Hazed Questions'!$C$2:$C$23,I273)+SUMIFS('3 Hazed Questions'!$E$2:$E$23,'3 Hazed Questions'!$A$2:$A$23,"Q2",'3 Hazed Questions'!$C$2:$C$23,J273)+SUMIFS('3 Hazed Questions'!$E$2:$E$23,'3 Hazed Questions'!$A$2:$A$23,"Q3",'3 Hazed Questions'!$C$2:$C$23,K273)+SUMIFS('3 Hazed Questions'!$E$2:$E$23,'3 Hazed Questions'!$A$2:$A$23,"Q4",'3 Hazed Questions'!$C$2:$C$23,L273))</f>
        <v/>
      </c>
      <c r="O273" s="14" t="str">
        <f aca="false">IF(COUNTA(I273:L273)=0,"",SUMIFS('3 Hazed Questions'!$F$2:$F$23,'3 Hazed Questions'!$A$2:$A$23,"Q1",'3 Hazed Questions'!$C$2:$C$23,I273)+SUMIFS('3 Hazed Questions'!$F$2:$F$23,'3 Hazed Questions'!$A$2:$A$23,"Q2",'3 Hazed Questions'!$C$2:$C$23,J273)+SUMIFS('3 Hazed Questions'!$F$2:$F$23,'3 Hazed Questions'!$A$2:$A$23,"Q3",'3 Hazed Questions'!$C$2:$C$23,K273)+SUMIFS('3 Hazed Questions'!$F$2:$F$23,'3 Hazed Questions'!$A$2:$A$23,"Q4",'3 Hazed Questions'!$C$2:$C$23,L273))</f>
        <v/>
      </c>
      <c r="P273" s="14" t="str">
        <f aca="false">IF(COUNTA(I273:L273)=0,"",SUMIFS('3 Hazed Questions'!$G$2:$G$23,'3 Hazed Questions'!$A$2:$A$23,"Q1",'3 Hazed Questions'!$C$2:$C$23,I273)+SUMIFS('3 Hazed Questions'!$G$2:$G$23,'3 Hazed Questions'!$A$2:$A$23,"Q2",'3 Hazed Questions'!$C$2:$C$23,J273)+SUMIFS('3 Hazed Questions'!$G$2:$G$23,'3 Hazed Questions'!$A$2:$A$23,"Q3",'3 Hazed Questions'!$C$2:$C$23,K273)+SUMIFS('3 Hazed Questions'!$G$2:$G$23,'3 Hazed Questions'!$A$2:$A$23,"Q4",'3 Hazed Questions'!$C$2:$C$23,L273))</f>
        <v/>
      </c>
      <c r="Q273" s="14" t="str">
        <f aca="false">IF(COUNTA(I273:L273)=0,"",SUMIFS('3 Hazed Questions'!$H$2:$H$23,'3 Hazed Questions'!$A$2:$A$23,"Q1",'3 Hazed Questions'!$C$2:$C$23,I273)+SUMIFS('3 Hazed Questions'!$H$2:$H$23,'3 Hazed Questions'!$A$2:$A$23,"Q2",'3 Hazed Questions'!$C$2:$C$23,J273)+SUMIFS('3 Hazed Questions'!$H$2:$H$23,'3 Hazed Questions'!$A$2:$A$23,"Q3",'3 Hazed Questions'!$C$2:$C$23,K273)+SUMIFS('3 Hazed Questions'!$H$2:$H$23,'3 Hazed Questions'!$A$2:$A$23,"Q4",'3 Hazed Questions'!$C$2:$C$23,L273))</f>
        <v/>
      </c>
      <c r="R273" s="14" t="str">
        <f aca="false">IF(COUNTA(I273:L273)=0,"",SUMIFS('3 Hazed Questions'!$I$2:$I$23,'3 Hazed Questions'!$A$2:$A$23,"Q1",'3 Hazed Questions'!$C$2:$C$23,I273)+SUMIFS('3 Hazed Questions'!$I$2:$I$23,'3 Hazed Questions'!$A$2:$A$23,"Q2",'3 Hazed Questions'!$C$2:$C$23,J273)+SUMIFS('3 Hazed Questions'!$I$2:$I$23,'3 Hazed Questions'!$A$2:$A$23,"Q3",'3 Hazed Questions'!$C$2:$C$23,K273)+SUMIFS('3 Hazed Questions'!$I$2:$I$23,'3 Hazed Questions'!$A$2:$A$23,"Q4",'3 Hazed Questions'!$C$2:$C$23,L273))</f>
        <v/>
      </c>
      <c r="S273" s="14" t="str">
        <f aca="false">IF(COUNTA(I273:L273)=0,"",SUMIFS('3 Hazed Questions'!$J$2:$J$23,'3 Hazed Questions'!$A$2:$A$23,"Q1",'3 Hazed Questions'!$C$2:$C$23,I273)+SUMIFS('3 Hazed Questions'!$J$2:$J$23,'3 Hazed Questions'!$A$2:$A$23,"Q2",'3 Hazed Questions'!$C$2:$C$23,J273)+SUMIFS('3 Hazed Questions'!$J$2:$J$23,'3 Hazed Questions'!$A$2:$A$23,"Q3",'3 Hazed Questions'!$C$2:$C$23,K273)+SUMIFS('3 Hazed Questions'!$J$2:$J$23,'3 Hazed Questions'!$A$2:$A$23,"Q4",'3 Hazed Questions'!$C$2:$C$23,L273))</f>
        <v/>
      </c>
      <c r="T273" s="14" t="str">
        <f aca="false">IF(COUNTA(I273:L273)=0,"",SUMIFS('3 Hazed Questions'!$K$2:$K$23,'3 Hazed Questions'!$A$2:$A$23,"Q1",'3 Hazed Questions'!$C$2:$C$23,I273)+SUMIFS('3 Hazed Questions'!$K$2:$K$23,'3 Hazed Questions'!$A$2:$A$23,"Q2",'3 Hazed Questions'!$C$2:$C$23,J273)+SUMIFS('3 Hazed Questions'!$K$2:$K$23,'3 Hazed Questions'!$A$2:$A$23,"Q3",'3 Hazed Questions'!$C$2:$C$23,K273)+SUMIFS('3 Hazed Questions'!$K$2:$K$23,'3 Hazed Questions'!$A$2:$A$23,"Q4",'3 Hazed Questions'!$C$2:$C$23,L273))</f>
        <v/>
      </c>
      <c r="U273" s="14" t="str">
        <f aca="false">IF(COUNTA(I273:L273)=0,"",SUMIFS('3 Hazed Questions'!$L$2:$L$23,'3 Hazed Questions'!$A$2:$A$23,"Q1",'3 Hazed Questions'!$C$2:$C$23,I273)+SUMIFS('3 Hazed Questions'!$L$2:$L$23,'3 Hazed Questions'!$A$2:$A$23,"Q2",'3 Hazed Questions'!$C$2:$C$23,J273)+SUMIFS('3 Hazed Questions'!$L$2:$L$23,'3 Hazed Questions'!$A$2:$A$23,"Q3",'3 Hazed Questions'!$C$2:$C$23,K273)+SUMIFS('3 Hazed Questions'!$L$2:$L$23,'3 Hazed Questions'!$A$2:$A$23,"Q4",'3 Hazed Questions'!$C$2:$C$23,L273))</f>
        <v/>
      </c>
      <c r="V273" s="14" t="str">
        <f aca="false">IF(COUNTA(I273:L273)=0,"",SUMIFS('3 Hazed Questions'!$M$2:$M$23,'3 Hazed Questions'!$A$2:$A$23,"Q1",'3 Hazed Questions'!$C$2:$C$23,I273)+SUMIFS('3 Hazed Questions'!$M$2:$M$23,'3 Hazed Questions'!$A$2:$A$23,"Q2",'3 Hazed Questions'!$C$2:$C$23,J273)+SUMIFS('3 Hazed Questions'!$M$2:$M$23,'3 Hazed Questions'!$A$2:$A$23,"Q3",'3 Hazed Questions'!$C$2:$C$23,K273)+SUMIFS('3 Hazed Questions'!$M$2:$M$23,'3 Hazed Questions'!$A$2:$A$23,"Q4",'3 Hazed Questions'!$C$2:$C$23,L273))</f>
        <v/>
      </c>
      <c r="W273" s="14" t="str">
        <f aca="false">IF(COUNTA(I273:L273)=0,"",SUMIFS('3 Hazed Questions'!$N$2:$N$23,'3 Hazed Questions'!$A$2:$A$23,"Q1",'3 Hazed Questions'!$C$2:$C$23,I273)+SUMIFS('3 Hazed Questions'!$N$2:$N$23,'3 Hazed Questions'!$A$2:$A$23,"Q2",'3 Hazed Questions'!$C$2:$C$23,J273)+SUMIFS('3 Hazed Questions'!$N$2:$N$23,'3 Hazed Questions'!$A$2:$A$23,"Q3",'3 Hazed Questions'!$C$2:$C$23,K273)+SUMIFS('3 Hazed Questions'!$N$2:$N$23,'3 Hazed Questions'!$A$2:$A$23,"Q4",'3 Hazed Questions'!$C$2:$C$23,L273))</f>
        <v/>
      </c>
      <c r="X273" s="14" t="str">
        <f aca="false">IF(COUNTA(I273:L273)=0,"",INDEX(Fields!$B$2:$B$50,MATCH(SUBSTITUTE(INDEX($N$1:$W$1,MATCH(MAX($N273:$W273),$N273:$W273,0)),"Score: ",""),Fields!$A$2:$A$50,0)))</f>
        <v/>
      </c>
      <c r="Y273" s="14" t="str">
        <f aca="true">IF(COUNTA(I273:L273)=0,"",IF(LARGE($N273:$W273,2)=0,"-",INDEX(Fields!$B$2:$B$50,MATCH(SUBSTITUTE(INDEX($N$1:$W$1,IF(LARGE($N273:$W273,2)=MAX($N273:$W273),MATCH(MAX($N273:$W273),OFFSET($N273:$W273,0,MATCH(MAX($N273:$W273),$N273:$W273,0),1,10-MATCH(MAX($N273:$W273),$N273:$W273,0)),0)+MATCH(MAX($N273:$W273),$N273:$W273,0),MATCH(LARGE($N273:$W273,2),$N273:$W273,0))),"Score: ",""),Fields!$A$2:$A$50,0))))</f>
        <v/>
      </c>
      <c r="Z273" s="14" t="str">
        <f aca="false">IF(M273="","",IFERROR(INDEX('3 Hazed Questions'!$O$2:$O$23,MATCH(1,INDEX(('3 Hazed Questions'!$A$2:$A$23="Q5")*('3 Hazed Questions'!$C$2:$C$23=M273),0),0))&amp;"",""))</f>
        <v/>
      </c>
      <c r="AA273" s="18"/>
      <c r="AB273" s="18"/>
      <c r="AC273" s="19"/>
      <c r="AD273" s="19"/>
      <c r="AE273" s="18"/>
      <c r="AF273" s="18"/>
      <c r="AG273" s="18"/>
    </row>
    <row r="274" customFormat="false" ht="15" hidden="false" customHeight="false" outlineLevel="0" collapsed="false">
      <c r="A274" s="18"/>
      <c r="B274" s="19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4" t="str">
        <f aca="false">IF(COUNTA(I274:L274)=0,"",SUMIFS('3 Hazed Questions'!$E$2:$E$23,'3 Hazed Questions'!$A$2:$A$23,"Q1",'3 Hazed Questions'!$C$2:$C$23,I274)+SUMIFS('3 Hazed Questions'!$E$2:$E$23,'3 Hazed Questions'!$A$2:$A$23,"Q2",'3 Hazed Questions'!$C$2:$C$23,J274)+SUMIFS('3 Hazed Questions'!$E$2:$E$23,'3 Hazed Questions'!$A$2:$A$23,"Q3",'3 Hazed Questions'!$C$2:$C$23,K274)+SUMIFS('3 Hazed Questions'!$E$2:$E$23,'3 Hazed Questions'!$A$2:$A$23,"Q4",'3 Hazed Questions'!$C$2:$C$23,L274))</f>
        <v/>
      </c>
      <c r="O274" s="14" t="str">
        <f aca="false">IF(COUNTA(I274:L274)=0,"",SUMIFS('3 Hazed Questions'!$F$2:$F$23,'3 Hazed Questions'!$A$2:$A$23,"Q1",'3 Hazed Questions'!$C$2:$C$23,I274)+SUMIFS('3 Hazed Questions'!$F$2:$F$23,'3 Hazed Questions'!$A$2:$A$23,"Q2",'3 Hazed Questions'!$C$2:$C$23,J274)+SUMIFS('3 Hazed Questions'!$F$2:$F$23,'3 Hazed Questions'!$A$2:$A$23,"Q3",'3 Hazed Questions'!$C$2:$C$23,K274)+SUMIFS('3 Hazed Questions'!$F$2:$F$23,'3 Hazed Questions'!$A$2:$A$23,"Q4",'3 Hazed Questions'!$C$2:$C$23,L274))</f>
        <v/>
      </c>
      <c r="P274" s="14" t="str">
        <f aca="false">IF(COUNTA(I274:L274)=0,"",SUMIFS('3 Hazed Questions'!$G$2:$G$23,'3 Hazed Questions'!$A$2:$A$23,"Q1",'3 Hazed Questions'!$C$2:$C$23,I274)+SUMIFS('3 Hazed Questions'!$G$2:$G$23,'3 Hazed Questions'!$A$2:$A$23,"Q2",'3 Hazed Questions'!$C$2:$C$23,J274)+SUMIFS('3 Hazed Questions'!$G$2:$G$23,'3 Hazed Questions'!$A$2:$A$23,"Q3",'3 Hazed Questions'!$C$2:$C$23,K274)+SUMIFS('3 Hazed Questions'!$G$2:$G$23,'3 Hazed Questions'!$A$2:$A$23,"Q4",'3 Hazed Questions'!$C$2:$C$23,L274))</f>
        <v/>
      </c>
      <c r="Q274" s="14" t="str">
        <f aca="false">IF(COUNTA(I274:L274)=0,"",SUMIFS('3 Hazed Questions'!$H$2:$H$23,'3 Hazed Questions'!$A$2:$A$23,"Q1",'3 Hazed Questions'!$C$2:$C$23,I274)+SUMIFS('3 Hazed Questions'!$H$2:$H$23,'3 Hazed Questions'!$A$2:$A$23,"Q2",'3 Hazed Questions'!$C$2:$C$23,J274)+SUMIFS('3 Hazed Questions'!$H$2:$H$23,'3 Hazed Questions'!$A$2:$A$23,"Q3",'3 Hazed Questions'!$C$2:$C$23,K274)+SUMIFS('3 Hazed Questions'!$H$2:$H$23,'3 Hazed Questions'!$A$2:$A$23,"Q4",'3 Hazed Questions'!$C$2:$C$23,L274))</f>
        <v/>
      </c>
      <c r="R274" s="14" t="str">
        <f aca="false">IF(COUNTA(I274:L274)=0,"",SUMIFS('3 Hazed Questions'!$I$2:$I$23,'3 Hazed Questions'!$A$2:$A$23,"Q1",'3 Hazed Questions'!$C$2:$C$23,I274)+SUMIFS('3 Hazed Questions'!$I$2:$I$23,'3 Hazed Questions'!$A$2:$A$23,"Q2",'3 Hazed Questions'!$C$2:$C$23,J274)+SUMIFS('3 Hazed Questions'!$I$2:$I$23,'3 Hazed Questions'!$A$2:$A$23,"Q3",'3 Hazed Questions'!$C$2:$C$23,K274)+SUMIFS('3 Hazed Questions'!$I$2:$I$23,'3 Hazed Questions'!$A$2:$A$23,"Q4",'3 Hazed Questions'!$C$2:$C$23,L274))</f>
        <v/>
      </c>
      <c r="S274" s="14" t="str">
        <f aca="false">IF(COUNTA(I274:L274)=0,"",SUMIFS('3 Hazed Questions'!$J$2:$J$23,'3 Hazed Questions'!$A$2:$A$23,"Q1",'3 Hazed Questions'!$C$2:$C$23,I274)+SUMIFS('3 Hazed Questions'!$J$2:$J$23,'3 Hazed Questions'!$A$2:$A$23,"Q2",'3 Hazed Questions'!$C$2:$C$23,J274)+SUMIFS('3 Hazed Questions'!$J$2:$J$23,'3 Hazed Questions'!$A$2:$A$23,"Q3",'3 Hazed Questions'!$C$2:$C$23,K274)+SUMIFS('3 Hazed Questions'!$J$2:$J$23,'3 Hazed Questions'!$A$2:$A$23,"Q4",'3 Hazed Questions'!$C$2:$C$23,L274))</f>
        <v/>
      </c>
      <c r="T274" s="14" t="str">
        <f aca="false">IF(COUNTA(I274:L274)=0,"",SUMIFS('3 Hazed Questions'!$K$2:$K$23,'3 Hazed Questions'!$A$2:$A$23,"Q1",'3 Hazed Questions'!$C$2:$C$23,I274)+SUMIFS('3 Hazed Questions'!$K$2:$K$23,'3 Hazed Questions'!$A$2:$A$23,"Q2",'3 Hazed Questions'!$C$2:$C$23,J274)+SUMIFS('3 Hazed Questions'!$K$2:$K$23,'3 Hazed Questions'!$A$2:$A$23,"Q3",'3 Hazed Questions'!$C$2:$C$23,K274)+SUMIFS('3 Hazed Questions'!$K$2:$K$23,'3 Hazed Questions'!$A$2:$A$23,"Q4",'3 Hazed Questions'!$C$2:$C$23,L274))</f>
        <v/>
      </c>
      <c r="U274" s="14" t="str">
        <f aca="false">IF(COUNTA(I274:L274)=0,"",SUMIFS('3 Hazed Questions'!$L$2:$L$23,'3 Hazed Questions'!$A$2:$A$23,"Q1",'3 Hazed Questions'!$C$2:$C$23,I274)+SUMIFS('3 Hazed Questions'!$L$2:$L$23,'3 Hazed Questions'!$A$2:$A$23,"Q2",'3 Hazed Questions'!$C$2:$C$23,J274)+SUMIFS('3 Hazed Questions'!$L$2:$L$23,'3 Hazed Questions'!$A$2:$A$23,"Q3",'3 Hazed Questions'!$C$2:$C$23,K274)+SUMIFS('3 Hazed Questions'!$L$2:$L$23,'3 Hazed Questions'!$A$2:$A$23,"Q4",'3 Hazed Questions'!$C$2:$C$23,L274))</f>
        <v/>
      </c>
      <c r="V274" s="14" t="str">
        <f aca="false">IF(COUNTA(I274:L274)=0,"",SUMIFS('3 Hazed Questions'!$M$2:$M$23,'3 Hazed Questions'!$A$2:$A$23,"Q1",'3 Hazed Questions'!$C$2:$C$23,I274)+SUMIFS('3 Hazed Questions'!$M$2:$M$23,'3 Hazed Questions'!$A$2:$A$23,"Q2",'3 Hazed Questions'!$C$2:$C$23,J274)+SUMIFS('3 Hazed Questions'!$M$2:$M$23,'3 Hazed Questions'!$A$2:$A$23,"Q3",'3 Hazed Questions'!$C$2:$C$23,K274)+SUMIFS('3 Hazed Questions'!$M$2:$M$23,'3 Hazed Questions'!$A$2:$A$23,"Q4",'3 Hazed Questions'!$C$2:$C$23,L274))</f>
        <v/>
      </c>
      <c r="W274" s="14" t="str">
        <f aca="false">IF(COUNTA(I274:L274)=0,"",SUMIFS('3 Hazed Questions'!$N$2:$N$23,'3 Hazed Questions'!$A$2:$A$23,"Q1",'3 Hazed Questions'!$C$2:$C$23,I274)+SUMIFS('3 Hazed Questions'!$N$2:$N$23,'3 Hazed Questions'!$A$2:$A$23,"Q2",'3 Hazed Questions'!$C$2:$C$23,J274)+SUMIFS('3 Hazed Questions'!$N$2:$N$23,'3 Hazed Questions'!$A$2:$A$23,"Q3",'3 Hazed Questions'!$C$2:$C$23,K274)+SUMIFS('3 Hazed Questions'!$N$2:$N$23,'3 Hazed Questions'!$A$2:$A$23,"Q4",'3 Hazed Questions'!$C$2:$C$23,L274))</f>
        <v/>
      </c>
      <c r="X274" s="14" t="str">
        <f aca="false">IF(COUNTA(I274:L274)=0,"",INDEX(Fields!$B$2:$B$50,MATCH(SUBSTITUTE(INDEX($N$1:$W$1,MATCH(MAX($N274:$W274),$N274:$W274,0)),"Score: ",""),Fields!$A$2:$A$50,0)))</f>
        <v/>
      </c>
      <c r="Y274" s="14" t="str">
        <f aca="true">IF(COUNTA(I274:L274)=0,"",IF(LARGE($N274:$W274,2)=0,"-",INDEX(Fields!$B$2:$B$50,MATCH(SUBSTITUTE(INDEX($N$1:$W$1,IF(LARGE($N274:$W274,2)=MAX($N274:$W274),MATCH(MAX($N274:$W274),OFFSET($N274:$W274,0,MATCH(MAX($N274:$W274),$N274:$W274,0),1,10-MATCH(MAX($N274:$W274),$N274:$W274,0)),0)+MATCH(MAX($N274:$W274),$N274:$W274,0),MATCH(LARGE($N274:$W274,2),$N274:$W274,0))),"Score: ",""),Fields!$A$2:$A$50,0))))</f>
        <v/>
      </c>
      <c r="Z274" s="14" t="str">
        <f aca="false">IF(M274="","",IFERROR(INDEX('3 Hazed Questions'!$O$2:$O$23,MATCH(1,INDEX(('3 Hazed Questions'!$A$2:$A$23="Q5")*('3 Hazed Questions'!$C$2:$C$23=M274),0),0))&amp;"",""))</f>
        <v/>
      </c>
      <c r="AA274" s="18"/>
      <c r="AB274" s="18"/>
      <c r="AC274" s="19"/>
      <c r="AD274" s="19"/>
      <c r="AE274" s="18"/>
      <c r="AF274" s="18"/>
      <c r="AG274" s="18"/>
    </row>
    <row r="275" customFormat="false" ht="15" hidden="false" customHeight="false" outlineLevel="0" collapsed="false">
      <c r="A275" s="18"/>
      <c r="B275" s="19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4" t="str">
        <f aca="false">IF(COUNTA(I275:L275)=0,"",SUMIFS('3 Hazed Questions'!$E$2:$E$23,'3 Hazed Questions'!$A$2:$A$23,"Q1",'3 Hazed Questions'!$C$2:$C$23,I275)+SUMIFS('3 Hazed Questions'!$E$2:$E$23,'3 Hazed Questions'!$A$2:$A$23,"Q2",'3 Hazed Questions'!$C$2:$C$23,J275)+SUMIFS('3 Hazed Questions'!$E$2:$E$23,'3 Hazed Questions'!$A$2:$A$23,"Q3",'3 Hazed Questions'!$C$2:$C$23,K275)+SUMIFS('3 Hazed Questions'!$E$2:$E$23,'3 Hazed Questions'!$A$2:$A$23,"Q4",'3 Hazed Questions'!$C$2:$C$23,L275))</f>
        <v/>
      </c>
      <c r="O275" s="14" t="str">
        <f aca="false">IF(COUNTA(I275:L275)=0,"",SUMIFS('3 Hazed Questions'!$F$2:$F$23,'3 Hazed Questions'!$A$2:$A$23,"Q1",'3 Hazed Questions'!$C$2:$C$23,I275)+SUMIFS('3 Hazed Questions'!$F$2:$F$23,'3 Hazed Questions'!$A$2:$A$23,"Q2",'3 Hazed Questions'!$C$2:$C$23,J275)+SUMIFS('3 Hazed Questions'!$F$2:$F$23,'3 Hazed Questions'!$A$2:$A$23,"Q3",'3 Hazed Questions'!$C$2:$C$23,K275)+SUMIFS('3 Hazed Questions'!$F$2:$F$23,'3 Hazed Questions'!$A$2:$A$23,"Q4",'3 Hazed Questions'!$C$2:$C$23,L275))</f>
        <v/>
      </c>
      <c r="P275" s="14" t="str">
        <f aca="false">IF(COUNTA(I275:L275)=0,"",SUMIFS('3 Hazed Questions'!$G$2:$G$23,'3 Hazed Questions'!$A$2:$A$23,"Q1",'3 Hazed Questions'!$C$2:$C$23,I275)+SUMIFS('3 Hazed Questions'!$G$2:$G$23,'3 Hazed Questions'!$A$2:$A$23,"Q2",'3 Hazed Questions'!$C$2:$C$23,J275)+SUMIFS('3 Hazed Questions'!$G$2:$G$23,'3 Hazed Questions'!$A$2:$A$23,"Q3",'3 Hazed Questions'!$C$2:$C$23,K275)+SUMIFS('3 Hazed Questions'!$G$2:$G$23,'3 Hazed Questions'!$A$2:$A$23,"Q4",'3 Hazed Questions'!$C$2:$C$23,L275))</f>
        <v/>
      </c>
      <c r="Q275" s="14" t="str">
        <f aca="false">IF(COUNTA(I275:L275)=0,"",SUMIFS('3 Hazed Questions'!$H$2:$H$23,'3 Hazed Questions'!$A$2:$A$23,"Q1",'3 Hazed Questions'!$C$2:$C$23,I275)+SUMIFS('3 Hazed Questions'!$H$2:$H$23,'3 Hazed Questions'!$A$2:$A$23,"Q2",'3 Hazed Questions'!$C$2:$C$23,J275)+SUMIFS('3 Hazed Questions'!$H$2:$H$23,'3 Hazed Questions'!$A$2:$A$23,"Q3",'3 Hazed Questions'!$C$2:$C$23,K275)+SUMIFS('3 Hazed Questions'!$H$2:$H$23,'3 Hazed Questions'!$A$2:$A$23,"Q4",'3 Hazed Questions'!$C$2:$C$23,L275))</f>
        <v/>
      </c>
      <c r="R275" s="14" t="str">
        <f aca="false">IF(COUNTA(I275:L275)=0,"",SUMIFS('3 Hazed Questions'!$I$2:$I$23,'3 Hazed Questions'!$A$2:$A$23,"Q1",'3 Hazed Questions'!$C$2:$C$23,I275)+SUMIFS('3 Hazed Questions'!$I$2:$I$23,'3 Hazed Questions'!$A$2:$A$23,"Q2",'3 Hazed Questions'!$C$2:$C$23,J275)+SUMIFS('3 Hazed Questions'!$I$2:$I$23,'3 Hazed Questions'!$A$2:$A$23,"Q3",'3 Hazed Questions'!$C$2:$C$23,K275)+SUMIFS('3 Hazed Questions'!$I$2:$I$23,'3 Hazed Questions'!$A$2:$A$23,"Q4",'3 Hazed Questions'!$C$2:$C$23,L275))</f>
        <v/>
      </c>
      <c r="S275" s="14" t="str">
        <f aca="false">IF(COUNTA(I275:L275)=0,"",SUMIFS('3 Hazed Questions'!$J$2:$J$23,'3 Hazed Questions'!$A$2:$A$23,"Q1",'3 Hazed Questions'!$C$2:$C$23,I275)+SUMIFS('3 Hazed Questions'!$J$2:$J$23,'3 Hazed Questions'!$A$2:$A$23,"Q2",'3 Hazed Questions'!$C$2:$C$23,J275)+SUMIFS('3 Hazed Questions'!$J$2:$J$23,'3 Hazed Questions'!$A$2:$A$23,"Q3",'3 Hazed Questions'!$C$2:$C$23,K275)+SUMIFS('3 Hazed Questions'!$J$2:$J$23,'3 Hazed Questions'!$A$2:$A$23,"Q4",'3 Hazed Questions'!$C$2:$C$23,L275))</f>
        <v/>
      </c>
      <c r="T275" s="14" t="str">
        <f aca="false">IF(COUNTA(I275:L275)=0,"",SUMIFS('3 Hazed Questions'!$K$2:$K$23,'3 Hazed Questions'!$A$2:$A$23,"Q1",'3 Hazed Questions'!$C$2:$C$23,I275)+SUMIFS('3 Hazed Questions'!$K$2:$K$23,'3 Hazed Questions'!$A$2:$A$23,"Q2",'3 Hazed Questions'!$C$2:$C$23,J275)+SUMIFS('3 Hazed Questions'!$K$2:$K$23,'3 Hazed Questions'!$A$2:$A$23,"Q3",'3 Hazed Questions'!$C$2:$C$23,K275)+SUMIFS('3 Hazed Questions'!$K$2:$K$23,'3 Hazed Questions'!$A$2:$A$23,"Q4",'3 Hazed Questions'!$C$2:$C$23,L275))</f>
        <v/>
      </c>
      <c r="U275" s="14" t="str">
        <f aca="false">IF(COUNTA(I275:L275)=0,"",SUMIFS('3 Hazed Questions'!$L$2:$L$23,'3 Hazed Questions'!$A$2:$A$23,"Q1",'3 Hazed Questions'!$C$2:$C$23,I275)+SUMIFS('3 Hazed Questions'!$L$2:$L$23,'3 Hazed Questions'!$A$2:$A$23,"Q2",'3 Hazed Questions'!$C$2:$C$23,J275)+SUMIFS('3 Hazed Questions'!$L$2:$L$23,'3 Hazed Questions'!$A$2:$A$23,"Q3",'3 Hazed Questions'!$C$2:$C$23,K275)+SUMIFS('3 Hazed Questions'!$L$2:$L$23,'3 Hazed Questions'!$A$2:$A$23,"Q4",'3 Hazed Questions'!$C$2:$C$23,L275))</f>
        <v/>
      </c>
      <c r="V275" s="14" t="str">
        <f aca="false">IF(COUNTA(I275:L275)=0,"",SUMIFS('3 Hazed Questions'!$M$2:$M$23,'3 Hazed Questions'!$A$2:$A$23,"Q1",'3 Hazed Questions'!$C$2:$C$23,I275)+SUMIFS('3 Hazed Questions'!$M$2:$M$23,'3 Hazed Questions'!$A$2:$A$23,"Q2",'3 Hazed Questions'!$C$2:$C$23,J275)+SUMIFS('3 Hazed Questions'!$M$2:$M$23,'3 Hazed Questions'!$A$2:$A$23,"Q3",'3 Hazed Questions'!$C$2:$C$23,K275)+SUMIFS('3 Hazed Questions'!$M$2:$M$23,'3 Hazed Questions'!$A$2:$A$23,"Q4",'3 Hazed Questions'!$C$2:$C$23,L275))</f>
        <v/>
      </c>
      <c r="W275" s="14" t="str">
        <f aca="false">IF(COUNTA(I275:L275)=0,"",SUMIFS('3 Hazed Questions'!$N$2:$N$23,'3 Hazed Questions'!$A$2:$A$23,"Q1",'3 Hazed Questions'!$C$2:$C$23,I275)+SUMIFS('3 Hazed Questions'!$N$2:$N$23,'3 Hazed Questions'!$A$2:$A$23,"Q2",'3 Hazed Questions'!$C$2:$C$23,J275)+SUMIFS('3 Hazed Questions'!$N$2:$N$23,'3 Hazed Questions'!$A$2:$A$23,"Q3",'3 Hazed Questions'!$C$2:$C$23,K275)+SUMIFS('3 Hazed Questions'!$N$2:$N$23,'3 Hazed Questions'!$A$2:$A$23,"Q4",'3 Hazed Questions'!$C$2:$C$23,L275))</f>
        <v/>
      </c>
      <c r="X275" s="14" t="str">
        <f aca="false">IF(COUNTA(I275:L275)=0,"",INDEX(Fields!$B$2:$B$50,MATCH(SUBSTITUTE(INDEX($N$1:$W$1,MATCH(MAX($N275:$W275),$N275:$W275,0)),"Score: ",""),Fields!$A$2:$A$50,0)))</f>
        <v/>
      </c>
      <c r="Y275" s="14" t="str">
        <f aca="true">IF(COUNTA(I275:L275)=0,"",IF(LARGE($N275:$W275,2)=0,"-",INDEX(Fields!$B$2:$B$50,MATCH(SUBSTITUTE(INDEX($N$1:$W$1,IF(LARGE($N275:$W275,2)=MAX($N275:$W275),MATCH(MAX($N275:$W275),OFFSET($N275:$W275,0,MATCH(MAX($N275:$W275),$N275:$W275,0),1,10-MATCH(MAX($N275:$W275),$N275:$W275,0)),0)+MATCH(MAX($N275:$W275),$N275:$W275,0),MATCH(LARGE($N275:$W275,2),$N275:$W275,0))),"Score: ",""),Fields!$A$2:$A$50,0))))</f>
        <v/>
      </c>
      <c r="Z275" s="14" t="str">
        <f aca="false">IF(M275="","",IFERROR(INDEX('3 Hazed Questions'!$O$2:$O$23,MATCH(1,INDEX(('3 Hazed Questions'!$A$2:$A$23="Q5")*('3 Hazed Questions'!$C$2:$C$23=M275),0),0))&amp;"",""))</f>
        <v/>
      </c>
      <c r="AA275" s="18"/>
      <c r="AB275" s="18"/>
      <c r="AC275" s="19"/>
      <c r="AD275" s="19"/>
      <c r="AE275" s="18"/>
      <c r="AF275" s="18"/>
      <c r="AG275" s="18"/>
    </row>
    <row r="276" customFormat="false" ht="15" hidden="false" customHeight="false" outlineLevel="0" collapsed="false">
      <c r="A276" s="18"/>
      <c r="B276" s="19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4" t="str">
        <f aca="false">IF(COUNTA(I276:L276)=0,"",SUMIFS('3 Hazed Questions'!$E$2:$E$23,'3 Hazed Questions'!$A$2:$A$23,"Q1",'3 Hazed Questions'!$C$2:$C$23,I276)+SUMIFS('3 Hazed Questions'!$E$2:$E$23,'3 Hazed Questions'!$A$2:$A$23,"Q2",'3 Hazed Questions'!$C$2:$C$23,J276)+SUMIFS('3 Hazed Questions'!$E$2:$E$23,'3 Hazed Questions'!$A$2:$A$23,"Q3",'3 Hazed Questions'!$C$2:$C$23,K276)+SUMIFS('3 Hazed Questions'!$E$2:$E$23,'3 Hazed Questions'!$A$2:$A$23,"Q4",'3 Hazed Questions'!$C$2:$C$23,L276))</f>
        <v/>
      </c>
      <c r="O276" s="14" t="str">
        <f aca="false">IF(COUNTA(I276:L276)=0,"",SUMIFS('3 Hazed Questions'!$F$2:$F$23,'3 Hazed Questions'!$A$2:$A$23,"Q1",'3 Hazed Questions'!$C$2:$C$23,I276)+SUMIFS('3 Hazed Questions'!$F$2:$F$23,'3 Hazed Questions'!$A$2:$A$23,"Q2",'3 Hazed Questions'!$C$2:$C$23,J276)+SUMIFS('3 Hazed Questions'!$F$2:$F$23,'3 Hazed Questions'!$A$2:$A$23,"Q3",'3 Hazed Questions'!$C$2:$C$23,K276)+SUMIFS('3 Hazed Questions'!$F$2:$F$23,'3 Hazed Questions'!$A$2:$A$23,"Q4",'3 Hazed Questions'!$C$2:$C$23,L276))</f>
        <v/>
      </c>
      <c r="P276" s="14" t="str">
        <f aca="false">IF(COUNTA(I276:L276)=0,"",SUMIFS('3 Hazed Questions'!$G$2:$G$23,'3 Hazed Questions'!$A$2:$A$23,"Q1",'3 Hazed Questions'!$C$2:$C$23,I276)+SUMIFS('3 Hazed Questions'!$G$2:$G$23,'3 Hazed Questions'!$A$2:$A$23,"Q2",'3 Hazed Questions'!$C$2:$C$23,J276)+SUMIFS('3 Hazed Questions'!$G$2:$G$23,'3 Hazed Questions'!$A$2:$A$23,"Q3",'3 Hazed Questions'!$C$2:$C$23,K276)+SUMIFS('3 Hazed Questions'!$G$2:$G$23,'3 Hazed Questions'!$A$2:$A$23,"Q4",'3 Hazed Questions'!$C$2:$C$23,L276))</f>
        <v/>
      </c>
      <c r="Q276" s="14" t="str">
        <f aca="false">IF(COUNTA(I276:L276)=0,"",SUMIFS('3 Hazed Questions'!$H$2:$H$23,'3 Hazed Questions'!$A$2:$A$23,"Q1",'3 Hazed Questions'!$C$2:$C$23,I276)+SUMIFS('3 Hazed Questions'!$H$2:$H$23,'3 Hazed Questions'!$A$2:$A$23,"Q2",'3 Hazed Questions'!$C$2:$C$23,J276)+SUMIFS('3 Hazed Questions'!$H$2:$H$23,'3 Hazed Questions'!$A$2:$A$23,"Q3",'3 Hazed Questions'!$C$2:$C$23,K276)+SUMIFS('3 Hazed Questions'!$H$2:$H$23,'3 Hazed Questions'!$A$2:$A$23,"Q4",'3 Hazed Questions'!$C$2:$C$23,L276))</f>
        <v/>
      </c>
      <c r="R276" s="14" t="str">
        <f aca="false">IF(COUNTA(I276:L276)=0,"",SUMIFS('3 Hazed Questions'!$I$2:$I$23,'3 Hazed Questions'!$A$2:$A$23,"Q1",'3 Hazed Questions'!$C$2:$C$23,I276)+SUMIFS('3 Hazed Questions'!$I$2:$I$23,'3 Hazed Questions'!$A$2:$A$23,"Q2",'3 Hazed Questions'!$C$2:$C$23,J276)+SUMIFS('3 Hazed Questions'!$I$2:$I$23,'3 Hazed Questions'!$A$2:$A$23,"Q3",'3 Hazed Questions'!$C$2:$C$23,K276)+SUMIFS('3 Hazed Questions'!$I$2:$I$23,'3 Hazed Questions'!$A$2:$A$23,"Q4",'3 Hazed Questions'!$C$2:$C$23,L276))</f>
        <v/>
      </c>
      <c r="S276" s="14" t="str">
        <f aca="false">IF(COUNTA(I276:L276)=0,"",SUMIFS('3 Hazed Questions'!$J$2:$J$23,'3 Hazed Questions'!$A$2:$A$23,"Q1",'3 Hazed Questions'!$C$2:$C$23,I276)+SUMIFS('3 Hazed Questions'!$J$2:$J$23,'3 Hazed Questions'!$A$2:$A$23,"Q2",'3 Hazed Questions'!$C$2:$C$23,J276)+SUMIFS('3 Hazed Questions'!$J$2:$J$23,'3 Hazed Questions'!$A$2:$A$23,"Q3",'3 Hazed Questions'!$C$2:$C$23,K276)+SUMIFS('3 Hazed Questions'!$J$2:$J$23,'3 Hazed Questions'!$A$2:$A$23,"Q4",'3 Hazed Questions'!$C$2:$C$23,L276))</f>
        <v/>
      </c>
      <c r="T276" s="14" t="str">
        <f aca="false">IF(COUNTA(I276:L276)=0,"",SUMIFS('3 Hazed Questions'!$K$2:$K$23,'3 Hazed Questions'!$A$2:$A$23,"Q1",'3 Hazed Questions'!$C$2:$C$23,I276)+SUMIFS('3 Hazed Questions'!$K$2:$K$23,'3 Hazed Questions'!$A$2:$A$23,"Q2",'3 Hazed Questions'!$C$2:$C$23,J276)+SUMIFS('3 Hazed Questions'!$K$2:$K$23,'3 Hazed Questions'!$A$2:$A$23,"Q3",'3 Hazed Questions'!$C$2:$C$23,K276)+SUMIFS('3 Hazed Questions'!$K$2:$K$23,'3 Hazed Questions'!$A$2:$A$23,"Q4",'3 Hazed Questions'!$C$2:$C$23,L276))</f>
        <v/>
      </c>
      <c r="U276" s="14" t="str">
        <f aca="false">IF(COUNTA(I276:L276)=0,"",SUMIFS('3 Hazed Questions'!$L$2:$L$23,'3 Hazed Questions'!$A$2:$A$23,"Q1",'3 Hazed Questions'!$C$2:$C$23,I276)+SUMIFS('3 Hazed Questions'!$L$2:$L$23,'3 Hazed Questions'!$A$2:$A$23,"Q2",'3 Hazed Questions'!$C$2:$C$23,J276)+SUMIFS('3 Hazed Questions'!$L$2:$L$23,'3 Hazed Questions'!$A$2:$A$23,"Q3",'3 Hazed Questions'!$C$2:$C$23,K276)+SUMIFS('3 Hazed Questions'!$L$2:$L$23,'3 Hazed Questions'!$A$2:$A$23,"Q4",'3 Hazed Questions'!$C$2:$C$23,L276))</f>
        <v/>
      </c>
      <c r="V276" s="14" t="str">
        <f aca="false">IF(COUNTA(I276:L276)=0,"",SUMIFS('3 Hazed Questions'!$M$2:$M$23,'3 Hazed Questions'!$A$2:$A$23,"Q1",'3 Hazed Questions'!$C$2:$C$23,I276)+SUMIFS('3 Hazed Questions'!$M$2:$M$23,'3 Hazed Questions'!$A$2:$A$23,"Q2",'3 Hazed Questions'!$C$2:$C$23,J276)+SUMIFS('3 Hazed Questions'!$M$2:$M$23,'3 Hazed Questions'!$A$2:$A$23,"Q3",'3 Hazed Questions'!$C$2:$C$23,K276)+SUMIFS('3 Hazed Questions'!$M$2:$M$23,'3 Hazed Questions'!$A$2:$A$23,"Q4",'3 Hazed Questions'!$C$2:$C$23,L276))</f>
        <v/>
      </c>
      <c r="W276" s="14" t="str">
        <f aca="false">IF(COUNTA(I276:L276)=0,"",SUMIFS('3 Hazed Questions'!$N$2:$N$23,'3 Hazed Questions'!$A$2:$A$23,"Q1",'3 Hazed Questions'!$C$2:$C$23,I276)+SUMIFS('3 Hazed Questions'!$N$2:$N$23,'3 Hazed Questions'!$A$2:$A$23,"Q2",'3 Hazed Questions'!$C$2:$C$23,J276)+SUMIFS('3 Hazed Questions'!$N$2:$N$23,'3 Hazed Questions'!$A$2:$A$23,"Q3",'3 Hazed Questions'!$C$2:$C$23,K276)+SUMIFS('3 Hazed Questions'!$N$2:$N$23,'3 Hazed Questions'!$A$2:$A$23,"Q4",'3 Hazed Questions'!$C$2:$C$23,L276))</f>
        <v/>
      </c>
      <c r="X276" s="14" t="str">
        <f aca="false">IF(COUNTA(I276:L276)=0,"",INDEX(Fields!$B$2:$B$50,MATCH(SUBSTITUTE(INDEX($N$1:$W$1,MATCH(MAX($N276:$W276),$N276:$W276,0)),"Score: ",""),Fields!$A$2:$A$50,0)))</f>
        <v/>
      </c>
      <c r="Y276" s="14" t="str">
        <f aca="true">IF(COUNTA(I276:L276)=0,"",IF(LARGE($N276:$W276,2)=0,"-",INDEX(Fields!$B$2:$B$50,MATCH(SUBSTITUTE(INDEX($N$1:$W$1,IF(LARGE($N276:$W276,2)=MAX($N276:$W276),MATCH(MAX($N276:$W276),OFFSET($N276:$W276,0,MATCH(MAX($N276:$W276),$N276:$W276,0),1,10-MATCH(MAX($N276:$W276),$N276:$W276,0)),0)+MATCH(MAX($N276:$W276),$N276:$W276,0),MATCH(LARGE($N276:$W276,2),$N276:$W276,0))),"Score: ",""),Fields!$A$2:$A$50,0))))</f>
        <v/>
      </c>
      <c r="Z276" s="14" t="str">
        <f aca="false">IF(M276="","",IFERROR(INDEX('3 Hazed Questions'!$O$2:$O$23,MATCH(1,INDEX(('3 Hazed Questions'!$A$2:$A$23="Q5")*('3 Hazed Questions'!$C$2:$C$23=M276),0),0))&amp;"",""))</f>
        <v/>
      </c>
      <c r="AA276" s="18"/>
      <c r="AB276" s="18"/>
      <c r="AC276" s="19"/>
      <c r="AD276" s="19"/>
      <c r="AE276" s="18"/>
      <c r="AF276" s="18"/>
      <c r="AG276" s="18"/>
    </row>
    <row r="277" customFormat="false" ht="15" hidden="false" customHeight="false" outlineLevel="0" collapsed="false">
      <c r="A277" s="18"/>
      <c r="B277" s="19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4" t="str">
        <f aca="false">IF(COUNTA(I277:L277)=0,"",SUMIFS('3 Hazed Questions'!$E$2:$E$23,'3 Hazed Questions'!$A$2:$A$23,"Q1",'3 Hazed Questions'!$C$2:$C$23,I277)+SUMIFS('3 Hazed Questions'!$E$2:$E$23,'3 Hazed Questions'!$A$2:$A$23,"Q2",'3 Hazed Questions'!$C$2:$C$23,J277)+SUMIFS('3 Hazed Questions'!$E$2:$E$23,'3 Hazed Questions'!$A$2:$A$23,"Q3",'3 Hazed Questions'!$C$2:$C$23,K277)+SUMIFS('3 Hazed Questions'!$E$2:$E$23,'3 Hazed Questions'!$A$2:$A$23,"Q4",'3 Hazed Questions'!$C$2:$C$23,L277))</f>
        <v/>
      </c>
      <c r="O277" s="14" t="str">
        <f aca="false">IF(COUNTA(I277:L277)=0,"",SUMIFS('3 Hazed Questions'!$F$2:$F$23,'3 Hazed Questions'!$A$2:$A$23,"Q1",'3 Hazed Questions'!$C$2:$C$23,I277)+SUMIFS('3 Hazed Questions'!$F$2:$F$23,'3 Hazed Questions'!$A$2:$A$23,"Q2",'3 Hazed Questions'!$C$2:$C$23,J277)+SUMIFS('3 Hazed Questions'!$F$2:$F$23,'3 Hazed Questions'!$A$2:$A$23,"Q3",'3 Hazed Questions'!$C$2:$C$23,K277)+SUMIFS('3 Hazed Questions'!$F$2:$F$23,'3 Hazed Questions'!$A$2:$A$23,"Q4",'3 Hazed Questions'!$C$2:$C$23,L277))</f>
        <v/>
      </c>
      <c r="P277" s="14" t="str">
        <f aca="false">IF(COUNTA(I277:L277)=0,"",SUMIFS('3 Hazed Questions'!$G$2:$G$23,'3 Hazed Questions'!$A$2:$A$23,"Q1",'3 Hazed Questions'!$C$2:$C$23,I277)+SUMIFS('3 Hazed Questions'!$G$2:$G$23,'3 Hazed Questions'!$A$2:$A$23,"Q2",'3 Hazed Questions'!$C$2:$C$23,J277)+SUMIFS('3 Hazed Questions'!$G$2:$G$23,'3 Hazed Questions'!$A$2:$A$23,"Q3",'3 Hazed Questions'!$C$2:$C$23,K277)+SUMIFS('3 Hazed Questions'!$G$2:$G$23,'3 Hazed Questions'!$A$2:$A$23,"Q4",'3 Hazed Questions'!$C$2:$C$23,L277))</f>
        <v/>
      </c>
      <c r="Q277" s="14" t="str">
        <f aca="false">IF(COUNTA(I277:L277)=0,"",SUMIFS('3 Hazed Questions'!$H$2:$H$23,'3 Hazed Questions'!$A$2:$A$23,"Q1",'3 Hazed Questions'!$C$2:$C$23,I277)+SUMIFS('3 Hazed Questions'!$H$2:$H$23,'3 Hazed Questions'!$A$2:$A$23,"Q2",'3 Hazed Questions'!$C$2:$C$23,J277)+SUMIFS('3 Hazed Questions'!$H$2:$H$23,'3 Hazed Questions'!$A$2:$A$23,"Q3",'3 Hazed Questions'!$C$2:$C$23,K277)+SUMIFS('3 Hazed Questions'!$H$2:$H$23,'3 Hazed Questions'!$A$2:$A$23,"Q4",'3 Hazed Questions'!$C$2:$C$23,L277))</f>
        <v/>
      </c>
      <c r="R277" s="14" t="str">
        <f aca="false">IF(COUNTA(I277:L277)=0,"",SUMIFS('3 Hazed Questions'!$I$2:$I$23,'3 Hazed Questions'!$A$2:$A$23,"Q1",'3 Hazed Questions'!$C$2:$C$23,I277)+SUMIFS('3 Hazed Questions'!$I$2:$I$23,'3 Hazed Questions'!$A$2:$A$23,"Q2",'3 Hazed Questions'!$C$2:$C$23,J277)+SUMIFS('3 Hazed Questions'!$I$2:$I$23,'3 Hazed Questions'!$A$2:$A$23,"Q3",'3 Hazed Questions'!$C$2:$C$23,K277)+SUMIFS('3 Hazed Questions'!$I$2:$I$23,'3 Hazed Questions'!$A$2:$A$23,"Q4",'3 Hazed Questions'!$C$2:$C$23,L277))</f>
        <v/>
      </c>
      <c r="S277" s="14" t="str">
        <f aca="false">IF(COUNTA(I277:L277)=0,"",SUMIFS('3 Hazed Questions'!$J$2:$J$23,'3 Hazed Questions'!$A$2:$A$23,"Q1",'3 Hazed Questions'!$C$2:$C$23,I277)+SUMIFS('3 Hazed Questions'!$J$2:$J$23,'3 Hazed Questions'!$A$2:$A$23,"Q2",'3 Hazed Questions'!$C$2:$C$23,J277)+SUMIFS('3 Hazed Questions'!$J$2:$J$23,'3 Hazed Questions'!$A$2:$A$23,"Q3",'3 Hazed Questions'!$C$2:$C$23,K277)+SUMIFS('3 Hazed Questions'!$J$2:$J$23,'3 Hazed Questions'!$A$2:$A$23,"Q4",'3 Hazed Questions'!$C$2:$C$23,L277))</f>
        <v/>
      </c>
      <c r="T277" s="14" t="str">
        <f aca="false">IF(COUNTA(I277:L277)=0,"",SUMIFS('3 Hazed Questions'!$K$2:$K$23,'3 Hazed Questions'!$A$2:$A$23,"Q1",'3 Hazed Questions'!$C$2:$C$23,I277)+SUMIFS('3 Hazed Questions'!$K$2:$K$23,'3 Hazed Questions'!$A$2:$A$23,"Q2",'3 Hazed Questions'!$C$2:$C$23,J277)+SUMIFS('3 Hazed Questions'!$K$2:$K$23,'3 Hazed Questions'!$A$2:$A$23,"Q3",'3 Hazed Questions'!$C$2:$C$23,K277)+SUMIFS('3 Hazed Questions'!$K$2:$K$23,'3 Hazed Questions'!$A$2:$A$23,"Q4",'3 Hazed Questions'!$C$2:$C$23,L277))</f>
        <v/>
      </c>
      <c r="U277" s="14" t="str">
        <f aca="false">IF(COUNTA(I277:L277)=0,"",SUMIFS('3 Hazed Questions'!$L$2:$L$23,'3 Hazed Questions'!$A$2:$A$23,"Q1",'3 Hazed Questions'!$C$2:$C$23,I277)+SUMIFS('3 Hazed Questions'!$L$2:$L$23,'3 Hazed Questions'!$A$2:$A$23,"Q2",'3 Hazed Questions'!$C$2:$C$23,J277)+SUMIFS('3 Hazed Questions'!$L$2:$L$23,'3 Hazed Questions'!$A$2:$A$23,"Q3",'3 Hazed Questions'!$C$2:$C$23,K277)+SUMIFS('3 Hazed Questions'!$L$2:$L$23,'3 Hazed Questions'!$A$2:$A$23,"Q4",'3 Hazed Questions'!$C$2:$C$23,L277))</f>
        <v/>
      </c>
      <c r="V277" s="14" t="str">
        <f aca="false">IF(COUNTA(I277:L277)=0,"",SUMIFS('3 Hazed Questions'!$M$2:$M$23,'3 Hazed Questions'!$A$2:$A$23,"Q1",'3 Hazed Questions'!$C$2:$C$23,I277)+SUMIFS('3 Hazed Questions'!$M$2:$M$23,'3 Hazed Questions'!$A$2:$A$23,"Q2",'3 Hazed Questions'!$C$2:$C$23,J277)+SUMIFS('3 Hazed Questions'!$M$2:$M$23,'3 Hazed Questions'!$A$2:$A$23,"Q3",'3 Hazed Questions'!$C$2:$C$23,K277)+SUMIFS('3 Hazed Questions'!$M$2:$M$23,'3 Hazed Questions'!$A$2:$A$23,"Q4",'3 Hazed Questions'!$C$2:$C$23,L277))</f>
        <v/>
      </c>
      <c r="W277" s="14" t="str">
        <f aca="false">IF(COUNTA(I277:L277)=0,"",SUMIFS('3 Hazed Questions'!$N$2:$N$23,'3 Hazed Questions'!$A$2:$A$23,"Q1",'3 Hazed Questions'!$C$2:$C$23,I277)+SUMIFS('3 Hazed Questions'!$N$2:$N$23,'3 Hazed Questions'!$A$2:$A$23,"Q2",'3 Hazed Questions'!$C$2:$C$23,J277)+SUMIFS('3 Hazed Questions'!$N$2:$N$23,'3 Hazed Questions'!$A$2:$A$23,"Q3",'3 Hazed Questions'!$C$2:$C$23,K277)+SUMIFS('3 Hazed Questions'!$N$2:$N$23,'3 Hazed Questions'!$A$2:$A$23,"Q4",'3 Hazed Questions'!$C$2:$C$23,L277))</f>
        <v/>
      </c>
      <c r="X277" s="14" t="str">
        <f aca="false">IF(COUNTA(I277:L277)=0,"",INDEX(Fields!$B$2:$B$50,MATCH(SUBSTITUTE(INDEX($N$1:$W$1,MATCH(MAX($N277:$W277),$N277:$W277,0)),"Score: ",""),Fields!$A$2:$A$50,0)))</f>
        <v/>
      </c>
      <c r="Y277" s="14" t="str">
        <f aca="true">IF(COUNTA(I277:L277)=0,"",IF(LARGE($N277:$W277,2)=0,"-",INDEX(Fields!$B$2:$B$50,MATCH(SUBSTITUTE(INDEX($N$1:$W$1,IF(LARGE($N277:$W277,2)=MAX($N277:$W277),MATCH(MAX($N277:$W277),OFFSET($N277:$W277,0,MATCH(MAX($N277:$W277),$N277:$W277,0),1,10-MATCH(MAX($N277:$W277),$N277:$W277,0)),0)+MATCH(MAX($N277:$W277),$N277:$W277,0),MATCH(LARGE($N277:$W277,2),$N277:$W277,0))),"Score: ",""),Fields!$A$2:$A$50,0))))</f>
        <v/>
      </c>
      <c r="Z277" s="14" t="str">
        <f aca="false">IF(M277="","",IFERROR(INDEX('3 Hazed Questions'!$O$2:$O$23,MATCH(1,INDEX(('3 Hazed Questions'!$A$2:$A$23="Q5")*('3 Hazed Questions'!$C$2:$C$23=M277),0),0))&amp;"",""))</f>
        <v/>
      </c>
      <c r="AA277" s="18"/>
      <c r="AB277" s="18"/>
      <c r="AC277" s="19"/>
      <c r="AD277" s="19"/>
      <c r="AE277" s="18"/>
      <c r="AF277" s="18"/>
      <c r="AG277" s="18"/>
    </row>
    <row r="278" customFormat="false" ht="15" hidden="false" customHeight="false" outlineLevel="0" collapsed="false">
      <c r="A278" s="18"/>
      <c r="B278" s="19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4" t="str">
        <f aca="false">IF(COUNTA(I278:L278)=0,"",SUMIFS('3 Hazed Questions'!$E$2:$E$23,'3 Hazed Questions'!$A$2:$A$23,"Q1",'3 Hazed Questions'!$C$2:$C$23,I278)+SUMIFS('3 Hazed Questions'!$E$2:$E$23,'3 Hazed Questions'!$A$2:$A$23,"Q2",'3 Hazed Questions'!$C$2:$C$23,J278)+SUMIFS('3 Hazed Questions'!$E$2:$E$23,'3 Hazed Questions'!$A$2:$A$23,"Q3",'3 Hazed Questions'!$C$2:$C$23,K278)+SUMIFS('3 Hazed Questions'!$E$2:$E$23,'3 Hazed Questions'!$A$2:$A$23,"Q4",'3 Hazed Questions'!$C$2:$C$23,L278))</f>
        <v/>
      </c>
      <c r="O278" s="14" t="str">
        <f aca="false">IF(COUNTA(I278:L278)=0,"",SUMIFS('3 Hazed Questions'!$F$2:$F$23,'3 Hazed Questions'!$A$2:$A$23,"Q1",'3 Hazed Questions'!$C$2:$C$23,I278)+SUMIFS('3 Hazed Questions'!$F$2:$F$23,'3 Hazed Questions'!$A$2:$A$23,"Q2",'3 Hazed Questions'!$C$2:$C$23,J278)+SUMIFS('3 Hazed Questions'!$F$2:$F$23,'3 Hazed Questions'!$A$2:$A$23,"Q3",'3 Hazed Questions'!$C$2:$C$23,K278)+SUMIFS('3 Hazed Questions'!$F$2:$F$23,'3 Hazed Questions'!$A$2:$A$23,"Q4",'3 Hazed Questions'!$C$2:$C$23,L278))</f>
        <v/>
      </c>
      <c r="P278" s="14" t="str">
        <f aca="false">IF(COUNTA(I278:L278)=0,"",SUMIFS('3 Hazed Questions'!$G$2:$G$23,'3 Hazed Questions'!$A$2:$A$23,"Q1",'3 Hazed Questions'!$C$2:$C$23,I278)+SUMIFS('3 Hazed Questions'!$G$2:$G$23,'3 Hazed Questions'!$A$2:$A$23,"Q2",'3 Hazed Questions'!$C$2:$C$23,J278)+SUMIFS('3 Hazed Questions'!$G$2:$G$23,'3 Hazed Questions'!$A$2:$A$23,"Q3",'3 Hazed Questions'!$C$2:$C$23,K278)+SUMIFS('3 Hazed Questions'!$G$2:$G$23,'3 Hazed Questions'!$A$2:$A$23,"Q4",'3 Hazed Questions'!$C$2:$C$23,L278))</f>
        <v/>
      </c>
      <c r="Q278" s="14" t="str">
        <f aca="false">IF(COUNTA(I278:L278)=0,"",SUMIFS('3 Hazed Questions'!$H$2:$H$23,'3 Hazed Questions'!$A$2:$A$23,"Q1",'3 Hazed Questions'!$C$2:$C$23,I278)+SUMIFS('3 Hazed Questions'!$H$2:$H$23,'3 Hazed Questions'!$A$2:$A$23,"Q2",'3 Hazed Questions'!$C$2:$C$23,J278)+SUMIFS('3 Hazed Questions'!$H$2:$H$23,'3 Hazed Questions'!$A$2:$A$23,"Q3",'3 Hazed Questions'!$C$2:$C$23,K278)+SUMIFS('3 Hazed Questions'!$H$2:$H$23,'3 Hazed Questions'!$A$2:$A$23,"Q4",'3 Hazed Questions'!$C$2:$C$23,L278))</f>
        <v/>
      </c>
      <c r="R278" s="14" t="str">
        <f aca="false">IF(COUNTA(I278:L278)=0,"",SUMIFS('3 Hazed Questions'!$I$2:$I$23,'3 Hazed Questions'!$A$2:$A$23,"Q1",'3 Hazed Questions'!$C$2:$C$23,I278)+SUMIFS('3 Hazed Questions'!$I$2:$I$23,'3 Hazed Questions'!$A$2:$A$23,"Q2",'3 Hazed Questions'!$C$2:$C$23,J278)+SUMIFS('3 Hazed Questions'!$I$2:$I$23,'3 Hazed Questions'!$A$2:$A$23,"Q3",'3 Hazed Questions'!$C$2:$C$23,K278)+SUMIFS('3 Hazed Questions'!$I$2:$I$23,'3 Hazed Questions'!$A$2:$A$23,"Q4",'3 Hazed Questions'!$C$2:$C$23,L278))</f>
        <v/>
      </c>
      <c r="S278" s="14" t="str">
        <f aca="false">IF(COUNTA(I278:L278)=0,"",SUMIFS('3 Hazed Questions'!$J$2:$J$23,'3 Hazed Questions'!$A$2:$A$23,"Q1",'3 Hazed Questions'!$C$2:$C$23,I278)+SUMIFS('3 Hazed Questions'!$J$2:$J$23,'3 Hazed Questions'!$A$2:$A$23,"Q2",'3 Hazed Questions'!$C$2:$C$23,J278)+SUMIFS('3 Hazed Questions'!$J$2:$J$23,'3 Hazed Questions'!$A$2:$A$23,"Q3",'3 Hazed Questions'!$C$2:$C$23,K278)+SUMIFS('3 Hazed Questions'!$J$2:$J$23,'3 Hazed Questions'!$A$2:$A$23,"Q4",'3 Hazed Questions'!$C$2:$C$23,L278))</f>
        <v/>
      </c>
      <c r="T278" s="14" t="str">
        <f aca="false">IF(COUNTA(I278:L278)=0,"",SUMIFS('3 Hazed Questions'!$K$2:$K$23,'3 Hazed Questions'!$A$2:$A$23,"Q1",'3 Hazed Questions'!$C$2:$C$23,I278)+SUMIFS('3 Hazed Questions'!$K$2:$K$23,'3 Hazed Questions'!$A$2:$A$23,"Q2",'3 Hazed Questions'!$C$2:$C$23,J278)+SUMIFS('3 Hazed Questions'!$K$2:$K$23,'3 Hazed Questions'!$A$2:$A$23,"Q3",'3 Hazed Questions'!$C$2:$C$23,K278)+SUMIFS('3 Hazed Questions'!$K$2:$K$23,'3 Hazed Questions'!$A$2:$A$23,"Q4",'3 Hazed Questions'!$C$2:$C$23,L278))</f>
        <v/>
      </c>
      <c r="U278" s="14" t="str">
        <f aca="false">IF(COUNTA(I278:L278)=0,"",SUMIFS('3 Hazed Questions'!$L$2:$L$23,'3 Hazed Questions'!$A$2:$A$23,"Q1",'3 Hazed Questions'!$C$2:$C$23,I278)+SUMIFS('3 Hazed Questions'!$L$2:$L$23,'3 Hazed Questions'!$A$2:$A$23,"Q2",'3 Hazed Questions'!$C$2:$C$23,J278)+SUMIFS('3 Hazed Questions'!$L$2:$L$23,'3 Hazed Questions'!$A$2:$A$23,"Q3",'3 Hazed Questions'!$C$2:$C$23,K278)+SUMIFS('3 Hazed Questions'!$L$2:$L$23,'3 Hazed Questions'!$A$2:$A$23,"Q4",'3 Hazed Questions'!$C$2:$C$23,L278))</f>
        <v/>
      </c>
      <c r="V278" s="14" t="str">
        <f aca="false">IF(COUNTA(I278:L278)=0,"",SUMIFS('3 Hazed Questions'!$M$2:$M$23,'3 Hazed Questions'!$A$2:$A$23,"Q1",'3 Hazed Questions'!$C$2:$C$23,I278)+SUMIFS('3 Hazed Questions'!$M$2:$M$23,'3 Hazed Questions'!$A$2:$A$23,"Q2",'3 Hazed Questions'!$C$2:$C$23,J278)+SUMIFS('3 Hazed Questions'!$M$2:$M$23,'3 Hazed Questions'!$A$2:$A$23,"Q3",'3 Hazed Questions'!$C$2:$C$23,K278)+SUMIFS('3 Hazed Questions'!$M$2:$M$23,'3 Hazed Questions'!$A$2:$A$23,"Q4",'3 Hazed Questions'!$C$2:$C$23,L278))</f>
        <v/>
      </c>
      <c r="W278" s="14" t="str">
        <f aca="false">IF(COUNTA(I278:L278)=0,"",SUMIFS('3 Hazed Questions'!$N$2:$N$23,'3 Hazed Questions'!$A$2:$A$23,"Q1",'3 Hazed Questions'!$C$2:$C$23,I278)+SUMIFS('3 Hazed Questions'!$N$2:$N$23,'3 Hazed Questions'!$A$2:$A$23,"Q2",'3 Hazed Questions'!$C$2:$C$23,J278)+SUMIFS('3 Hazed Questions'!$N$2:$N$23,'3 Hazed Questions'!$A$2:$A$23,"Q3",'3 Hazed Questions'!$C$2:$C$23,K278)+SUMIFS('3 Hazed Questions'!$N$2:$N$23,'3 Hazed Questions'!$A$2:$A$23,"Q4",'3 Hazed Questions'!$C$2:$C$23,L278))</f>
        <v/>
      </c>
      <c r="X278" s="14" t="str">
        <f aca="false">IF(COUNTA(I278:L278)=0,"",INDEX(Fields!$B$2:$B$50,MATCH(SUBSTITUTE(INDEX($N$1:$W$1,MATCH(MAX($N278:$W278),$N278:$W278,0)),"Score: ",""),Fields!$A$2:$A$50,0)))</f>
        <v/>
      </c>
      <c r="Y278" s="14" t="str">
        <f aca="true">IF(COUNTA(I278:L278)=0,"",IF(LARGE($N278:$W278,2)=0,"-",INDEX(Fields!$B$2:$B$50,MATCH(SUBSTITUTE(INDEX($N$1:$W$1,IF(LARGE($N278:$W278,2)=MAX($N278:$W278),MATCH(MAX($N278:$W278),OFFSET($N278:$W278,0,MATCH(MAX($N278:$W278),$N278:$W278,0),1,10-MATCH(MAX($N278:$W278),$N278:$W278,0)),0)+MATCH(MAX($N278:$W278),$N278:$W278,0),MATCH(LARGE($N278:$W278,2),$N278:$W278,0))),"Score: ",""),Fields!$A$2:$A$50,0))))</f>
        <v/>
      </c>
      <c r="Z278" s="14" t="str">
        <f aca="false">IF(M278="","",IFERROR(INDEX('3 Hazed Questions'!$O$2:$O$23,MATCH(1,INDEX(('3 Hazed Questions'!$A$2:$A$23="Q5")*('3 Hazed Questions'!$C$2:$C$23=M278),0),0))&amp;"",""))</f>
        <v/>
      </c>
      <c r="AA278" s="18"/>
      <c r="AB278" s="18"/>
      <c r="AC278" s="19"/>
      <c r="AD278" s="19"/>
      <c r="AE278" s="18"/>
      <c r="AF278" s="18"/>
      <c r="AG278" s="18"/>
    </row>
    <row r="279" customFormat="false" ht="15" hidden="false" customHeight="false" outlineLevel="0" collapsed="false">
      <c r="A279" s="18"/>
      <c r="B279" s="19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4" t="str">
        <f aca="false">IF(COUNTA(I279:L279)=0,"",SUMIFS('3 Hazed Questions'!$E$2:$E$23,'3 Hazed Questions'!$A$2:$A$23,"Q1",'3 Hazed Questions'!$C$2:$C$23,I279)+SUMIFS('3 Hazed Questions'!$E$2:$E$23,'3 Hazed Questions'!$A$2:$A$23,"Q2",'3 Hazed Questions'!$C$2:$C$23,J279)+SUMIFS('3 Hazed Questions'!$E$2:$E$23,'3 Hazed Questions'!$A$2:$A$23,"Q3",'3 Hazed Questions'!$C$2:$C$23,K279)+SUMIFS('3 Hazed Questions'!$E$2:$E$23,'3 Hazed Questions'!$A$2:$A$23,"Q4",'3 Hazed Questions'!$C$2:$C$23,L279))</f>
        <v/>
      </c>
      <c r="O279" s="14" t="str">
        <f aca="false">IF(COUNTA(I279:L279)=0,"",SUMIFS('3 Hazed Questions'!$F$2:$F$23,'3 Hazed Questions'!$A$2:$A$23,"Q1",'3 Hazed Questions'!$C$2:$C$23,I279)+SUMIFS('3 Hazed Questions'!$F$2:$F$23,'3 Hazed Questions'!$A$2:$A$23,"Q2",'3 Hazed Questions'!$C$2:$C$23,J279)+SUMIFS('3 Hazed Questions'!$F$2:$F$23,'3 Hazed Questions'!$A$2:$A$23,"Q3",'3 Hazed Questions'!$C$2:$C$23,K279)+SUMIFS('3 Hazed Questions'!$F$2:$F$23,'3 Hazed Questions'!$A$2:$A$23,"Q4",'3 Hazed Questions'!$C$2:$C$23,L279))</f>
        <v/>
      </c>
      <c r="P279" s="14" t="str">
        <f aca="false">IF(COUNTA(I279:L279)=0,"",SUMIFS('3 Hazed Questions'!$G$2:$G$23,'3 Hazed Questions'!$A$2:$A$23,"Q1",'3 Hazed Questions'!$C$2:$C$23,I279)+SUMIFS('3 Hazed Questions'!$G$2:$G$23,'3 Hazed Questions'!$A$2:$A$23,"Q2",'3 Hazed Questions'!$C$2:$C$23,J279)+SUMIFS('3 Hazed Questions'!$G$2:$G$23,'3 Hazed Questions'!$A$2:$A$23,"Q3",'3 Hazed Questions'!$C$2:$C$23,K279)+SUMIFS('3 Hazed Questions'!$G$2:$G$23,'3 Hazed Questions'!$A$2:$A$23,"Q4",'3 Hazed Questions'!$C$2:$C$23,L279))</f>
        <v/>
      </c>
      <c r="Q279" s="14" t="str">
        <f aca="false">IF(COUNTA(I279:L279)=0,"",SUMIFS('3 Hazed Questions'!$H$2:$H$23,'3 Hazed Questions'!$A$2:$A$23,"Q1",'3 Hazed Questions'!$C$2:$C$23,I279)+SUMIFS('3 Hazed Questions'!$H$2:$H$23,'3 Hazed Questions'!$A$2:$A$23,"Q2",'3 Hazed Questions'!$C$2:$C$23,J279)+SUMIFS('3 Hazed Questions'!$H$2:$H$23,'3 Hazed Questions'!$A$2:$A$23,"Q3",'3 Hazed Questions'!$C$2:$C$23,K279)+SUMIFS('3 Hazed Questions'!$H$2:$H$23,'3 Hazed Questions'!$A$2:$A$23,"Q4",'3 Hazed Questions'!$C$2:$C$23,L279))</f>
        <v/>
      </c>
      <c r="R279" s="14" t="str">
        <f aca="false">IF(COUNTA(I279:L279)=0,"",SUMIFS('3 Hazed Questions'!$I$2:$I$23,'3 Hazed Questions'!$A$2:$A$23,"Q1",'3 Hazed Questions'!$C$2:$C$23,I279)+SUMIFS('3 Hazed Questions'!$I$2:$I$23,'3 Hazed Questions'!$A$2:$A$23,"Q2",'3 Hazed Questions'!$C$2:$C$23,J279)+SUMIFS('3 Hazed Questions'!$I$2:$I$23,'3 Hazed Questions'!$A$2:$A$23,"Q3",'3 Hazed Questions'!$C$2:$C$23,K279)+SUMIFS('3 Hazed Questions'!$I$2:$I$23,'3 Hazed Questions'!$A$2:$A$23,"Q4",'3 Hazed Questions'!$C$2:$C$23,L279))</f>
        <v/>
      </c>
      <c r="S279" s="14" t="str">
        <f aca="false">IF(COUNTA(I279:L279)=0,"",SUMIFS('3 Hazed Questions'!$J$2:$J$23,'3 Hazed Questions'!$A$2:$A$23,"Q1",'3 Hazed Questions'!$C$2:$C$23,I279)+SUMIFS('3 Hazed Questions'!$J$2:$J$23,'3 Hazed Questions'!$A$2:$A$23,"Q2",'3 Hazed Questions'!$C$2:$C$23,J279)+SUMIFS('3 Hazed Questions'!$J$2:$J$23,'3 Hazed Questions'!$A$2:$A$23,"Q3",'3 Hazed Questions'!$C$2:$C$23,K279)+SUMIFS('3 Hazed Questions'!$J$2:$J$23,'3 Hazed Questions'!$A$2:$A$23,"Q4",'3 Hazed Questions'!$C$2:$C$23,L279))</f>
        <v/>
      </c>
      <c r="T279" s="14" t="str">
        <f aca="false">IF(COUNTA(I279:L279)=0,"",SUMIFS('3 Hazed Questions'!$K$2:$K$23,'3 Hazed Questions'!$A$2:$A$23,"Q1",'3 Hazed Questions'!$C$2:$C$23,I279)+SUMIFS('3 Hazed Questions'!$K$2:$K$23,'3 Hazed Questions'!$A$2:$A$23,"Q2",'3 Hazed Questions'!$C$2:$C$23,J279)+SUMIFS('3 Hazed Questions'!$K$2:$K$23,'3 Hazed Questions'!$A$2:$A$23,"Q3",'3 Hazed Questions'!$C$2:$C$23,K279)+SUMIFS('3 Hazed Questions'!$K$2:$K$23,'3 Hazed Questions'!$A$2:$A$23,"Q4",'3 Hazed Questions'!$C$2:$C$23,L279))</f>
        <v/>
      </c>
      <c r="U279" s="14" t="str">
        <f aca="false">IF(COUNTA(I279:L279)=0,"",SUMIFS('3 Hazed Questions'!$L$2:$L$23,'3 Hazed Questions'!$A$2:$A$23,"Q1",'3 Hazed Questions'!$C$2:$C$23,I279)+SUMIFS('3 Hazed Questions'!$L$2:$L$23,'3 Hazed Questions'!$A$2:$A$23,"Q2",'3 Hazed Questions'!$C$2:$C$23,J279)+SUMIFS('3 Hazed Questions'!$L$2:$L$23,'3 Hazed Questions'!$A$2:$A$23,"Q3",'3 Hazed Questions'!$C$2:$C$23,K279)+SUMIFS('3 Hazed Questions'!$L$2:$L$23,'3 Hazed Questions'!$A$2:$A$23,"Q4",'3 Hazed Questions'!$C$2:$C$23,L279))</f>
        <v/>
      </c>
      <c r="V279" s="14" t="str">
        <f aca="false">IF(COUNTA(I279:L279)=0,"",SUMIFS('3 Hazed Questions'!$M$2:$M$23,'3 Hazed Questions'!$A$2:$A$23,"Q1",'3 Hazed Questions'!$C$2:$C$23,I279)+SUMIFS('3 Hazed Questions'!$M$2:$M$23,'3 Hazed Questions'!$A$2:$A$23,"Q2",'3 Hazed Questions'!$C$2:$C$23,J279)+SUMIFS('3 Hazed Questions'!$M$2:$M$23,'3 Hazed Questions'!$A$2:$A$23,"Q3",'3 Hazed Questions'!$C$2:$C$23,K279)+SUMIFS('3 Hazed Questions'!$M$2:$M$23,'3 Hazed Questions'!$A$2:$A$23,"Q4",'3 Hazed Questions'!$C$2:$C$23,L279))</f>
        <v/>
      </c>
      <c r="W279" s="14" t="str">
        <f aca="false">IF(COUNTA(I279:L279)=0,"",SUMIFS('3 Hazed Questions'!$N$2:$N$23,'3 Hazed Questions'!$A$2:$A$23,"Q1",'3 Hazed Questions'!$C$2:$C$23,I279)+SUMIFS('3 Hazed Questions'!$N$2:$N$23,'3 Hazed Questions'!$A$2:$A$23,"Q2",'3 Hazed Questions'!$C$2:$C$23,J279)+SUMIFS('3 Hazed Questions'!$N$2:$N$23,'3 Hazed Questions'!$A$2:$A$23,"Q3",'3 Hazed Questions'!$C$2:$C$23,K279)+SUMIFS('3 Hazed Questions'!$N$2:$N$23,'3 Hazed Questions'!$A$2:$A$23,"Q4",'3 Hazed Questions'!$C$2:$C$23,L279))</f>
        <v/>
      </c>
      <c r="X279" s="14" t="str">
        <f aca="false">IF(COUNTA(I279:L279)=0,"",INDEX(Fields!$B$2:$B$50,MATCH(SUBSTITUTE(INDEX($N$1:$W$1,MATCH(MAX($N279:$W279),$N279:$W279,0)),"Score: ",""),Fields!$A$2:$A$50,0)))</f>
        <v/>
      </c>
      <c r="Y279" s="14" t="str">
        <f aca="true">IF(COUNTA(I279:L279)=0,"",IF(LARGE($N279:$W279,2)=0,"-",INDEX(Fields!$B$2:$B$50,MATCH(SUBSTITUTE(INDEX($N$1:$W$1,IF(LARGE($N279:$W279,2)=MAX($N279:$W279),MATCH(MAX($N279:$W279),OFFSET($N279:$W279,0,MATCH(MAX($N279:$W279),$N279:$W279,0),1,10-MATCH(MAX($N279:$W279),$N279:$W279,0)),0)+MATCH(MAX($N279:$W279),$N279:$W279,0),MATCH(LARGE($N279:$W279,2),$N279:$W279,0))),"Score: ",""),Fields!$A$2:$A$50,0))))</f>
        <v/>
      </c>
      <c r="Z279" s="14" t="str">
        <f aca="false">IF(M279="","",IFERROR(INDEX('3 Hazed Questions'!$O$2:$O$23,MATCH(1,INDEX(('3 Hazed Questions'!$A$2:$A$23="Q5")*('3 Hazed Questions'!$C$2:$C$23=M279),0),0))&amp;"",""))</f>
        <v/>
      </c>
      <c r="AA279" s="18"/>
      <c r="AB279" s="18"/>
      <c r="AC279" s="19"/>
      <c r="AD279" s="19"/>
      <c r="AE279" s="18"/>
      <c r="AF279" s="18"/>
      <c r="AG279" s="18"/>
    </row>
    <row r="280" customFormat="false" ht="15" hidden="false" customHeight="false" outlineLevel="0" collapsed="false">
      <c r="A280" s="18"/>
      <c r="B280" s="19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4" t="str">
        <f aca="false">IF(COUNTA(I280:L280)=0,"",SUMIFS('3 Hazed Questions'!$E$2:$E$23,'3 Hazed Questions'!$A$2:$A$23,"Q1",'3 Hazed Questions'!$C$2:$C$23,I280)+SUMIFS('3 Hazed Questions'!$E$2:$E$23,'3 Hazed Questions'!$A$2:$A$23,"Q2",'3 Hazed Questions'!$C$2:$C$23,J280)+SUMIFS('3 Hazed Questions'!$E$2:$E$23,'3 Hazed Questions'!$A$2:$A$23,"Q3",'3 Hazed Questions'!$C$2:$C$23,K280)+SUMIFS('3 Hazed Questions'!$E$2:$E$23,'3 Hazed Questions'!$A$2:$A$23,"Q4",'3 Hazed Questions'!$C$2:$C$23,L280))</f>
        <v/>
      </c>
      <c r="O280" s="14" t="str">
        <f aca="false">IF(COUNTA(I280:L280)=0,"",SUMIFS('3 Hazed Questions'!$F$2:$F$23,'3 Hazed Questions'!$A$2:$A$23,"Q1",'3 Hazed Questions'!$C$2:$C$23,I280)+SUMIFS('3 Hazed Questions'!$F$2:$F$23,'3 Hazed Questions'!$A$2:$A$23,"Q2",'3 Hazed Questions'!$C$2:$C$23,J280)+SUMIFS('3 Hazed Questions'!$F$2:$F$23,'3 Hazed Questions'!$A$2:$A$23,"Q3",'3 Hazed Questions'!$C$2:$C$23,K280)+SUMIFS('3 Hazed Questions'!$F$2:$F$23,'3 Hazed Questions'!$A$2:$A$23,"Q4",'3 Hazed Questions'!$C$2:$C$23,L280))</f>
        <v/>
      </c>
      <c r="P280" s="14" t="str">
        <f aca="false">IF(COUNTA(I280:L280)=0,"",SUMIFS('3 Hazed Questions'!$G$2:$G$23,'3 Hazed Questions'!$A$2:$A$23,"Q1",'3 Hazed Questions'!$C$2:$C$23,I280)+SUMIFS('3 Hazed Questions'!$G$2:$G$23,'3 Hazed Questions'!$A$2:$A$23,"Q2",'3 Hazed Questions'!$C$2:$C$23,J280)+SUMIFS('3 Hazed Questions'!$G$2:$G$23,'3 Hazed Questions'!$A$2:$A$23,"Q3",'3 Hazed Questions'!$C$2:$C$23,K280)+SUMIFS('3 Hazed Questions'!$G$2:$G$23,'3 Hazed Questions'!$A$2:$A$23,"Q4",'3 Hazed Questions'!$C$2:$C$23,L280))</f>
        <v/>
      </c>
      <c r="Q280" s="14" t="str">
        <f aca="false">IF(COUNTA(I280:L280)=0,"",SUMIFS('3 Hazed Questions'!$H$2:$H$23,'3 Hazed Questions'!$A$2:$A$23,"Q1",'3 Hazed Questions'!$C$2:$C$23,I280)+SUMIFS('3 Hazed Questions'!$H$2:$H$23,'3 Hazed Questions'!$A$2:$A$23,"Q2",'3 Hazed Questions'!$C$2:$C$23,J280)+SUMIFS('3 Hazed Questions'!$H$2:$H$23,'3 Hazed Questions'!$A$2:$A$23,"Q3",'3 Hazed Questions'!$C$2:$C$23,K280)+SUMIFS('3 Hazed Questions'!$H$2:$H$23,'3 Hazed Questions'!$A$2:$A$23,"Q4",'3 Hazed Questions'!$C$2:$C$23,L280))</f>
        <v/>
      </c>
      <c r="R280" s="14" t="str">
        <f aca="false">IF(COUNTA(I280:L280)=0,"",SUMIFS('3 Hazed Questions'!$I$2:$I$23,'3 Hazed Questions'!$A$2:$A$23,"Q1",'3 Hazed Questions'!$C$2:$C$23,I280)+SUMIFS('3 Hazed Questions'!$I$2:$I$23,'3 Hazed Questions'!$A$2:$A$23,"Q2",'3 Hazed Questions'!$C$2:$C$23,J280)+SUMIFS('3 Hazed Questions'!$I$2:$I$23,'3 Hazed Questions'!$A$2:$A$23,"Q3",'3 Hazed Questions'!$C$2:$C$23,K280)+SUMIFS('3 Hazed Questions'!$I$2:$I$23,'3 Hazed Questions'!$A$2:$A$23,"Q4",'3 Hazed Questions'!$C$2:$C$23,L280))</f>
        <v/>
      </c>
      <c r="S280" s="14" t="str">
        <f aca="false">IF(COUNTA(I280:L280)=0,"",SUMIFS('3 Hazed Questions'!$J$2:$J$23,'3 Hazed Questions'!$A$2:$A$23,"Q1",'3 Hazed Questions'!$C$2:$C$23,I280)+SUMIFS('3 Hazed Questions'!$J$2:$J$23,'3 Hazed Questions'!$A$2:$A$23,"Q2",'3 Hazed Questions'!$C$2:$C$23,J280)+SUMIFS('3 Hazed Questions'!$J$2:$J$23,'3 Hazed Questions'!$A$2:$A$23,"Q3",'3 Hazed Questions'!$C$2:$C$23,K280)+SUMIFS('3 Hazed Questions'!$J$2:$J$23,'3 Hazed Questions'!$A$2:$A$23,"Q4",'3 Hazed Questions'!$C$2:$C$23,L280))</f>
        <v/>
      </c>
      <c r="T280" s="14" t="str">
        <f aca="false">IF(COUNTA(I280:L280)=0,"",SUMIFS('3 Hazed Questions'!$K$2:$K$23,'3 Hazed Questions'!$A$2:$A$23,"Q1",'3 Hazed Questions'!$C$2:$C$23,I280)+SUMIFS('3 Hazed Questions'!$K$2:$K$23,'3 Hazed Questions'!$A$2:$A$23,"Q2",'3 Hazed Questions'!$C$2:$C$23,J280)+SUMIFS('3 Hazed Questions'!$K$2:$K$23,'3 Hazed Questions'!$A$2:$A$23,"Q3",'3 Hazed Questions'!$C$2:$C$23,K280)+SUMIFS('3 Hazed Questions'!$K$2:$K$23,'3 Hazed Questions'!$A$2:$A$23,"Q4",'3 Hazed Questions'!$C$2:$C$23,L280))</f>
        <v/>
      </c>
      <c r="U280" s="14" t="str">
        <f aca="false">IF(COUNTA(I280:L280)=0,"",SUMIFS('3 Hazed Questions'!$L$2:$L$23,'3 Hazed Questions'!$A$2:$A$23,"Q1",'3 Hazed Questions'!$C$2:$C$23,I280)+SUMIFS('3 Hazed Questions'!$L$2:$L$23,'3 Hazed Questions'!$A$2:$A$23,"Q2",'3 Hazed Questions'!$C$2:$C$23,J280)+SUMIFS('3 Hazed Questions'!$L$2:$L$23,'3 Hazed Questions'!$A$2:$A$23,"Q3",'3 Hazed Questions'!$C$2:$C$23,K280)+SUMIFS('3 Hazed Questions'!$L$2:$L$23,'3 Hazed Questions'!$A$2:$A$23,"Q4",'3 Hazed Questions'!$C$2:$C$23,L280))</f>
        <v/>
      </c>
      <c r="V280" s="14" t="str">
        <f aca="false">IF(COUNTA(I280:L280)=0,"",SUMIFS('3 Hazed Questions'!$M$2:$M$23,'3 Hazed Questions'!$A$2:$A$23,"Q1",'3 Hazed Questions'!$C$2:$C$23,I280)+SUMIFS('3 Hazed Questions'!$M$2:$M$23,'3 Hazed Questions'!$A$2:$A$23,"Q2",'3 Hazed Questions'!$C$2:$C$23,J280)+SUMIFS('3 Hazed Questions'!$M$2:$M$23,'3 Hazed Questions'!$A$2:$A$23,"Q3",'3 Hazed Questions'!$C$2:$C$23,K280)+SUMIFS('3 Hazed Questions'!$M$2:$M$23,'3 Hazed Questions'!$A$2:$A$23,"Q4",'3 Hazed Questions'!$C$2:$C$23,L280))</f>
        <v/>
      </c>
      <c r="W280" s="14" t="str">
        <f aca="false">IF(COUNTA(I280:L280)=0,"",SUMIFS('3 Hazed Questions'!$N$2:$N$23,'3 Hazed Questions'!$A$2:$A$23,"Q1",'3 Hazed Questions'!$C$2:$C$23,I280)+SUMIFS('3 Hazed Questions'!$N$2:$N$23,'3 Hazed Questions'!$A$2:$A$23,"Q2",'3 Hazed Questions'!$C$2:$C$23,J280)+SUMIFS('3 Hazed Questions'!$N$2:$N$23,'3 Hazed Questions'!$A$2:$A$23,"Q3",'3 Hazed Questions'!$C$2:$C$23,K280)+SUMIFS('3 Hazed Questions'!$N$2:$N$23,'3 Hazed Questions'!$A$2:$A$23,"Q4",'3 Hazed Questions'!$C$2:$C$23,L280))</f>
        <v/>
      </c>
      <c r="X280" s="14" t="str">
        <f aca="false">IF(COUNTA(I280:L280)=0,"",INDEX(Fields!$B$2:$B$50,MATCH(SUBSTITUTE(INDEX($N$1:$W$1,MATCH(MAX($N280:$W280),$N280:$W280,0)),"Score: ",""),Fields!$A$2:$A$50,0)))</f>
        <v/>
      </c>
      <c r="Y280" s="14" t="str">
        <f aca="true">IF(COUNTA(I280:L280)=0,"",IF(LARGE($N280:$W280,2)=0,"-",INDEX(Fields!$B$2:$B$50,MATCH(SUBSTITUTE(INDEX($N$1:$W$1,IF(LARGE($N280:$W280,2)=MAX($N280:$W280),MATCH(MAX($N280:$W280),OFFSET($N280:$W280,0,MATCH(MAX($N280:$W280),$N280:$W280,0),1,10-MATCH(MAX($N280:$W280),$N280:$W280,0)),0)+MATCH(MAX($N280:$W280),$N280:$W280,0),MATCH(LARGE($N280:$W280,2),$N280:$W280,0))),"Score: ",""),Fields!$A$2:$A$50,0))))</f>
        <v/>
      </c>
      <c r="Z280" s="14" t="str">
        <f aca="false">IF(M280="","",IFERROR(INDEX('3 Hazed Questions'!$O$2:$O$23,MATCH(1,INDEX(('3 Hazed Questions'!$A$2:$A$23="Q5")*('3 Hazed Questions'!$C$2:$C$23=M280),0),0))&amp;"",""))</f>
        <v/>
      </c>
      <c r="AA280" s="18"/>
      <c r="AB280" s="18"/>
      <c r="AC280" s="19"/>
      <c r="AD280" s="19"/>
      <c r="AE280" s="18"/>
      <c r="AF280" s="18"/>
      <c r="AG280" s="18"/>
    </row>
    <row r="281" customFormat="false" ht="15" hidden="false" customHeight="false" outlineLevel="0" collapsed="false">
      <c r="A281" s="18"/>
      <c r="B281" s="19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4" t="str">
        <f aca="false">IF(COUNTA(I281:L281)=0,"",SUMIFS('3 Hazed Questions'!$E$2:$E$23,'3 Hazed Questions'!$A$2:$A$23,"Q1",'3 Hazed Questions'!$C$2:$C$23,I281)+SUMIFS('3 Hazed Questions'!$E$2:$E$23,'3 Hazed Questions'!$A$2:$A$23,"Q2",'3 Hazed Questions'!$C$2:$C$23,J281)+SUMIFS('3 Hazed Questions'!$E$2:$E$23,'3 Hazed Questions'!$A$2:$A$23,"Q3",'3 Hazed Questions'!$C$2:$C$23,K281)+SUMIFS('3 Hazed Questions'!$E$2:$E$23,'3 Hazed Questions'!$A$2:$A$23,"Q4",'3 Hazed Questions'!$C$2:$C$23,L281))</f>
        <v/>
      </c>
      <c r="O281" s="14" t="str">
        <f aca="false">IF(COUNTA(I281:L281)=0,"",SUMIFS('3 Hazed Questions'!$F$2:$F$23,'3 Hazed Questions'!$A$2:$A$23,"Q1",'3 Hazed Questions'!$C$2:$C$23,I281)+SUMIFS('3 Hazed Questions'!$F$2:$F$23,'3 Hazed Questions'!$A$2:$A$23,"Q2",'3 Hazed Questions'!$C$2:$C$23,J281)+SUMIFS('3 Hazed Questions'!$F$2:$F$23,'3 Hazed Questions'!$A$2:$A$23,"Q3",'3 Hazed Questions'!$C$2:$C$23,K281)+SUMIFS('3 Hazed Questions'!$F$2:$F$23,'3 Hazed Questions'!$A$2:$A$23,"Q4",'3 Hazed Questions'!$C$2:$C$23,L281))</f>
        <v/>
      </c>
      <c r="P281" s="14" t="str">
        <f aca="false">IF(COUNTA(I281:L281)=0,"",SUMIFS('3 Hazed Questions'!$G$2:$G$23,'3 Hazed Questions'!$A$2:$A$23,"Q1",'3 Hazed Questions'!$C$2:$C$23,I281)+SUMIFS('3 Hazed Questions'!$G$2:$G$23,'3 Hazed Questions'!$A$2:$A$23,"Q2",'3 Hazed Questions'!$C$2:$C$23,J281)+SUMIFS('3 Hazed Questions'!$G$2:$G$23,'3 Hazed Questions'!$A$2:$A$23,"Q3",'3 Hazed Questions'!$C$2:$C$23,K281)+SUMIFS('3 Hazed Questions'!$G$2:$G$23,'3 Hazed Questions'!$A$2:$A$23,"Q4",'3 Hazed Questions'!$C$2:$C$23,L281))</f>
        <v/>
      </c>
      <c r="Q281" s="14" t="str">
        <f aca="false">IF(COUNTA(I281:L281)=0,"",SUMIFS('3 Hazed Questions'!$H$2:$H$23,'3 Hazed Questions'!$A$2:$A$23,"Q1",'3 Hazed Questions'!$C$2:$C$23,I281)+SUMIFS('3 Hazed Questions'!$H$2:$H$23,'3 Hazed Questions'!$A$2:$A$23,"Q2",'3 Hazed Questions'!$C$2:$C$23,J281)+SUMIFS('3 Hazed Questions'!$H$2:$H$23,'3 Hazed Questions'!$A$2:$A$23,"Q3",'3 Hazed Questions'!$C$2:$C$23,K281)+SUMIFS('3 Hazed Questions'!$H$2:$H$23,'3 Hazed Questions'!$A$2:$A$23,"Q4",'3 Hazed Questions'!$C$2:$C$23,L281))</f>
        <v/>
      </c>
      <c r="R281" s="14" t="str">
        <f aca="false">IF(COUNTA(I281:L281)=0,"",SUMIFS('3 Hazed Questions'!$I$2:$I$23,'3 Hazed Questions'!$A$2:$A$23,"Q1",'3 Hazed Questions'!$C$2:$C$23,I281)+SUMIFS('3 Hazed Questions'!$I$2:$I$23,'3 Hazed Questions'!$A$2:$A$23,"Q2",'3 Hazed Questions'!$C$2:$C$23,J281)+SUMIFS('3 Hazed Questions'!$I$2:$I$23,'3 Hazed Questions'!$A$2:$A$23,"Q3",'3 Hazed Questions'!$C$2:$C$23,K281)+SUMIFS('3 Hazed Questions'!$I$2:$I$23,'3 Hazed Questions'!$A$2:$A$23,"Q4",'3 Hazed Questions'!$C$2:$C$23,L281))</f>
        <v/>
      </c>
      <c r="S281" s="14" t="str">
        <f aca="false">IF(COUNTA(I281:L281)=0,"",SUMIFS('3 Hazed Questions'!$J$2:$J$23,'3 Hazed Questions'!$A$2:$A$23,"Q1",'3 Hazed Questions'!$C$2:$C$23,I281)+SUMIFS('3 Hazed Questions'!$J$2:$J$23,'3 Hazed Questions'!$A$2:$A$23,"Q2",'3 Hazed Questions'!$C$2:$C$23,J281)+SUMIFS('3 Hazed Questions'!$J$2:$J$23,'3 Hazed Questions'!$A$2:$A$23,"Q3",'3 Hazed Questions'!$C$2:$C$23,K281)+SUMIFS('3 Hazed Questions'!$J$2:$J$23,'3 Hazed Questions'!$A$2:$A$23,"Q4",'3 Hazed Questions'!$C$2:$C$23,L281))</f>
        <v/>
      </c>
      <c r="T281" s="14" t="str">
        <f aca="false">IF(COUNTA(I281:L281)=0,"",SUMIFS('3 Hazed Questions'!$K$2:$K$23,'3 Hazed Questions'!$A$2:$A$23,"Q1",'3 Hazed Questions'!$C$2:$C$23,I281)+SUMIFS('3 Hazed Questions'!$K$2:$K$23,'3 Hazed Questions'!$A$2:$A$23,"Q2",'3 Hazed Questions'!$C$2:$C$23,J281)+SUMIFS('3 Hazed Questions'!$K$2:$K$23,'3 Hazed Questions'!$A$2:$A$23,"Q3",'3 Hazed Questions'!$C$2:$C$23,K281)+SUMIFS('3 Hazed Questions'!$K$2:$K$23,'3 Hazed Questions'!$A$2:$A$23,"Q4",'3 Hazed Questions'!$C$2:$C$23,L281))</f>
        <v/>
      </c>
      <c r="U281" s="14" t="str">
        <f aca="false">IF(COUNTA(I281:L281)=0,"",SUMIFS('3 Hazed Questions'!$L$2:$L$23,'3 Hazed Questions'!$A$2:$A$23,"Q1",'3 Hazed Questions'!$C$2:$C$23,I281)+SUMIFS('3 Hazed Questions'!$L$2:$L$23,'3 Hazed Questions'!$A$2:$A$23,"Q2",'3 Hazed Questions'!$C$2:$C$23,J281)+SUMIFS('3 Hazed Questions'!$L$2:$L$23,'3 Hazed Questions'!$A$2:$A$23,"Q3",'3 Hazed Questions'!$C$2:$C$23,K281)+SUMIFS('3 Hazed Questions'!$L$2:$L$23,'3 Hazed Questions'!$A$2:$A$23,"Q4",'3 Hazed Questions'!$C$2:$C$23,L281))</f>
        <v/>
      </c>
      <c r="V281" s="14" t="str">
        <f aca="false">IF(COUNTA(I281:L281)=0,"",SUMIFS('3 Hazed Questions'!$M$2:$M$23,'3 Hazed Questions'!$A$2:$A$23,"Q1",'3 Hazed Questions'!$C$2:$C$23,I281)+SUMIFS('3 Hazed Questions'!$M$2:$M$23,'3 Hazed Questions'!$A$2:$A$23,"Q2",'3 Hazed Questions'!$C$2:$C$23,J281)+SUMIFS('3 Hazed Questions'!$M$2:$M$23,'3 Hazed Questions'!$A$2:$A$23,"Q3",'3 Hazed Questions'!$C$2:$C$23,K281)+SUMIFS('3 Hazed Questions'!$M$2:$M$23,'3 Hazed Questions'!$A$2:$A$23,"Q4",'3 Hazed Questions'!$C$2:$C$23,L281))</f>
        <v/>
      </c>
      <c r="W281" s="14" t="str">
        <f aca="false">IF(COUNTA(I281:L281)=0,"",SUMIFS('3 Hazed Questions'!$N$2:$N$23,'3 Hazed Questions'!$A$2:$A$23,"Q1",'3 Hazed Questions'!$C$2:$C$23,I281)+SUMIFS('3 Hazed Questions'!$N$2:$N$23,'3 Hazed Questions'!$A$2:$A$23,"Q2",'3 Hazed Questions'!$C$2:$C$23,J281)+SUMIFS('3 Hazed Questions'!$N$2:$N$23,'3 Hazed Questions'!$A$2:$A$23,"Q3",'3 Hazed Questions'!$C$2:$C$23,K281)+SUMIFS('3 Hazed Questions'!$N$2:$N$23,'3 Hazed Questions'!$A$2:$A$23,"Q4",'3 Hazed Questions'!$C$2:$C$23,L281))</f>
        <v/>
      </c>
      <c r="X281" s="14" t="str">
        <f aca="false">IF(COUNTA(I281:L281)=0,"",INDEX(Fields!$B$2:$B$50,MATCH(SUBSTITUTE(INDEX($N$1:$W$1,MATCH(MAX($N281:$W281),$N281:$W281,0)),"Score: ",""),Fields!$A$2:$A$50,0)))</f>
        <v/>
      </c>
      <c r="Y281" s="14" t="str">
        <f aca="true">IF(COUNTA(I281:L281)=0,"",IF(LARGE($N281:$W281,2)=0,"-",INDEX(Fields!$B$2:$B$50,MATCH(SUBSTITUTE(INDEX($N$1:$W$1,IF(LARGE($N281:$W281,2)=MAX($N281:$W281),MATCH(MAX($N281:$W281),OFFSET($N281:$W281,0,MATCH(MAX($N281:$W281),$N281:$W281,0),1,10-MATCH(MAX($N281:$W281),$N281:$W281,0)),0)+MATCH(MAX($N281:$W281),$N281:$W281,0),MATCH(LARGE($N281:$W281,2),$N281:$W281,0))),"Score: ",""),Fields!$A$2:$A$50,0))))</f>
        <v/>
      </c>
      <c r="Z281" s="14" t="str">
        <f aca="false">IF(M281="","",IFERROR(INDEX('3 Hazed Questions'!$O$2:$O$23,MATCH(1,INDEX(('3 Hazed Questions'!$A$2:$A$23="Q5")*('3 Hazed Questions'!$C$2:$C$23=M281),0),0))&amp;"",""))</f>
        <v/>
      </c>
      <c r="AA281" s="18"/>
      <c r="AB281" s="18"/>
      <c r="AC281" s="19"/>
      <c r="AD281" s="19"/>
      <c r="AE281" s="18"/>
      <c r="AF281" s="18"/>
      <c r="AG281" s="18"/>
    </row>
    <row r="282" customFormat="false" ht="15" hidden="false" customHeight="false" outlineLevel="0" collapsed="false">
      <c r="A282" s="18"/>
      <c r="B282" s="19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4" t="str">
        <f aca="false">IF(COUNTA(I282:L282)=0,"",SUMIFS('3 Hazed Questions'!$E$2:$E$23,'3 Hazed Questions'!$A$2:$A$23,"Q1",'3 Hazed Questions'!$C$2:$C$23,I282)+SUMIFS('3 Hazed Questions'!$E$2:$E$23,'3 Hazed Questions'!$A$2:$A$23,"Q2",'3 Hazed Questions'!$C$2:$C$23,J282)+SUMIFS('3 Hazed Questions'!$E$2:$E$23,'3 Hazed Questions'!$A$2:$A$23,"Q3",'3 Hazed Questions'!$C$2:$C$23,K282)+SUMIFS('3 Hazed Questions'!$E$2:$E$23,'3 Hazed Questions'!$A$2:$A$23,"Q4",'3 Hazed Questions'!$C$2:$C$23,L282))</f>
        <v/>
      </c>
      <c r="O282" s="14" t="str">
        <f aca="false">IF(COUNTA(I282:L282)=0,"",SUMIFS('3 Hazed Questions'!$F$2:$F$23,'3 Hazed Questions'!$A$2:$A$23,"Q1",'3 Hazed Questions'!$C$2:$C$23,I282)+SUMIFS('3 Hazed Questions'!$F$2:$F$23,'3 Hazed Questions'!$A$2:$A$23,"Q2",'3 Hazed Questions'!$C$2:$C$23,J282)+SUMIFS('3 Hazed Questions'!$F$2:$F$23,'3 Hazed Questions'!$A$2:$A$23,"Q3",'3 Hazed Questions'!$C$2:$C$23,K282)+SUMIFS('3 Hazed Questions'!$F$2:$F$23,'3 Hazed Questions'!$A$2:$A$23,"Q4",'3 Hazed Questions'!$C$2:$C$23,L282))</f>
        <v/>
      </c>
      <c r="P282" s="14" t="str">
        <f aca="false">IF(COUNTA(I282:L282)=0,"",SUMIFS('3 Hazed Questions'!$G$2:$G$23,'3 Hazed Questions'!$A$2:$A$23,"Q1",'3 Hazed Questions'!$C$2:$C$23,I282)+SUMIFS('3 Hazed Questions'!$G$2:$G$23,'3 Hazed Questions'!$A$2:$A$23,"Q2",'3 Hazed Questions'!$C$2:$C$23,J282)+SUMIFS('3 Hazed Questions'!$G$2:$G$23,'3 Hazed Questions'!$A$2:$A$23,"Q3",'3 Hazed Questions'!$C$2:$C$23,K282)+SUMIFS('3 Hazed Questions'!$G$2:$G$23,'3 Hazed Questions'!$A$2:$A$23,"Q4",'3 Hazed Questions'!$C$2:$C$23,L282))</f>
        <v/>
      </c>
      <c r="Q282" s="14" t="str">
        <f aca="false">IF(COUNTA(I282:L282)=0,"",SUMIFS('3 Hazed Questions'!$H$2:$H$23,'3 Hazed Questions'!$A$2:$A$23,"Q1",'3 Hazed Questions'!$C$2:$C$23,I282)+SUMIFS('3 Hazed Questions'!$H$2:$H$23,'3 Hazed Questions'!$A$2:$A$23,"Q2",'3 Hazed Questions'!$C$2:$C$23,J282)+SUMIFS('3 Hazed Questions'!$H$2:$H$23,'3 Hazed Questions'!$A$2:$A$23,"Q3",'3 Hazed Questions'!$C$2:$C$23,K282)+SUMIFS('3 Hazed Questions'!$H$2:$H$23,'3 Hazed Questions'!$A$2:$A$23,"Q4",'3 Hazed Questions'!$C$2:$C$23,L282))</f>
        <v/>
      </c>
      <c r="R282" s="14" t="str">
        <f aca="false">IF(COUNTA(I282:L282)=0,"",SUMIFS('3 Hazed Questions'!$I$2:$I$23,'3 Hazed Questions'!$A$2:$A$23,"Q1",'3 Hazed Questions'!$C$2:$C$23,I282)+SUMIFS('3 Hazed Questions'!$I$2:$I$23,'3 Hazed Questions'!$A$2:$A$23,"Q2",'3 Hazed Questions'!$C$2:$C$23,J282)+SUMIFS('3 Hazed Questions'!$I$2:$I$23,'3 Hazed Questions'!$A$2:$A$23,"Q3",'3 Hazed Questions'!$C$2:$C$23,K282)+SUMIFS('3 Hazed Questions'!$I$2:$I$23,'3 Hazed Questions'!$A$2:$A$23,"Q4",'3 Hazed Questions'!$C$2:$C$23,L282))</f>
        <v/>
      </c>
      <c r="S282" s="14" t="str">
        <f aca="false">IF(COUNTA(I282:L282)=0,"",SUMIFS('3 Hazed Questions'!$J$2:$J$23,'3 Hazed Questions'!$A$2:$A$23,"Q1",'3 Hazed Questions'!$C$2:$C$23,I282)+SUMIFS('3 Hazed Questions'!$J$2:$J$23,'3 Hazed Questions'!$A$2:$A$23,"Q2",'3 Hazed Questions'!$C$2:$C$23,J282)+SUMIFS('3 Hazed Questions'!$J$2:$J$23,'3 Hazed Questions'!$A$2:$A$23,"Q3",'3 Hazed Questions'!$C$2:$C$23,K282)+SUMIFS('3 Hazed Questions'!$J$2:$J$23,'3 Hazed Questions'!$A$2:$A$23,"Q4",'3 Hazed Questions'!$C$2:$C$23,L282))</f>
        <v/>
      </c>
      <c r="T282" s="14" t="str">
        <f aca="false">IF(COUNTA(I282:L282)=0,"",SUMIFS('3 Hazed Questions'!$K$2:$K$23,'3 Hazed Questions'!$A$2:$A$23,"Q1",'3 Hazed Questions'!$C$2:$C$23,I282)+SUMIFS('3 Hazed Questions'!$K$2:$K$23,'3 Hazed Questions'!$A$2:$A$23,"Q2",'3 Hazed Questions'!$C$2:$C$23,J282)+SUMIFS('3 Hazed Questions'!$K$2:$K$23,'3 Hazed Questions'!$A$2:$A$23,"Q3",'3 Hazed Questions'!$C$2:$C$23,K282)+SUMIFS('3 Hazed Questions'!$K$2:$K$23,'3 Hazed Questions'!$A$2:$A$23,"Q4",'3 Hazed Questions'!$C$2:$C$23,L282))</f>
        <v/>
      </c>
      <c r="U282" s="14" t="str">
        <f aca="false">IF(COUNTA(I282:L282)=0,"",SUMIFS('3 Hazed Questions'!$L$2:$L$23,'3 Hazed Questions'!$A$2:$A$23,"Q1",'3 Hazed Questions'!$C$2:$C$23,I282)+SUMIFS('3 Hazed Questions'!$L$2:$L$23,'3 Hazed Questions'!$A$2:$A$23,"Q2",'3 Hazed Questions'!$C$2:$C$23,J282)+SUMIFS('3 Hazed Questions'!$L$2:$L$23,'3 Hazed Questions'!$A$2:$A$23,"Q3",'3 Hazed Questions'!$C$2:$C$23,K282)+SUMIFS('3 Hazed Questions'!$L$2:$L$23,'3 Hazed Questions'!$A$2:$A$23,"Q4",'3 Hazed Questions'!$C$2:$C$23,L282))</f>
        <v/>
      </c>
      <c r="V282" s="14" t="str">
        <f aca="false">IF(COUNTA(I282:L282)=0,"",SUMIFS('3 Hazed Questions'!$M$2:$M$23,'3 Hazed Questions'!$A$2:$A$23,"Q1",'3 Hazed Questions'!$C$2:$C$23,I282)+SUMIFS('3 Hazed Questions'!$M$2:$M$23,'3 Hazed Questions'!$A$2:$A$23,"Q2",'3 Hazed Questions'!$C$2:$C$23,J282)+SUMIFS('3 Hazed Questions'!$M$2:$M$23,'3 Hazed Questions'!$A$2:$A$23,"Q3",'3 Hazed Questions'!$C$2:$C$23,K282)+SUMIFS('3 Hazed Questions'!$M$2:$M$23,'3 Hazed Questions'!$A$2:$A$23,"Q4",'3 Hazed Questions'!$C$2:$C$23,L282))</f>
        <v/>
      </c>
      <c r="W282" s="14" t="str">
        <f aca="false">IF(COUNTA(I282:L282)=0,"",SUMIFS('3 Hazed Questions'!$N$2:$N$23,'3 Hazed Questions'!$A$2:$A$23,"Q1",'3 Hazed Questions'!$C$2:$C$23,I282)+SUMIFS('3 Hazed Questions'!$N$2:$N$23,'3 Hazed Questions'!$A$2:$A$23,"Q2",'3 Hazed Questions'!$C$2:$C$23,J282)+SUMIFS('3 Hazed Questions'!$N$2:$N$23,'3 Hazed Questions'!$A$2:$A$23,"Q3",'3 Hazed Questions'!$C$2:$C$23,K282)+SUMIFS('3 Hazed Questions'!$N$2:$N$23,'3 Hazed Questions'!$A$2:$A$23,"Q4",'3 Hazed Questions'!$C$2:$C$23,L282))</f>
        <v/>
      </c>
      <c r="X282" s="14" t="str">
        <f aca="false">IF(COUNTA(I282:L282)=0,"",INDEX(Fields!$B$2:$B$50,MATCH(SUBSTITUTE(INDEX($N$1:$W$1,MATCH(MAX($N282:$W282),$N282:$W282,0)),"Score: ",""),Fields!$A$2:$A$50,0)))</f>
        <v/>
      </c>
      <c r="Y282" s="14" t="str">
        <f aca="true">IF(COUNTA(I282:L282)=0,"",IF(LARGE($N282:$W282,2)=0,"-",INDEX(Fields!$B$2:$B$50,MATCH(SUBSTITUTE(INDEX($N$1:$W$1,IF(LARGE($N282:$W282,2)=MAX($N282:$W282),MATCH(MAX($N282:$W282),OFFSET($N282:$W282,0,MATCH(MAX($N282:$W282),$N282:$W282,0),1,10-MATCH(MAX($N282:$W282),$N282:$W282,0)),0)+MATCH(MAX($N282:$W282),$N282:$W282,0),MATCH(LARGE($N282:$W282,2),$N282:$W282,0))),"Score: ",""),Fields!$A$2:$A$50,0))))</f>
        <v/>
      </c>
      <c r="Z282" s="14" t="str">
        <f aca="false">IF(M282="","",IFERROR(INDEX('3 Hazed Questions'!$O$2:$O$23,MATCH(1,INDEX(('3 Hazed Questions'!$A$2:$A$23="Q5")*('3 Hazed Questions'!$C$2:$C$23=M282),0),0))&amp;"",""))</f>
        <v/>
      </c>
      <c r="AA282" s="18"/>
      <c r="AB282" s="18"/>
      <c r="AC282" s="19"/>
      <c r="AD282" s="19"/>
      <c r="AE282" s="18"/>
      <c r="AF282" s="18"/>
      <c r="AG282" s="18"/>
    </row>
    <row r="283" customFormat="false" ht="15" hidden="false" customHeight="false" outlineLevel="0" collapsed="false">
      <c r="A283" s="18"/>
      <c r="B283" s="19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4" t="str">
        <f aca="false">IF(COUNTA(I283:L283)=0,"",SUMIFS('3 Hazed Questions'!$E$2:$E$23,'3 Hazed Questions'!$A$2:$A$23,"Q1",'3 Hazed Questions'!$C$2:$C$23,I283)+SUMIFS('3 Hazed Questions'!$E$2:$E$23,'3 Hazed Questions'!$A$2:$A$23,"Q2",'3 Hazed Questions'!$C$2:$C$23,J283)+SUMIFS('3 Hazed Questions'!$E$2:$E$23,'3 Hazed Questions'!$A$2:$A$23,"Q3",'3 Hazed Questions'!$C$2:$C$23,K283)+SUMIFS('3 Hazed Questions'!$E$2:$E$23,'3 Hazed Questions'!$A$2:$A$23,"Q4",'3 Hazed Questions'!$C$2:$C$23,L283))</f>
        <v/>
      </c>
      <c r="O283" s="14" t="str">
        <f aca="false">IF(COUNTA(I283:L283)=0,"",SUMIFS('3 Hazed Questions'!$F$2:$F$23,'3 Hazed Questions'!$A$2:$A$23,"Q1",'3 Hazed Questions'!$C$2:$C$23,I283)+SUMIFS('3 Hazed Questions'!$F$2:$F$23,'3 Hazed Questions'!$A$2:$A$23,"Q2",'3 Hazed Questions'!$C$2:$C$23,J283)+SUMIFS('3 Hazed Questions'!$F$2:$F$23,'3 Hazed Questions'!$A$2:$A$23,"Q3",'3 Hazed Questions'!$C$2:$C$23,K283)+SUMIFS('3 Hazed Questions'!$F$2:$F$23,'3 Hazed Questions'!$A$2:$A$23,"Q4",'3 Hazed Questions'!$C$2:$C$23,L283))</f>
        <v/>
      </c>
      <c r="P283" s="14" t="str">
        <f aca="false">IF(COUNTA(I283:L283)=0,"",SUMIFS('3 Hazed Questions'!$G$2:$G$23,'3 Hazed Questions'!$A$2:$A$23,"Q1",'3 Hazed Questions'!$C$2:$C$23,I283)+SUMIFS('3 Hazed Questions'!$G$2:$G$23,'3 Hazed Questions'!$A$2:$A$23,"Q2",'3 Hazed Questions'!$C$2:$C$23,J283)+SUMIFS('3 Hazed Questions'!$G$2:$G$23,'3 Hazed Questions'!$A$2:$A$23,"Q3",'3 Hazed Questions'!$C$2:$C$23,K283)+SUMIFS('3 Hazed Questions'!$G$2:$G$23,'3 Hazed Questions'!$A$2:$A$23,"Q4",'3 Hazed Questions'!$C$2:$C$23,L283))</f>
        <v/>
      </c>
      <c r="Q283" s="14" t="str">
        <f aca="false">IF(COUNTA(I283:L283)=0,"",SUMIFS('3 Hazed Questions'!$H$2:$H$23,'3 Hazed Questions'!$A$2:$A$23,"Q1",'3 Hazed Questions'!$C$2:$C$23,I283)+SUMIFS('3 Hazed Questions'!$H$2:$H$23,'3 Hazed Questions'!$A$2:$A$23,"Q2",'3 Hazed Questions'!$C$2:$C$23,J283)+SUMIFS('3 Hazed Questions'!$H$2:$H$23,'3 Hazed Questions'!$A$2:$A$23,"Q3",'3 Hazed Questions'!$C$2:$C$23,K283)+SUMIFS('3 Hazed Questions'!$H$2:$H$23,'3 Hazed Questions'!$A$2:$A$23,"Q4",'3 Hazed Questions'!$C$2:$C$23,L283))</f>
        <v/>
      </c>
      <c r="R283" s="14" t="str">
        <f aca="false">IF(COUNTA(I283:L283)=0,"",SUMIFS('3 Hazed Questions'!$I$2:$I$23,'3 Hazed Questions'!$A$2:$A$23,"Q1",'3 Hazed Questions'!$C$2:$C$23,I283)+SUMIFS('3 Hazed Questions'!$I$2:$I$23,'3 Hazed Questions'!$A$2:$A$23,"Q2",'3 Hazed Questions'!$C$2:$C$23,J283)+SUMIFS('3 Hazed Questions'!$I$2:$I$23,'3 Hazed Questions'!$A$2:$A$23,"Q3",'3 Hazed Questions'!$C$2:$C$23,K283)+SUMIFS('3 Hazed Questions'!$I$2:$I$23,'3 Hazed Questions'!$A$2:$A$23,"Q4",'3 Hazed Questions'!$C$2:$C$23,L283))</f>
        <v/>
      </c>
      <c r="S283" s="14" t="str">
        <f aca="false">IF(COUNTA(I283:L283)=0,"",SUMIFS('3 Hazed Questions'!$J$2:$J$23,'3 Hazed Questions'!$A$2:$A$23,"Q1",'3 Hazed Questions'!$C$2:$C$23,I283)+SUMIFS('3 Hazed Questions'!$J$2:$J$23,'3 Hazed Questions'!$A$2:$A$23,"Q2",'3 Hazed Questions'!$C$2:$C$23,J283)+SUMIFS('3 Hazed Questions'!$J$2:$J$23,'3 Hazed Questions'!$A$2:$A$23,"Q3",'3 Hazed Questions'!$C$2:$C$23,K283)+SUMIFS('3 Hazed Questions'!$J$2:$J$23,'3 Hazed Questions'!$A$2:$A$23,"Q4",'3 Hazed Questions'!$C$2:$C$23,L283))</f>
        <v/>
      </c>
      <c r="T283" s="14" t="str">
        <f aca="false">IF(COUNTA(I283:L283)=0,"",SUMIFS('3 Hazed Questions'!$K$2:$K$23,'3 Hazed Questions'!$A$2:$A$23,"Q1",'3 Hazed Questions'!$C$2:$C$23,I283)+SUMIFS('3 Hazed Questions'!$K$2:$K$23,'3 Hazed Questions'!$A$2:$A$23,"Q2",'3 Hazed Questions'!$C$2:$C$23,J283)+SUMIFS('3 Hazed Questions'!$K$2:$K$23,'3 Hazed Questions'!$A$2:$A$23,"Q3",'3 Hazed Questions'!$C$2:$C$23,K283)+SUMIFS('3 Hazed Questions'!$K$2:$K$23,'3 Hazed Questions'!$A$2:$A$23,"Q4",'3 Hazed Questions'!$C$2:$C$23,L283))</f>
        <v/>
      </c>
      <c r="U283" s="14" t="str">
        <f aca="false">IF(COUNTA(I283:L283)=0,"",SUMIFS('3 Hazed Questions'!$L$2:$L$23,'3 Hazed Questions'!$A$2:$A$23,"Q1",'3 Hazed Questions'!$C$2:$C$23,I283)+SUMIFS('3 Hazed Questions'!$L$2:$L$23,'3 Hazed Questions'!$A$2:$A$23,"Q2",'3 Hazed Questions'!$C$2:$C$23,J283)+SUMIFS('3 Hazed Questions'!$L$2:$L$23,'3 Hazed Questions'!$A$2:$A$23,"Q3",'3 Hazed Questions'!$C$2:$C$23,K283)+SUMIFS('3 Hazed Questions'!$L$2:$L$23,'3 Hazed Questions'!$A$2:$A$23,"Q4",'3 Hazed Questions'!$C$2:$C$23,L283))</f>
        <v/>
      </c>
      <c r="V283" s="14" t="str">
        <f aca="false">IF(COUNTA(I283:L283)=0,"",SUMIFS('3 Hazed Questions'!$M$2:$M$23,'3 Hazed Questions'!$A$2:$A$23,"Q1",'3 Hazed Questions'!$C$2:$C$23,I283)+SUMIFS('3 Hazed Questions'!$M$2:$M$23,'3 Hazed Questions'!$A$2:$A$23,"Q2",'3 Hazed Questions'!$C$2:$C$23,J283)+SUMIFS('3 Hazed Questions'!$M$2:$M$23,'3 Hazed Questions'!$A$2:$A$23,"Q3",'3 Hazed Questions'!$C$2:$C$23,K283)+SUMIFS('3 Hazed Questions'!$M$2:$M$23,'3 Hazed Questions'!$A$2:$A$23,"Q4",'3 Hazed Questions'!$C$2:$C$23,L283))</f>
        <v/>
      </c>
      <c r="W283" s="14" t="str">
        <f aca="false">IF(COUNTA(I283:L283)=0,"",SUMIFS('3 Hazed Questions'!$N$2:$N$23,'3 Hazed Questions'!$A$2:$A$23,"Q1",'3 Hazed Questions'!$C$2:$C$23,I283)+SUMIFS('3 Hazed Questions'!$N$2:$N$23,'3 Hazed Questions'!$A$2:$A$23,"Q2",'3 Hazed Questions'!$C$2:$C$23,J283)+SUMIFS('3 Hazed Questions'!$N$2:$N$23,'3 Hazed Questions'!$A$2:$A$23,"Q3",'3 Hazed Questions'!$C$2:$C$23,K283)+SUMIFS('3 Hazed Questions'!$N$2:$N$23,'3 Hazed Questions'!$A$2:$A$23,"Q4",'3 Hazed Questions'!$C$2:$C$23,L283))</f>
        <v/>
      </c>
      <c r="X283" s="14" t="str">
        <f aca="false">IF(COUNTA(I283:L283)=0,"",INDEX(Fields!$B$2:$B$50,MATCH(SUBSTITUTE(INDEX($N$1:$W$1,MATCH(MAX($N283:$W283),$N283:$W283,0)),"Score: ",""),Fields!$A$2:$A$50,0)))</f>
        <v/>
      </c>
      <c r="Y283" s="14" t="str">
        <f aca="true">IF(COUNTA(I283:L283)=0,"",IF(LARGE($N283:$W283,2)=0,"-",INDEX(Fields!$B$2:$B$50,MATCH(SUBSTITUTE(INDEX($N$1:$W$1,IF(LARGE($N283:$W283,2)=MAX($N283:$W283),MATCH(MAX($N283:$W283),OFFSET($N283:$W283,0,MATCH(MAX($N283:$W283),$N283:$W283,0),1,10-MATCH(MAX($N283:$W283),$N283:$W283,0)),0)+MATCH(MAX($N283:$W283),$N283:$W283,0),MATCH(LARGE($N283:$W283,2),$N283:$W283,0))),"Score: ",""),Fields!$A$2:$A$50,0))))</f>
        <v/>
      </c>
      <c r="Z283" s="14" t="str">
        <f aca="false">IF(M283="","",IFERROR(INDEX('3 Hazed Questions'!$O$2:$O$23,MATCH(1,INDEX(('3 Hazed Questions'!$A$2:$A$23="Q5")*('3 Hazed Questions'!$C$2:$C$23=M283),0),0))&amp;"",""))</f>
        <v/>
      </c>
      <c r="AA283" s="18"/>
      <c r="AB283" s="18"/>
      <c r="AC283" s="19"/>
      <c r="AD283" s="19"/>
      <c r="AE283" s="18"/>
      <c r="AF283" s="18"/>
      <c r="AG283" s="18"/>
    </row>
    <row r="284" customFormat="false" ht="15" hidden="false" customHeight="false" outlineLevel="0" collapsed="false">
      <c r="A284" s="18"/>
      <c r="B284" s="19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4" t="str">
        <f aca="false">IF(COUNTA(I284:L284)=0,"",SUMIFS('3 Hazed Questions'!$E$2:$E$23,'3 Hazed Questions'!$A$2:$A$23,"Q1",'3 Hazed Questions'!$C$2:$C$23,I284)+SUMIFS('3 Hazed Questions'!$E$2:$E$23,'3 Hazed Questions'!$A$2:$A$23,"Q2",'3 Hazed Questions'!$C$2:$C$23,J284)+SUMIFS('3 Hazed Questions'!$E$2:$E$23,'3 Hazed Questions'!$A$2:$A$23,"Q3",'3 Hazed Questions'!$C$2:$C$23,K284)+SUMIFS('3 Hazed Questions'!$E$2:$E$23,'3 Hazed Questions'!$A$2:$A$23,"Q4",'3 Hazed Questions'!$C$2:$C$23,L284))</f>
        <v/>
      </c>
      <c r="O284" s="14" t="str">
        <f aca="false">IF(COUNTA(I284:L284)=0,"",SUMIFS('3 Hazed Questions'!$F$2:$F$23,'3 Hazed Questions'!$A$2:$A$23,"Q1",'3 Hazed Questions'!$C$2:$C$23,I284)+SUMIFS('3 Hazed Questions'!$F$2:$F$23,'3 Hazed Questions'!$A$2:$A$23,"Q2",'3 Hazed Questions'!$C$2:$C$23,J284)+SUMIFS('3 Hazed Questions'!$F$2:$F$23,'3 Hazed Questions'!$A$2:$A$23,"Q3",'3 Hazed Questions'!$C$2:$C$23,K284)+SUMIFS('3 Hazed Questions'!$F$2:$F$23,'3 Hazed Questions'!$A$2:$A$23,"Q4",'3 Hazed Questions'!$C$2:$C$23,L284))</f>
        <v/>
      </c>
      <c r="P284" s="14" t="str">
        <f aca="false">IF(COUNTA(I284:L284)=0,"",SUMIFS('3 Hazed Questions'!$G$2:$G$23,'3 Hazed Questions'!$A$2:$A$23,"Q1",'3 Hazed Questions'!$C$2:$C$23,I284)+SUMIFS('3 Hazed Questions'!$G$2:$G$23,'3 Hazed Questions'!$A$2:$A$23,"Q2",'3 Hazed Questions'!$C$2:$C$23,J284)+SUMIFS('3 Hazed Questions'!$G$2:$G$23,'3 Hazed Questions'!$A$2:$A$23,"Q3",'3 Hazed Questions'!$C$2:$C$23,K284)+SUMIFS('3 Hazed Questions'!$G$2:$G$23,'3 Hazed Questions'!$A$2:$A$23,"Q4",'3 Hazed Questions'!$C$2:$C$23,L284))</f>
        <v/>
      </c>
      <c r="Q284" s="14" t="str">
        <f aca="false">IF(COUNTA(I284:L284)=0,"",SUMIFS('3 Hazed Questions'!$H$2:$H$23,'3 Hazed Questions'!$A$2:$A$23,"Q1",'3 Hazed Questions'!$C$2:$C$23,I284)+SUMIFS('3 Hazed Questions'!$H$2:$H$23,'3 Hazed Questions'!$A$2:$A$23,"Q2",'3 Hazed Questions'!$C$2:$C$23,J284)+SUMIFS('3 Hazed Questions'!$H$2:$H$23,'3 Hazed Questions'!$A$2:$A$23,"Q3",'3 Hazed Questions'!$C$2:$C$23,K284)+SUMIFS('3 Hazed Questions'!$H$2:$H$23,'3 Hazed Questions'!$A$2:$A$23,"Q4",'3 Hazed Questions'!$C$2:$C$23,L284))</f>
        <v/>
      </c>
      <c r="R284" s="14" t="str">
        <f aca="false">IF(COUNTA(I284:L284)=0,"",SUMIFS('3 Hazed Questions'!$I$2:$I$23,'3 Hazed Questions'!$A$2:$A$23,"Q1",'3 Hazed Questions'!$C$2:$C$23,I284)+SUMIFS('3 Hazed Questions'!$I$2:$I$23,'3 Hazed Questions'!$A$2:$A$23,"Q2",'3 Hazed Questions'!$C$2:$C$23,J284)+SUMIFS('3 Hazed Questions'!$I$2:$I$23,'3 Hazed Questions'!$A$2:$A$23,"Q3",'3 Hazed Questions'!$C$2:$C$23,K284)+SUMIFS('3 Hazed Questions'!$I$2:$I$23,'3 Hazed Questions'!$A$2:$A$23,"Q4",'3 Hazed Questions'!$C$2:$C$23,L284))</f>
        <v/>
      </c>
      <c r="S284" s="14" t="str">
        <f aca="false">IF(COUNTA(I284:L284)=0,"",SUMIFS('3 Hazed Questions'!$J$2:$J$23,'3 Hazed Questions'!$A$2:$A$23,"Q1",'3 Hazed Questions'!$C$2:$C$23,I284)+SUMIFS('3 Hazed Questions'!$J$2:$J$23,'3 Hazed Questions'!$A$2:$A$23,"Q2",'3 Hazed Questions'!$C$2:$C$23,J284)+SUMIFS('3 Hazed Questions'!$J$2:$J$23,'3 Hazed Questions'!$A$2:$A$23,"Q3",'3 Hazed Questions'!$C$2:$C$23,K284)+SUMIFS('3 Hazed Questions'!$J$2:$J$23,'3 Hazed Questions'!$A$2:$A$23,"Q4",'3 Hazed Questions'!$C$2:$C$23,L284))</f>
        <v/>
      </c>
      <c r="T284" s="14" t="str">
        <f aca="false">IF(COUNTA(I284:L284)=0,"",SUMIFS('3 Hazed Questions'!$K$2:$K$23,'3 Hazed Questions'!$A$2:$A$23,"Q1",'3 Hazed Questions'!$C$2:$C$23,I284)+SUMIFS('3 Hazed Questions'!$K$2:$K$23,'3 Hazed Questions'!$A$2:$A$23,"Q2",'3 Hazed Questions'!$C$2:$C$23,J284)+SUMIFS('3 Hazed Questions'!$K$2:$K$23,'3 Hazed Questions'!$A$2:$A$23,"Q3",'3 Hazed Questions'!$C$2:$C$23,K284)+SUMIFS('3 Hazed Questions'!$K$2:$K$23,'3 Hazed Questions'!$A$2:$A$23,"Q4",'3 Hazed Questions'!$C$2:$C$23,L284))</f>
        <v/>
      </c>
      <c r="U284" s="14" t="str">
        <f aca="false">IF(COUNTA(I284:L284)=0,"",SUMIFS('3 Hazed Questions'!$L$2:$L$23,'3 Hazed Questions'!$A$2:$A$23,"Q1",'3 Hazed Questions'!$C$2:$C$23,I284)+SUMIFS('3 Hazed Questions'!$L$2:$L$23,'3 Hazed Questions'!$A$2:$A$23,"Q2",'3 Hazed Questions'!$C$2:$C$23,J284)+SUMIFS('3 Hazed Questions'!$L$2:$L$23,'3 Hazed Questions'!$A$2:$A$23,"Q3",'3 Hazed Questions'!$C$2:$C$23,K284)+SUMIFS('3 Hazed Questions'!$L$2:$L$23,'3 Hazed Questions'!$A$2:$A$23,"Q4",'3 Hazed Questions'!$C$2:$C$23,L284))</f>
        <v/>
      </c>
      <c r="V284" s="14" t="str">
        <f aca="false">IF(COUNTA(I284:L284)=0,"",SUMIFS('3 Hazed Questions'!$M$2:$M$23,'3 Hazed Questions'!$A$2:$A$23,"Q1",'3 Hazed Questions'!$C$2:$C$23,I284)+SUMIFS('3 Hazed Questions'!$M$2:$M$23,'3 Hazed Questions'!$A$2:$A$23,"Q2",'3 Hazed Questions'!$C$2:$C$23,J284)+SUMIFS('3 Hazed Questions'!$M$2:$M$23,'3 Hazed Questions'!$A$2:$A$23,"Q3",'3 Hazed Questions'!$C$2:$C$23,K284)+SUMIFS('3 Hazed Questions'!$M$2:$M$23,'3 Hazed Questions'!$A$2:$A$23,"Q4",'3 Hazed Questions'!$C$2:$C$23,L284))</f>
        <v/>
      </c>
      <c r="W284" s="14" t="str">
        <f aca="false">IF(COUNTA(I284:L284)=0,"",SUMIFS('3 Hazed Questions'!$N$2:$N$23,'3 Hazed Questions'!$A$2:$A$23,"Q1",'3 Hazed Questions'!$C$2:$C$23,I284)+SUMIFS('3 Hazed Questions'!$N$2:$N$23,'3 Hazed Questions'!$A$2:$A$23,"Q2",'3 Hazed Questions'!$C$2:$C$23,J284)+SUMIFS('3 Hazed Questions'!$N$2:$N$23,'3 Hazed Questions'!$A$2:$A$23,"Q3",'3 Hazed Questions'!$C$2:$C$23,K284)+SUMIFS('3 Hazed Questions'!$N$2:$N$23,'3 Hazed Questions'!$A$2:$A$23,"Q4",'3 Hazed Questions'!$C$2:$C$23,L284))</f>
        <v/>
      </c>
      <c r="X284" s="14" t="str">
        <f aca="false">IF(COUNTA(I284:L284)=0,"",INDEX(Fields!$B$2:$B$50,MATCH(SUBSTITUTE(INDEX($N$1:$W$1,MATCH(MAX($N284:$W284),$N284:$W284,0)),"Score: ",""),Fields!$A$2:$A$50,0)))</f>
        <v/>
      </c>
      <c r="Y284" s="14" t="str">
        <f aca="true">IF(COUNTA(I284:L284)=0,"",IF(LARGE($N284:$W284,2)=0,"-",INDEX(Fields!$B$2:$B$50,MATCH(SUBSTITUTE(INDEX($N$1:$W$1,IF(LARGE($N284:$W284,2)=MAX($N284:$W284),MATCH(MAX($N284:$W284),OFFSET($N284:$W284,0,MATCH(MAX($N284:$W284),$N284:$W284,0),1,10-MATCH(MAX($N284:$W284),$N284:$W284,0)),0)+MATCH(MAX($N284:$W284),$N284:$W284,0),MATCH(LARGE($N284:$W284,2),$N284:$W284,0))),"Score: ",""),Fields!$A$2:$A$50,0))))</f>
        <v/>
      </c>
      <c r="Z284" s="14" t="str">
        <f aca="false">IF(M284="","",IFERROR(INDEX('3 Hazed Questions'!$O$2:$O$23,MATCH(1,INDEX(('3 Hazed Questions'!$A$2:$A$23="Q5")*('3 Hazed Questions'!$C$2:$C$23=M284),0),0))&amp;"",""))</f>
        <v/>
      </c>
      <c r="AA284" s="18"/>
      <c r="AB284" s="18"/>
      <c r="AC284" s="19"/>
      <c r="AD284" s="19"/>
      <c r="AE284" s="18"/>
      <c r="AF284" s="18"/>
      <c r="AG284" s="18"/>
    </row>
    <row r="285" customFormat="false" ht="15" hidden="false" customHeight="false" outlineLevel="0" collapsed="false">
      <c r="A285" s="18"/>
      <c r="B285" s="19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4" t="str">
        <f aca="false">IF(COUNTA(I285:L285)=0,"",SUMIFS('3 Hazed Questions'!$E$2:$E$23,'3 Hazed Questions'!$A$2:$A$23,"Q1",'3 Hazed Questions'!$C$2:$C$23,I285)+SUMIFS('3 Hazed Questions'!$E$2:$E$23,'3 Hazed Questions'!$A$2:$A$23,"Q2",'3 Hazed Questions'!$C$2:$C$23,J285)+SUMIFS('3 Hazed Questions'!$E$2:$E$23,'3 Hazed Questions'!$A$2:$A$23,"Q3",'3 Hazed Questions'!$C$2:$C$23,K285)+SUMIFS('3 Hazed Questions'!$E$2:$E$23,'3 Hazed Questions'!$A$2:$A$23,"Q4",'3 Hazed Questions'!$C$2:$C$23,L285))</f>
        <v/>
      </c>
      <c r="O285" s="14" t="str">
        <f aca="false">IF(COUNTA(I285:L285)=0,"",SUMIFS('3 Hazed Questions'!$F$2:$F$23,'3 Hazed Questions'!$A$2:$A$23,"Q1",'3 Hazed Questions'!$C$2:$C$23,I285)+SUMIFS('3 Hazed Questions'!$F$2:$F$23,'3 Hazed Questions'!$A$2:$A$23,"Q2",'3 Hazed Questions'!$C$2:$C$23,J285)+SUMIFS('3 Hazed Questions'!$F$2:$F$23,'3 Hazed Questions'!$A$2:$A$23,"Q3",'3 Hazed Questions'!$C$2:$C$23,K285)+SUMIFS('3 Hazed Questions'!$F$2:$F$23,'3 Hazed Questions'!$A$2:$A$23,"Q4",'3 Hazed Questions'!$C$2:$C$23,L285))</f>
        <v/>
      </c>
      <c r="P285" s="14" t="str">
        <f aca="false">IF(COUNTA(I285:L285)=0,"",SUMIFS('3 Hazed Questions'!$G$2:$G$23,'3 Hazed Questions'!$A$2:$A$23,"Q1",'3 Hazed Questions'!$C$2:$C$23,I285)+SUMIFS('3 Hazed Questions'!$G$2:$G$23,'3 Hazed Questions'!$A$2:$A$23,"Q2",'3 Hazed Questions'!$C$2:$C$23,J285)+SUMIFS('3 Hazed Questions'!$G$2:$G$23,'3 Hazed Questions'!$A$2:$A$23,"Q3",'3 Hazed Questions'!$C$2:$C$23,K285)+SUMIFS('3 Hazed Questions'!$G$2:$G$23,'3 Hazed Questions'!$A$2:$A$23,"Q4",'3 Hazed Questions'!$C$2:$C$23,L285))</f>
        <v/>
      </c>
      <c r="Q285" s="14" t="str">
        <f aca="false">IF(COUNTA(I285:L285)=0,"",SUMIFS('3 Hazed Questions'!$H$2:$H$23,'3 Hazed Questions'!$A$2:$A$23,"Q1",'3 Hazed Questions'!$C$2:$C$23,I285)+SUMIFS('3 Hazed Questions'!$H$2:$H$23,'3 Hazed Questions'!$A$2:$A$23,"Q2",'3 Hazed Questions'!$C$2:$C$23,J285)+SUMIFS('3 Hazed Questions'!$H$2:$H$23,'3 Hazed Questions'!$A$2:$A$23,"Q3",'3 Hazed Questions'!$C$2:$C$23,K285)+SUMIFS('3 Hazed Questions'!$H$2:$H$23,'3 Hazed Questions'!$A$2:$A$23,"Q4",'3 Hazed Questions'!$C$2:$C$23,L285))</f>
        <v/>
      </c>
      <c r="R285" s="14" t="str">
        <f aca="false">IF(COUNTA(I285:L285)=0,"",SUMIFS('3 Hazed Questions'!$I$2:$I$23,'3 Hazed Questions'!$A$2:$A$23,"Q1",'3 Hazed Questions'!$C$2:$C$23,I285)+SUMIFS('3 Hazed Questions'!$I$2:$I$23,'3 Hazed Questions'!$A$2:$A$23,"Q2",'3 Hazed Questions'!$C$2:$C$23,J285)+SUMIFS('3 Hazed Questions'!$I$2:$I$23,'3 Hazed Questions'!$A$2:$A$23,"Q3",'3 Hazed Questions'!$C$2:$C$23,K285)+SUMIFS('3 Hazed Questions'!$I$2:$I$23,'3 Hazed Questions'!$A$2:$A$23,"Q4",'3 Hazed Questions'!$C$2:$C$23,L285))</f>
        <v/>
      </c>
      <c r="S285" s="14" t="str">
        <f aca="false">IF(COUNTA(I285:L285)=0,"",SUMIFS('3 Hazed Questions'!$J$2:$J$23,'3 Hazed Questions'!$A$2:$A$23,"Q1",'3 Hazed Questions'!$C$2:$C$23,I285)+SUMIFS('3 Hazed Questions'!$J$2:$J$23,'3 Hazed Questions'!$A$2:$A$23,"Q2",'3 Hazed Questions'!$C$2:$C$23,J285)+SUMIFS('3 Hazed Questions'!$J$2:$J$23,'3 Hazed Questions'!$A$2:$A$23,"Q3",'3 Hazed Questions'!$C$2:$C$23,K285)+SUMIFS('3 Hazed Questions'!$J$2:$J$23,'3 Hazed Questions'!$A$2:$A$23,"Q4",'3 Hazed Questions'!$C$2:$C$23,L285))</f>
        <v/>
      </c>
      <c r="T285" s="14" t="str">
        <f aca="false">IF(COUNTA(I285:L285)=0,"",SUMIFS('3 Hazed Questions'!$K$2:$K$23,'3 Hazed Questions'!$A$2:$A$23,"Q1",'3 Hazed Questions'!$C$2:$C$23,I285)+SUMIFS('3 Hazed Questions'!$K$2:$K$23,'3 Hazed Questions'!$A$2:$A$23,"Q2",'3 Hazed Questions'!$C$2:$C$23,J285)+SUMIFS('3 Hazed Questions'!$K$2:$K$23,'3 Hazed Questions'!$A$2:$A$23,"Q3",'3 Hazed Questions'!$C$2:$C$23,K285)+SUMIFS('3 Hazed Questions'!$K$2:$K$23,'3 Hazed Questions'!$A$2:$A$23,"Q4",'3 Hazed Questions'!$C$2:$C$23,L285))</f>
        <v/>
      </c>
      <c r="U285" s="14" t="str">
        <f aca="false">IF(COUNTA(I285:L285)=0,"",SUMIFS('3 Hazed Questions'!$L$2:$L$23,'3 Hazed Questions'!$A$2:$A$23,"Q1",'3 Hazed Questions'!$C$2:$C$23,I285)+SUMIFS('3 Hazed Questions'!$L$2:$L$23,'3 Hazed Questions'!$A$2:$A$23,"Q2",'3 Hazed Questions'!$C$2:$C$23,J285)+SUMIFS('3 Hazed Questions'!$L$2:$L$23,'3 Hazed Questions'!$A$2:$A$23,"Q3",'3 Hazed Questions'!$C$2:$C$23,K285)+SUMIFS('3 Hazed Questions'!$L$2:$L$23,'3 Hazed Questions'!$A$2:$A$23,"Q4",'3 Hazed Questions'!$C$2:$C$23,L285))</f>
        <v/>
      </c>
      <c r="V285" s="14" t="str">
        <f aca="false">IF(COUNTA(I285:L285)=0,"",SUMIFS('3 Hazed Questions'!$M$2:$M$23,'3 Hazed Questions'!$A$2:$A$23,"Q1",'3 Hazed Questions'!$C$2:$C$23,I285)+SUMIFS('3 Hazed Questions'!$M$2:$M$23,'3 Hazed Questions'!$A$2:$A$23,"Q2",'3 Hazed Questions'!$C$2:$C$23,J285)+SUMIFS('3 Hazed Questions'!$M$2:$M$23,'3 Hazed Questions'!$A$2:$A$23,"Q3",'3 Hazed Questions'!$C$2:$C$23,K285)+SUMIFS('3 Hazed Questions'!$M$2:$M$23,'3 Hazed Questions'!$A$2:$A$23,"Q4",'3 Hazed Questions'!$C$2:$C$23,L285))</f>
        <v/>
      </c>
      <c r="W285" s="14" t="str">
        <f aca="false">IF(COUNTA(I285:L285)=0,"",SUMIFS('3 Hazed Questions'!$N$2:$N$23,'3 Hazed Questions'!$A$2:$A$23,"Q1",'3 Hazed Questions'!$C$2:$C$23,I285)+SUMIFS('3 Hazed Questions'!$N$2:$N$23,'3 Hazed Questions'!$A$2:$A$23,"Q2",'3 Hazed Questions'!$C$2:$C$23,J285)+SUMIFS('3 Hazed Questions'!$N$2:$N$23,'3 Hazed Questions'!$A$2:$A$23,"Q3",'3 Hazed Questions'!$C$2:$C$23,K285)+SUMIFS('3 Hazed Questions'!$N$2:$N$23,'3 Hazed Questions'!$A$2:$A$23,"Q4",'3 Hazed Questions'!$C$2:$C$23,L285))</f>
        <v/>
      </c>
      <c r="X285" s="14" t="str">
        <f aca="false">IF(COUNTA(I285:L285)=0,"",INDEX(Fields!$B$2:$B$50,MATCH(SUBSTITUTE(INDEX($N$1:$W$1,MATCH(MAX($N285:$W285),$N285:$W285,0)),"Score: ",""),Fields!$A$2:$A$50,0)))</f>
        <v/>
      </c>
      <c r="Y285" s="14" t="str">
        <f aca="true">IF(COUNTA(I285:L285)=0,"",IF(LARGE($N285:$W285,2)=0,"-",INDEX(Fields!$B$2:$B$50,MATCH(SUBSTITUTE(INDEX($N$1:$W$1,IF(LARGE($N285:$W285,2)=MAX($N285:$W285),MATCH(MAX($N285:$W285),OFFSET($N285:$W285,0,MATCH(MAX($N285:$W285),$N285:$W285,0),1,10-MATCH(MAX($N285:$W285),$N285:$W285,0)),0)+MATCH(MAX($N285:$W285),$N285:$W285,0),MATCH(LARGE($N285:$W285,2),$N285:$W285,0))),"Score: ",""),Fields!$A$2:$A$50,0))))</f>
        <v/>
      </c>
      <c r="Z285" s="14" t="str">
        <f aca="false">IF(M285="","",IFERROR(INDEX('3 Hazed Questions'!$O$2:$O$23,MATCH(1,INDEX(('3 Hazed Questions'!$A$2:$A$23="Q5")*('3 Hazed Questions'!$C$2:$C$23=M285),0),0))&amp;"",""))</f>
        <v/>
      </c>
      <c r="AA285" s="18"/>
      <c r="AB285" s="18"/>
      <c r="AC285" s="19"/>
      <c r="AD285" s="19"/>
      <c r="AE285" s="18"/>
      <c r="AF285" s="18"/>
      <c r="AG285" s="18"/>
    </row>
    <row r="286" customFormat="false" ht="15" hidden="false" customHeight="false" outlineLevel="0" collapsed="false">
      <c r="A286" s="18"/>
      <c r="B286" s="19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4" t="str">
        <f aca="false">IF(COUNTA(I286:L286)=0,"",SUMIFS('3 Hazed Questions'!$E$2:$E$23,'3 Hazed Questions'!$A$2:$A$23,"Q1",'3 Hazed Questions'!$C$2:$C$23,I286)+SUMIFS('3 Hazed Questions'!$E$2:$E$23,'3 Hazed Questions'!$A$2:$A$23,"Q2",'3 Hazed Questions'!$C$2:$C$23,J286)+SUMIFS('3 Hazed Questions'!$E$2:$E$23,'3 Hazed Questions'!$A$2:$A$23,"Q3",'3 Hazed Questions'!$C$2:$C$23,K286)+SUMIFS('3 Hazed Questions'!$E$2:$E$23,'3 Hazed Questions'!$A$2:$A$23,"Q4",'3 Hazed Questions'!$C$2:$C$23,L286))</f>
        <v/>
      </c>
      <c r="O286" s="14" t="str">
        <f aca="false">IF(COUNTA(I286:L286)=0,"",SUMIFS('3 Hazed Questions'!$F$2:$F$23,'3 Hazed Questions'!$A$2:$A$23,"Q1",'3 Hazed Questions'!$C$2:$C$23,I286)+SUMIFS('3 Hazed Questions'!$F$2:$F$23,'3 Hazed Questions'!$A$2:$A$23,"Q2",'3 Hazed Questions'!$C$2:$C$23,J286)+SUMIFS('3 Hazed Questions'!$F$2:$F$23,'3 Hazed Questions'!$A$2:$A$23,"Q3",'3 Hazed Questions'!$C$2:$C$23,K286)+SUMIFS('3 Hazed Questions'!$F$2:$F$23,'3 Hazed Questions'!$A$2:$A$23,"Q4",'3 Hazed Questions'!$C$2:$C$23,L286))</f>
        <v/>
      </c>
      <c r="P286" s="14" t="str">
        <f aca="false">IF(COUNTA(I286:L286)=0,"",SUMIFS('3 Hazed Questions'!$G$2:$G$23,'3 Hazed Questions'!$A$2:$A$23,"Q1",'3 Hazed Questions'!$C$2:$C$23,I286)+SUMIFS('3 Hazed Questions'!$G$2:$G$23,'3 Hazed Questions'!$A$2:$A$23,"Q2",'3 Hazed Questions'!$C$2:$C$23,J286)+SUMIFS('3 Hazed Questions'!$G$2:$G$23,'3 Hazed Questions'!$A$2:$A$23,"Q3",'3 Hazed Questions'!$C$2:$C$23,K286)+SUMIFS('3 Hazed Questions'!$G$2:$G$23,'3 Hazed Questions'!$A$2:$A$23,"Q4",'3 Hazed Questions'!$C$2:$C$23,L286))</f>
        <v/>
      </c>
      <c r="Q286" s="14" t="str">
        <f aca="false">IF(COUNTA(I286:L286)=0,"",SUMIFS('3 Hazed Questions'!$H$2:$H$23,'3 Hazed Questions'!$A$2:$A$23,"Q1",'3 Hazed Questions'!$C$2:$C$23,I286)+SUMIFS('3 Hazed Questions'!$H$2:$H$23,'3 Hazed Questions'!$A$2:$A$23,"Q2",'3 Hazed Questions'!$C$2:$C$23,J286)+SUMIFS('3 Hazed Questions'!$H$2:$H$23,'3 Hazed Questions'!$A$2:$A$23,"Q3",'3 Hazed Questions'!$C$2:$C$23,K286)+SUMIFS('3 Hazed Questions'!$H$2:$H$23,'3 Hazed Questions'!$A$2:$A$23,"Q4",'3 Hazed Questions'!$C$2:$C$23,L286))</f>
        <v/>
      </c>
      <c r="R286" s="14" t="str">
        <f aca="false">IF(COUNTA(I286:L286)=0,"",SUMIFS('3 Hazed Questions'!$I$2:$I$23,'3 Hazed Questions'!$A$2:$A$23,"Q1",'3 Hazed Questions'!$C$2:$C$23,I286)+SUMIFS('3 Hazed Questions'!$I$2:$I$23,'3 Hazed Questions'!$A$2:$A$23,"Q2",'3 Hazed Questions'!$C$2:$C$23,J286)+SUMIFS('3 Hazed Questions'!$I$2:$I$23,'3 Hazed Questions'!$A$2:$A$23,"Q3",'3 Hazed Questions'!$C$2:$C$23,K286)+SUMIFS('3 Hazed Questions'!$I$2:$I$23,'3 Hazed Questions'!$A$2:$A$23,"Q4",'3 Hazed Questions'!$C$2:$C$23,L286))</f>
        <v/>
      </c>
      <c r="S286" s="14" t="str">
        <f aca="false">IF(COUNTA(I286:L286)=0,"",SUMIFS('3 Hazed Questions'!$J$2:$J$23,'3 Hazed Questions'!$A$2:$A$23,"Q1",'3 Hazed Questions'!$C$2:$C$23,I286)+SUMIFS('3 Hazed Questions'!$J$2:$J$23,'3 Hazed Questions'!$A$2:$A$23,"Q2",'3 Hazed Questions'!$C$2:$C$23,J286)+SUMIFS('3 Hazed Questions'!$J$2:$J$23,'3 Hazed Questions'!$A$2:$A$23,"Q3",'3 Hazed Questions'!$C$2:$C$23,K286)+SUMIFS('3 Hazed Questions'!$J$2:$J$23,'3 Hazed Questions'!$A$2:$A$23,"Q4",'3 Hazed Questions'!$C$2:$C$23,L286))</f>
        <v/>
      </c>
      <c r="T286" s="14" t="str">
        <f aca="false">IF(COUNTA(I286:L286)=0,"",SUMIFS('3 Hazed Questions'!$K$2:$K$23,'3 Hazed Questions'!$A$2:$A$23,"Q1",'3 Hazed Questions'!$C$2:$C$23,I286)+SUMIFS('3 Hazed Questions'!$K$2:$K$23,'3 Hazed Questions'!$A$2:$A$23,"Q2",'3 Hazed Questions'!$C$2:$C$23,J286)+SUMIFS('3 Hazed Questions'!$K$2:$K$23,'3 Hazed Questions'!$A$2:$A$23,"Q3",'3 Hazed Questions'!$C$2:$C$23,K286)+SUMIFS('3 Hazed Questions'!$K$2:$K$23,'3 Hazed Questions'!$A$2:$A$23,"Q4",'3 Hazed Questions'!$C$2:$C$23,L286))</f>
        <v/>
      </c>
      <c r="U286" s="14" t="str">
        <f aca="false">IF(COUNTA(I286:L286)=0,"",SUMIFS('3 Hazed Questions'!$L$2:$L$23,'3 Hazed Questions'!$A$2:$A$23,"Q1",'3 Hazed Questions'!$C$2:$C$23,I286)+SUMIFS('3 Hazed Questions'!$L$2:$L$23,'3 Hazed Questions'!$A$2:$A$23,"Q2",'3 Hazed Questions'!$C$2:$C$23,J286)+SUMIFS('3 Hazed Questions'!$L$2:$L$23,'3 Hazed Questions'!$A$2:$A$23,"Q3",'3 Hazed Questions'!$C$2:$C$23,K286)+SUMIFS('3 Hazed Questions'!$L$2:$L$23,'3 Hazed Questions'!$A$2:$A$23,"Q4",'3 Hazed Questions'!$C$2:$C$23,L286))</f>
        <v/>
      </c>
      <c r="V286" s="14" t="str">
        <f aca="false">IF(COUNTA(I286:L286)=0,"",SUMIFS('3 Hazed Questions'!$M$2:$M$23,'3 Hazed Questions'!$A$2:$A$23,"Q1",'3 Hazed Questions'!$C$2:$C$23,I286)+SUMIFS('3 Hazed Questions'!$M$2:$M$23,'3 Hazed Questions'!$A$2:$A$23,"Q2",'3 Hazed Questions'!$C$2:$C$23,J286)+SUMIFS('3 Hazed Questions'!$M$2:$M$23,'3 Hazed Questions'!$A$2:$A$23,"Q3",'3 Hazed Questions'!$C$2:$C$23,K286)+SUMIFS('3 Hazed Questions'!$M$2:$M$23,'3 Hazed Questions'!$A$2:$A$23,"Q4",'3 Hazed Questions'!$C$2:$C$23,L286))</f>
        <v/>
      </c>
      <c r="W286" s="14" t="str">
        <f aca="false">IF(COUNTA(I286:L286)=0,"",SUMIFS('3 Hazed Questions'!$N$2:$N$23,'3 Hazed Questions'!$A$2:$A$23,"Q1",'3 Hazed Questions'!$C$2:$C$23,I286)+SUMIFS('3 Hazed Questions'!$N$2:$N$23,'3 Hazed Questions'!$A$2:$A$23,"Q2",'3 Hazed Questions'!$C$2:$C$23,J286)+SUMIFS('3 Hazed Questions'!$N$2:$N$23,'3 Hazed Questions'!$A$2:$A$23,"Q3",'3 Hazed Questions'!$C$2:$C$23,K286)+SUMIFS('3 Hazed Questions'!$N$2:$N$23,'3 Hazed Questions'!$A$2:$A$23,"Q4",'3 Hazed Questions'!$C$2:$C$23,L286))</f>
        <v/>
      </c>
      <c r="X286" s="14" t="str">
        <f aca="false">IF(COUNTA(I286:L286)=0,"",INDEX(Fields!$B$2:$B$50,MATCH(SUBSTITUTE(INDEX($N$1:$W$1,MATCH(MAX($N286:$W286),$N286:$W286,0)),"Score: ",""),Fields!$A$2:$A$50,0)))</f>
        <v/>
      </c>
      <c r="Y286" s="14" t="str">
        <f aca="true">IF(COUNTA(I286:L286)=0,"",IF(LARGE($N286:$W286,2)=0,"-",INDEX(Fields!$B$2:$B$50,MATCH(SUBSTITUTE(INDEX($N$1:$W$1,IF(LARGE($N286:$W286,2)=MAX($N286:$W286),MATCH(MAX($N286:$W286),OFFSET($N286:$W286,0,MATCH(MAX($N286:$W286),$N286:$W286,0),1,10-MATCH(MAX($N286:$W286),$N286:$W286,0)),0)+MATCH(MAX($N286:$W286),$N286:$W286,0),MATCH(LARGE($N286:$W286,2),$N286:$W286,0))),"Score: ",""),Fields!$A$2:$A$50,0))))</f>
        <v/>
      </c>
      <c r="Z286" s="14" t="str">
        <f aca="false">IF(M286="","",IFERROR(INDEX('3 Hazed Questions'!$O$2:$O$23,MATCH(1,INDEX(('3 Hazed Questions'!$A$2:$A$23="Q5")*('3 Hazed Questions'!$C$2:$C$23=M286),0),0))&amp;"",""))</f>
        <v/>
      </c>
      <c r="AA286" s="18"/>
      <c r="AB286" s="18"/>
      <c r="AC286" s="19"/>
      <c r="AD286" s="19"/>
      <c r="AE286" s="18"/>
      <c r="AF286" s="18"/>
      <c r="AG286" s="18"/>
    </row>
    <row r="287" customFormat="false" ht="15" hidden="false" customHeight="false" outlineLevel="0" collapsed="false">
      <c r="A287" s="18"/>
      <c r="B287" s="19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4" t="str">
        <f aca="false">IF(COUNTA(I287:L287)=0,"",SUMIFS('3 Hazed Questions'!$E$2:$E$23,'3 Hazed Questions'!$A$2:$A$23,"Q1",'3 Hazed Questions'!$C$2:$C$23,I287)+SUMIFS('3 Hazed Questions'!$E$2:$E$23,'3 Hazed Questions'!$A$2:$A$23,"Q2",'3 Hazed Questions'!$C$2:$C$23,J287)+SUMIFS('3 Hazed Questions'!$E$2:$E$23,'3 Hazed Questions'!$A$2:$A$23,"Q3",'3 Hazed Questions'!$C$2:$C$23,K287)+SUMIFS('3 Hazed Questions'!$E$2:$E$23,'3 Hazed Questions'!$A$2:$A$23,"Q4",'3 Hazed Questions'!$C$2:$C$23,L287))</f>
        <v/>
      </c>
      <c r="O287" s="14" t="str">
        <f aca="false">IF(COUNTA(I287:L287)=0,"",SUMIFS('3 Hazed Questions'!$F$2:$F$23,'3 Hazed Questions'!$A$2:$A$23,"Q1",'3 Hazed Questions'!$C$2:$C$23,I287)+SUMIFS('3 Hazed Questions'!$F$2:$F$23,'3 Hazed Questions'!$A$2:$A$23,"Q2",'3 Hazed Questions'!$C$2:$C$23,J287)+SUMIFS('3 Hazed Questions'!$F$2:$F$23,'3 Hazed Questions'!$A$2:$A$23,"Q3",'3 Hazed Questions'!$C$2:$C$23,K287)+SUMIFS('3 Hazed Questions'!$F$2:$F$23,'3 Hazed Questions'!$A$2:$A$23,"Q4",'3 Hazed Questions'!$C$2:$C$23,L287))</f>
        <v/>
      </c>
      <c r="P287" s="14" t="str">
        <f aca="false">IF(COUNTA(I287:L287)=0,"",SUMIFS('3 Hazed Questions'!$G$2:$G$23,'3 Hazed Questions'!$A$2:$A$23,"Q1",'3 Hazed Questions'!$C$2:$C$23,I287)+SUMIFS('3 Hazed Questions'!$G$2:$G$23,'3 Hazed Questions'!$A$2:$A$23,"Q2",'3 Hazed Questions'!$C$2:$C$23,J287)+SUMIFS('3 Hazed Questions'!$G$2:$G$23,'3 Hazed Questions'!$A$2:$A$23,"Q3",'3 Hazed Questions'!$C$2:$C$23,K287)+SUMIFS('3 Hazed Questions'!$G$2:$G$23,'3 Hazed Questions'!$A$2:$A$23,"Q4",'3 Hazed Questions'!$C$2:$C$23,L287))</f>
        <v/>
      </c>
      <c r="Q287" s="14" t="str">
        <f aca="false">IF(COUNTA(I287:L287)=0,"",SUMIFS('3 Hazed Questions'!$H$2:$H$23,'3 Hazed Questions'!$A$2:$A$23,"Q1",'3 Hazed Questions'!$C$2:$C$23,I287)+SUMIFS('3 Hazed Questions'!$H$2:$H$23,'3 Hazed Questions'!$A$2:$A$23,"Q2",'3 Hazed Questions'!$C$2:$C$23,J287)+SUMIFS('3 Hazed Questions'!$H$2:$H$23,'3 Hazed Questions'!$A$2:$A$23,"Q3",'3 Hazed Questions'!$C$2:$C$23,K287)+SUMIFS('3 Hazed Questions'!$H$2:$H$23,'3 Hazed Questions'!$A$2:$A$23,"Q4",'3 Hazed Questions'!$C$2:$C$23,L287))</f>
        <v/>
      </c>
      <c r="R287" s="14" t="str">
        <f aca="false">IF(COUNTA(I287:L287)=0,"",SUMIFS('3 Hazed Questions'!$I$2:$I$23,'3 Hazed Questions'!$A$2:$A$23,"Q1",'3 Hazed Questions'!$C$2:$C$23,I287)+SUMIFS('3 Hazed Questions'!$I$2:$I$23,'3 Hazed Questions'!$A$2:$A$23,"Q2",'3 Hazed Questions'!$C$2:$C$23,J287)+SUMIFS('3 Hazed Questions'!$I$2:$I$23,'3 Hazed Questions'!$A$2:$A$23,"Q3",'3 Hazed Questions'!$C$2:$C$23,K287)+SUMIFS('3 Hazed Questions'!$I$2:$I$23,'3 Hazed Questions'!$A$2:$A$23,"Q4",'3 Hazed Questions'!$C$2:$C$23,L287))</f>
        <v/>
      </c>
      <c r="S287" s="14" t="str">
        <f aca="false">IF(COUNTA(I287:L287)=0,"",SUMIFS('3 Hazed Questions'!$J$2:$J$23,'3 Hazed Questions'!$A$2:$A$23,"Q1",'3 Hazed Questions'!$C$2:$C$23,I287)+SUMIFS('3 Hazed Questions'!$J$2:$J$23,'3 Hazed Questions'!$A$2:$A$23,"Q2",'3 Hazed Questions'!$C$2:$C$23,J287)+SUMIFS('3 Hazed Questions'!$J$2:$J$23,'3 Hazed Questions'!$A$2:$A$23,"Q3",'3 Hazed Questions'!$C$2:$C$23,K287)+SUMIFS('3 Hazed Questions'!$J$2:$J$23,'3 Hazed Questions'!$A$2:$A$23,"Q4",'3 Hazed Questions'!$C$2:$C$23,L287))</f>
        <v/>
      </c>
      <c r="T287" s="14" t="str">
        <f aca="false">IF(COUNTA(I287:L287)=0,"",SUMIFS('3 Hazed Questions'!$K$2:$K$23,'3 Hazed Questions'!$A$2:$A$23,"Q1",'3 Hazed Questions'!$C$2:$C$23,I287)+SUMIFS('3 Hazed Questions'!$K$2:$K$23,'3 Hazed Questions'!$A$2:$A$23,"Q2",'3 Hazed Questions'!$C$2:$C$23,J287)+SUMIFS('3 Hazed Questions'!$K$2:$K$23,'3 Hazed Questions'!$A$2:$A$23,"Q3",'3 Hazed Questions'!$C$2:$C$23,K287)+SUMIFS('3 Hazed Questions'!$K$2:$K$23,'3 Hazed Questions'!$A$2:$A$23,"Q4",'3 Hazed Questions'!$C$2:$C$23,L287))</f>
        <v/>
      </c>
      <c r="U287" s="14" t="str">
        <f aca="false">IF(COUNTA(I287:L287)=0,"",SUMIFS('3 Hazed Questions'!$L$2:$L$23,'3 Hazed Questions'!$A$2:$A$23,"Q1",'3 Hazed Questions'!$C$2:$C$23,I287)+SUMIFS('3 Hazed Questions'!$L$2:$L$23,'3 Hazed Questions'!$A$2:$A$23,"Q2",'3 Hazed Questions'!$C$2:$C$23,J287)+SUMIFS('3 Hazed Questions'!$L$2:$L$23,'3 Hazed Questions'!$A$2:$A$23,"Q3",'3 Hazed Questions'!$C$2:$C$23,K287)+SUMIFS('3 Hazed Questions'!$L$2:$L$23,'3 Hazed Questions'!$A$2:$A$23,"Q4",'3 Hazed Questions'!$C$2:$C$23,L287))</f>
        <v/>
      </c>
      <c r="V287" s="14" t="str">
        <f aca="false">IF(COUNTA(I287:L287)=0,"",SUMIFS('3 Hazed Questions'!$M$2:$M$23,'3 Hazed Questions'!$A$2:$A$23,"Q1",'3 Hazed Questions'!$C$2:$C$23,I287)+SUMIFS('3 Hazed Questions'!$M$2:$M$23,'3 Hazed Questions'!$A$2:$A$23,"Q2",'3 Hazed Questions'!$C$2:$C$23,J287)+SUMIFS('3 Hazed Questions'!$M$2:$M$23,'3 Hazed Questions'!$A$2:$A$23,"Q3",'3 Hazed Questions'!$C$2:$C$23,K287)+SUMIFS('3 Hazed Questions'!$M$2:$M$23,'3 Hazed Questions'!$A$2:$A$23,"Q4",'3 Hazed Questions'!$C$2:$C$23,L287))</f>
        <v/>
      </c>
      <c r="W287" s="14" t="str">
        <f aca="false">IF(COUNTA(I287:L287)=0,"",SUMIFS('3 Hazed Questions'!$N$2:$N$23,'3 Hazed Questions'!$A$2:$A$23,"Q1",'3 Hazed Questions'!$C$2:$C$23,I287)+SUMIFS('3 Hazed Questions'!$N$2:$N$23,'3 Hazed Questions'!$A$2:$A$23,"Q2",'3 Hazed Questions'!$C$2:$C$23,J287)+SUMIFS('3 Hazed Questions'!$N$2:$N$23,'3 Hazed Questions'!$A$2:$A$23,"Q3",'3 Hazed Questions'!$C$2:$C$23,K287)+SUMIFS('3 Hazed Questions'!$N$2:$N$23,'3 Hazed Questions'!$A$2:$A$23,"Q4",'3 Hazed Questions'!$C$2:$C$23,L287))</f>
        <v/>
      </c>
      <c r="X287" s="14" t="str">
        <f aca="false">IF(COUNTA(I287:L287)=0,"",INDEX(Fields!$B$2:$B$50,MATCH(SUBSTITUTE(INDEX($N$1:$W$1,MATCH(MAX($N287:$W287),$N287:$W287,0)),"Score: ",""),Fields!$A$2:$A$50,0)))</f>
        <v/>
      </c>
      <c r="Y287" s="14" t="str">
        <f aca="true">IF(COUNTA(I287:L287)=0,"",IF(LARGE($N287:$W287,2)=0,"-",INDEX(Fields!$B$2:$B$50,MATCH(SUBSTITUTE(INDEX($N$1:$W$1,IF(LARGE($N287:$W287,2)=MAX($N287:$W287),MATCH(MAX($N287:$W287),OFFSET($N287:$W287,0,MATCH(MAX($N287:$W287),$N287:$W287,0),1,10-MATCH(MAX($N287:$W287),$N287:$W287,0)),0)+MATCH(MAX($N287:$W287),$N287:$W287,0),MATCH(LARGE($N287:$W287,2),$N287:$W287,0))),"Score: ",""),Fields!$A$2:$A$50,0))))</f>
        <v/>
      </c>
      <c r="Z287" s="14" t="str">
        <f aca="false">IF(M287="","",IFERROR(INDEX('3 Hazed Questions'!$O$2:$O$23,MATCH(1,INDEX(('3 Hazed Questions'!$A$2:$A$23="Q5")*('3 Hazed Questions'!$C$2:$C$23=M287),0),0))&amp;"",""))</f>
        <v/>
      </c>
      <c r="AA287" s="18"/>
      <c r="AB287" s="18"/>
      <c r="AC287" s="19"/>
      <c r="AD287" s="19"/>
      <c r="AE287" s="18"/>
      <c r="AF287" s="18"/>
      <c r="AG287" s="18"/>
    </row>
    <row r="288" customFormat="false" ht="15" hidden="false" customHeight="false" outlineLevel="0" collapsed="false">
      <c r="A288" s="18"/>
      <c r="B288" s="19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4" t="str">
        <f aca="false">IF(COUNTA(I288:L288)=0,"",SUMIFS('3 Hazed Questions'!$E$2:$E$23,'3 Hazed Questions'!$A$2:$A$23,"Q1",'3 Hazed Questions'!$C$2:$C$23,I288)+SUMIFS('3 Hazed Questions'!$E$2:$E$23,'3 Hazed Questions'!$A$2:$A$23,"Q2",'3 Hazed Questions'!$C$2:$C$23,J288)+SUMIFS('3 Hazed Questions'!$E$2:$E$23,'3 Hazed Questions'!$A$2:$A$23,"Q3",'3 Hazed Questions'!$C$2:$C$23,K288)+SUMIFS('3 Hazed Questions'!$E$2:$E$23,'3 Hazed Questions'!$A$2:$A$23,"Q4",'3 Hazed Questions'!$C$2:$C$23,L288))</f>
        <v/>
      </c>
      <c r="O288" s="14" t="str">
        <f aca="false">IF(COUNTA(I288:L288)=0,"",SUMIFS('3 Hazed Questions'!$F$2:$F$23,'3 Hazed Questions'!$A$2:$A$23,"Q1",'3 Hazed Questions'!$C$2:$C$23,I288)+SUMIFS('3 Hazed Questions'!$F$2:$F$23,'3 Hazed Questions'!$A$2:$A$23,"Q2",'3 Hazed Questions'!$C$2:$C$23,J288)+SUMIFS('3 Hazed Questions'!$F$2:$F$23,'3 Hazed Questions'!$A$2:$A$23,"Q3",'3 Hazed Questions'!$C$2:$C$23,K288)+SUMIFS('3 Hazed Questions'!$F$2:$F$23,'3 Hazed Questions'!$A$2:$A$23,"Q4",'3 Hazed Questions'!$C$2:$C$23,L288))</f>
        <v/>
      </c>
      <c r="P288" s="14" t="str">
        <f aca="false">IF(COUNTA(I288:L288)=0,"",SUMIFS('3 Hazed Questions'!$G$2:$G$23,'3 Hazed Questions'!$A$2:$A$23,"Q1",'3 Hazed Questions'!$C$2:$C$23,I288)+SUMIFS('3 Hazed Questions'!$G$2:$G$23,'3 Hazed Questions'!$A$2:$A$23,"Q2",'3 Hazed Questions'!$C$2:$C$23,J288)+SUMIFS('3 Hazed Questions'!$G$2:$G$23,'3 Hazed Questions'!$A$2:$A$23,"Q3",'3 Hazed Questions'!$C$2:$C$23,K288)+SUMIFS('3 Hazed Questions'!$G$2:$G$23,'3 Hazed Questions'!$A$2:$A$23,"Q4",'3 Hazed Questions'!$C$2:$C$23,L288))</f>
        <v/>
      </c>
      <c r="Q288" s="14" t="str">
        <f aca="false">IF(COUNTA(I288:L288)=0,"",SUMIFS('3 Hazed Questions'!$H$2:$H$23,'3 Hazed Questions'!$A$2:$A$23,"Q1",'3 Hazed Questions'!$C$2:$C$23,I288)+SUMIFS('3 Hazed Questions'!$H$2:$H$23,'3 Hazed Questions'!$A$2:$A$23,"Q2",'3 Hazed Questions'!$C$2:$C$23,J288)+SUMIFS('3 Hazed Questions'!$H$2:$H$23,'3 Hazed Questions'!$A$2:$A$23,"Q3",'3 Hazed Questions'!$C$2:$C$23,K288)+SUMIFS('3 Hazed Questions'!$H$2:$H$23,'3 Hazed Questions'!$A$2:$A$23,"Q4",'3 Hazed Questions'!$C$2:$C$23,L288))</f>
        <v/>
      </c>
      <c r="R288" s="14" t="str">
        <f aca="false">IF(COUNTA(I288:L288)=0,"",SUMIFS('3 Hazed Questions'!$I$2:$I$23,'3 Hazed Questions'!$A$2:$A$23,"Q1",'3 Hazed Questions'!$C$2:$C$23,I288)+SUMIFS('3 Hazed Questions'!$I$2:$I$23,'3 Hazed Questions'!$A$2:$A$23,"Q2",'3 Hazed Questions'!$C$2:$C$23,J288)+SUMIFS('3 Hazed Questions'!$I$2:$I$23,'3 Hazed Questions'!$A$2:$A$23,"Q3",'3 Hazed Questions'!$C$2:$C$23,K288)+SUMIFS('3 Hazed Questions'!$I$2:$I$23,'3 Hazed Questions'!$A$2:$A$23,"Q4",'3 Hazed Questions'!$C$2:$C$23,L288))</f>
        <v/>
      </c>
      <c r="S288" s="14" t="str">
        <f aca="false">IF(COUNTA(I288:L288)=0,"",SUMIFS('3 Hazed Questions'!$J$2:$J$23,'3 Hazed Questions'!$A$2:$A$23,"Q1",'3 Hazed Questions'!$C$2:$C$23,I288)+SUMIFS('3 Hazed Questions'!$J$2:$J$23,'3 Hazed Questions'!$A$2:$A$23,"Q2",'3 Hazed Questions'!$C$2:$C$23,J288)+SUMIFS('3 Hazed Questions'!$J$2:$J$23,'3 Hazed Questions'!$A$2:$A$23,"Q3",'3 Hazed Questions'!$C$2:$C$23,K288)+SUMIFS('3 Hazed Questions'!$J$2:$J$23,'3 Hazed Questions'!$A$2:$A$23,"Q4",'3 Hazed Questions'!$C$2:$C$23,L288))</f>
        <v/>
      </c>
      <c r="T288" s="14" t="str">
        <f aca="false">IF(COUNTA(I288:L288)=0,"",SUMIFS('3 Hazed Questions'!$K$2:$K$23,'3 Hazed Questions'!$A$2:$A$23,"Q1",'3 Hazed Questions'!$C$2:$C$23,I288)+SUMIFS('3 Hazed Questions'!$K$2:$K$23,'3 Hazed Questions'!$A$2:$A$23,"Q2",'3 Hazed Questions'!$C$2:$C$23,J288)+SUMIFS('3 Hazed Questions'!$K$2:$K$23,'3 Hazed Questions'!$A$2:$A$23,"Q3",'3 Hazed Questions'!$C$2:$C$23,K288)+SUMIFS('3 Hazed Questions'!$K$2:$K$23,'3 Hazed Questions'!$A$2:$A$23,"Q4",'3 Hazed Questions'!$C$2:$C$23,L288))</f>
        <v/>
      </c>
      <c r="U288" s="14" t="str">
        <f aca="false">IF(COUNTA(I288:L288)=0,"",SUMIFS('3 Hazed Questions'!$L$2:$L$23,'3 Hazed Questions'!$A$2:$A$23,"Q1",'3 Hazed Questions'!$C$2:$C$23,I288)+SUMIFS('3 Hazed Questions'!$L$2:$L$23,'3 Hazed Questions'!$A$2:$A$23,"Q2",'3 Hazed Questions'!$C$2:$C$23,J288)+SUMIFS('3 Hazed Questions'!$L$2:$L$23,'3 Hazed Questions'!$A$2:$A$23,"Q3",'3 Hazed Questions'!$C$2:$C$23,K288)+SUMIFS('3 Hazed Questions'!$L$2:$L$23,'3 Hazed Questions'!$A$2:$A$23,"Q4",'3 Hazed Questions'!$C$2:$C$23,L288))</f>
        <v/>
      </c>
      <c r="V288" s="14" t="str">
        <f aca="false">IF(COUNTA(I288:L288)=0,"",SUMIFS('3 Hazed Questions'!$M$2:$M$23,'3 Hazed Questions'!$A$2:$A$23,"Q1",'3 Hazed Questions'!$C$2:$C$23,I288)+SUMIFS('3 Hazed Questions'!$M$2:$M$23,'3 Hazed Questions'!$A$2:$A$23,"Q2",'3 Hazed Questions'!$C$2:$C$23,J288)+SUMIFS('3 Hazed Questions'!$M$2:$M$23,'3 Hazed Questions'!$A$2:$A$23,"Q3",'3 Hazed Questions'!$C$2:$C$23,K288)+SUMIFS('3 Hazed Questions'!$M$2:$M$23,'3 Hazed Questions'!$A$2:$A$23,"Q4",'3 Hazed Questions'!$C$2:$C$23,L288))</f>
        <v/>
      </c>
      <c r="W288" s="14" t="str">
        <f aca="false">IF(COUNTA(I288:L288)=0,"",SUMIFS('3 Hazed Questions'!$N$2:$N$23,'3 Hazed Questions'!$A$2:$A$23,"Q1",'3 Hazed Questions'!$C$2:$C$23,I288)+SUMIFS('3 Hazed Questions'!$N$2:$N$23,'3 Hazed Questions'!$A$2:$A$23,"Q2",'3 Hazed Questions'!$C$2:$C$23,J288)+SUMIFS('3 Hazed Questions'!$N$2:$N$23,'3 Hazed Questions'!$A$2:$A$23,"Q3",'3 Hazed Questions'!$C$2:$C$23,K288)+SUMIFS('3 Hazed Questions'!$N$2:$N$23,'3 Hazed Questions'!$A$2:$A$23,"Q4",'3 Hazed Questions'!$C$2:$C$23,L288))</f>
        <v/>
      </c>
      <c r="X288" s="14" t="str">
        <f aca="false">IF(COUNTA(I288:L288)=0,"",INDEX(Fields!$B$2:$B$50,MATCH(SUBSTITUTE(INDEX($N$1:$W$1,MATCH(MAX($N288:$W288),$N288:$W288,0)),"Score: ",""),Fields!$A$2:$A$50,0)))</f>
        <v/>
      </c>
      <c r="Y288" s="14" t="str">
        <f aca="true">IF(COUNTA(I288:L288)=0,"",IF(LARGE($N288:$W288,2)=0,"-",INDEX(Fields!$B$2:$B$50,MATCH(SUBSTITUTE(INDEX($N$1:$W$1,IF(LARGE($N288:$W288,2)=MAX($N288:$W288),MATCH(MAX($N288:$W288),OFFSET($N288:$W288,0,MATCH(MAX($N288:$W288),$N288:$W288,0),1,10-MATCH(MAX($N288:$W288),$N288:$W288,0)),0)+MATCH(MAX($N288:$W288),$N288:$W288,0),MATCH(LARGE($N288:$W288,2),$N288:$W288,0))),"Score: ",""),Fields!$A$2:$A$50,0))))</f>
        <v/>
      </c>
      <c r="Z288" s="14" t="str">
        <f aca="false">IF(M288="","",IFERROR(INDEX('3 Hazed Questions'!$O$2:$O$23,MATCH(1,INDEX(('3 Hazed Questions'!$A$2:$A$23="Q5")*('3 Hazed Questions'!$C$2:$C$23=M288),0),0))&amp;"",""))</f>
        <v/>
      </c>
      <c r="AA288" s="18"/>
      <c r="AB288" s="18"/>
      <c r="AC288" s="19"/>
      <c r="AD288" s="19"/>
      <c r="AE288" s="18"/>
      <c r="AF288" s="18"/>
      <c r="AG288" s="18"/>
    </row>
    <row r="289" customFormat="false" ht="15" hidden="false" customHeight="false" outlineLevel="0" collapsed="false">
      <c r="A289" s="18"/>
      <c r="B289" s="19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4" t="str">
        <f aca="false">IF(COUNTA(I289:L289)=0,"",SUMIFS('3 Hazed Questions'!$E$2:$E$23,'3 Hazed Questions'!$A$2:$A$23,"Q1",'3 Hazed Questions'!$C$2:$C$23,I289)+SUMIFS('3 Hazed Questions'!$E$2:$E$23,'3 Hazed Questions'!$A$2:$A$23,"Q2",'3 Hazed Questions'!$C$2:$C$23,J289)+SUMIFS('3 Hazed Questions'!$E$2:$E$23,'3 Hazed Questions'!$A$2:$A$23,"Q3",'3 Hazed Questions'!$C$2:$C$23,K289)+SUMIFS('3 Hazed Questions'!$E$2:$E$23,'3 Hazed Questions'!$A$2:$A$23,"Q4",'3 Hazed Questions'!$C$2:$C$23,L289))</f>
        <v/>
      </c>
      <c r="O289" s="14" t="str">
        <f aca="false">IF(COUNTA(I289:L289)=0,"",SUMIFS('3 Hazed Questions'!$F$2:$F$23,'3 Hazed Questions'!$A$2:$A$23,"Q1",'3 Hazed Questions'!$C$2:$C$23,I289)+SUMIFS('3 Hazed Questions'!$F$2:$F$23,'3 Hazed Questions'!$A$2:$A$23,"Q2",'3 Hazed Questions'!$C$2:$C$23,J289)+SUMIFS('3 Hazed Questions'!$F$2:$F$23,'3 Hazed Questions'!$A$2:$A$23,"Q3",'3 Hazed Questions'!$C$2:$C$23,K289)+SUMIFS('3 Hazed Questions'!$F$2:$F$23,'3 Hazed Questions'!$A$2:$A$23,"Q4",'3 Hazed Questions'!$C$2:$C$23,L289))</f>
        <v/>
      </c>
      <c r="P289" s="14" t="str">
        <f aca="false">IF(COUNTA(I289:L289)=0,"",SUMIFS('3 Hazed Questions'!$G$2:$G$23,'3 Hazed Questions'!$A$2:$A$23,"Q1",'3 Hazed Questions'!$C$2:$C$23,I289)+SUMIFS('3 Hazed Questions'!$G$2:$G$23,'3 Hazed Questions'!$A$2:$A$23,"Q2",'3 Hazed Questions'!$C$2:$C$23,J289)+SUMIFS('3 Hazed Questions'!$G$2:$G$23,'3 Hazed Questions'!$A$2:$A$23,"Q3",'3 Hazed Questions'!$C$2:$C$23,K289)+SUMIFS('3 Hazed Questions'!$G$2:$G$23,'3 Hazed Questions'!$A$2:$A$23,"Q4",'3 Hazed Questions'!$C$2:$C$23,L289))</f>
        <v/>
      </c>
      <c r="Q289" s="14" t="str">
        <f aca="false">IF(COUNTA(I289:L289)=0,"",SUMIFS('3 Hazed Questions'!$H$2:$H$23,'3 Hazed Questions'!$A$2:$A$23,"Q1",'3 Hazed Questions'!$C$2:$C$23,I289)+SUMIFS('3 Hazed Questions'!$H$2:$H$23,'3 Hazed Questions'!$A$2:$A$23,"Q2",'3 Hazed Questions'!$C$2:$C$23,J289)+SUMIFS('3 Hazed Questions'!$H$2:$H$23,'3 Hazed Questions'!$A$2:$A$23,"Q3",'3 Hazed Questions'!$C$2:$C$23,K289)+SUMIFS('3 Hazed Questions'!$H$2:$H$23,'3 Hazed Questions'!$A$2:$A$23,"Q4",'3 Hazed Questions'!$C$2:$C$23,L289))</f>
        <v/>
      </c>
      <c r="R289" s="14" t="str">
        <f aca="false">IF(COUNTA(I289:L289)=0,"",SUMIFS('3 Hazed Questions'!$I$2:$I$23,'3 Hazed Questions'!$A$2:$A$23,"Q1",'3 Hazed Questions'!$C$2:$C$23,I289)+SUMIFS('3 Hazed Questions'!$I$2:$I$23,'3 Hazed Questions'!$A$2:$A$23,"Q2",'3 Hazed Questions'!$C$2:$C$23,J289)+SUMIFS('3 Hazed Questions'!$I$2:$I$23,'3 Hazed Questions'!$A$2:$A$23,"Q3",'3 Hazed Questions'!$C$2:$C$23,K289)+SUMIFS('3 Hazed Questions'!$I$2:$I$23,'3 Hazed Questions'!$A$2:$A$23,"Q4",'3 Hazed Questions'!$C$2:$C$23,L289))</f>
        <v/>
      </c>
      <c r="S289" s="14" t="str">
        <f aca="false">IF(COUNTA(I289:L289)=0,"",SUMIFS('3 Hazed Questions'!$J$2:$J$23,'3 Hazed Questions'!$A$2:$A$23,"Q1",'3 Hazed Questions'!$C$2:$C$23,I289)+SUMIFS('3 Hazed Questions'!$J$2:$J$23,'3 Hazed Questions'!$A$2:$A$23,"Q2",'3 Hazed Questions'!$C$2:$C$23,J289)+SUMIFS('3 Hazed Questions'!$J$2:$J$23,'3 Hazed Questions'!$A$2:$A$23,"Q3",'3 Hazed Questions'!$C$2:$C$23,K289)+SUMIFS('3 Hazed Questions'!$J$2:$J$23,'3 Hazed Questions'!$A$2:$A$23,"Q4",'3 Hazed Questions'!$C$2:$C$23,L289))</f>
        <v/>
      </c>
      <c r="T289" s="14" t="str">
        <f aca="false">IF(COUNTA(I289:L289)=0,"",SUMIFS('3 Hazed Questions'!$K$2:$K$23,'3 Hazed Questions'!$A$2:$A$23,"Q1",'3 Hazed Questions'!$C$2:$C$23,I289)+SUMIFS('3 Hazed Questions'!$K$2:$K$23,'3 Hazed Questions'!$A$2:$A$23,"Q2",'3 Hazed Questions'!$C$2:$C$23,J289)+SUMIFS('3 Hazed Questions'!$K$2:$K$23,'3 Hazed Questions'!$A$2:$A$23,"Q3",'3 Hazed Questions'!$C$2:$C$23,K289)+SUMIFS('3 Hazed Questions'!$K$2:$K$23,'3 Hazed Questions'!$A$2:$A$23,"Q4",'3 Hazed Questions'!$C$2:$C$23,L289))</f>
        <v/>
      </c>
      <c r="U289" s="14" t="str">
        <f aca="false">IF(COUNTA(I289:L289)=0,"",SUMIFS('3 Hazed Questions'!$L$2:$L$23,'3 Hazed Questions'!$A$2:$A$23,"Q1",'3 Hazed Questions'!$C$2:$C$23,I289)+SUMIFS('3 Hazed Questions'!$L$2:$L$23,'3 Hazed Questions'!$A$2:$A$23,"Q2",'3 Hazed Questions'!$C$2:$C$23,J289)+SUMIFS('3 Hazed Questions'!$L$2:$L$23,'3 Hazed Questions'!$A$2:$A$23,"Q3",'3 Hazed Questions'!$C$2:$C$23,K289)+SUMIFS('3 Hazed Questions'!$L$2:$L$23,'3 Hazed Questions'!$A$2:$A$23,"Q4",'3 Hazed Questions'!$C$2:$C$23,L289))</f>
        <v/>
      </c>
      <c r="V289" s="14" t="str">
        <f aca="false">IF(COUNTA(I289:L289)=0,"",SUMIFS('3 Hazed Questions'!$M$2:$M$23,'3 Hazed Questions'!$A$2:$A$23,"Q1",'3 Hazed Questions'!$C$2:$C$23,I289)+SUMIFS('3 Hazed Questions'!$M$2:$M$23,'3 Hazed Questions'!$A$2:$A$23,"Q2",'3 Hazed Questions'!$C$2:$C$23,J289)+SUMIFS('3 Hazed Questions'!$M$2:$M$23,'3 Hazed Questions'!$A$2:$A$23,"Q3",'3 Hazed Questions'!$C$2:$C$23,K289)+SUMIFS('3 Hazed Questions'!$M$2:$M$23,'3 Hazed Questions'!$A$2:$A$23,"Q4",'3 Hazed Questions'!$C$2:$C$23,L289))</f>
        <v/>
      </c>
      <c r="W289" s="14" t="str">
        <f aca="false">IF(COUNTA(I289:L289)=0,"",SUMIFS('3 Hazed Questions'!$N$2:$N$23,'3 Hazed Questions'!$A$2:$A$23,"Q1",'3 Hazed Questions'!$C$2:$C$23,I289)+SUMIFS('3 Hazed Questions'!$N$2:$N$23,'3 Hazed Questions'!$A$2:$A$23,"Q2",'3 Hazed Questions'!$C$2:$C$23,J289)+SUMIFS('3 Hazed Questions'!$N$2:$N$23,'3 Hazed Questions'!$A$2:$A$23,"Q3",'3 Hazed Questions'!$C$2:$C$23,K289)+SUMIFS('3 Hazed Questions'!$N$2:$N$23,'3 Hazed Questions'!$A$2:$A$23,"Q4",'3 Hazed Questions'!$C$2:$C$23,L289))</f>
        <v/>
      </c>
      <c r="X289" s="14" t="str">
        <f aca="false">IF(COUNTA(I289:L289)=0,"",INDEX(Fields!$B$2:$B$50,MATCH(SUBSTITUTE(INDEX($N$1:$W$1,MATCH(MAX($N289:$W289),$N289:$W289,0)),"Score: ",""),Fields!$A$2:$A$50,0)))</f>
        <v/>
      </c>
      <c r="Y289" s="14" t="str">
        <f aca="true">IF(COUNTA(I289:L289)=0,"",IF(LARGE($N289:$W289,2)=0,"-",INDEX(Fields!$B$2:$B$50,MATCH(SUBSTITUTE(INDEX($N$1:$W$1,IF(LARGE($N289:$W289,2)=MAX($N289:$W289),MATCH(MAX($N289:$W289),OFFSET($N289:$W289,0,MATCH(MAX($N289:$W289),$N289:$W289,0),1,10-MATCH(MAX($N289:$W289),$N289:$W289,0)),0)+MATCH(MAX($N289:$W289),$N289:$W289,0),MATCH(LARGE($N289:$W289,2),$N289:$W289,0))),"Score: ",""),Fields!$A$2:$A$50,0))))</f>
        <v/>
      </c>
      <c r="Z289" s="14" t="str">
        <f aca="false">IF(M289="","",IFERROR(INDEX('3 Hazed Questions'!$O$2:$O$23,MATCH(1,INDEX(('3 Hazed Questions'!$A$2:$A$23="Q5")*('3 Hazed Questions'!$C$2:$C$23=M289),0),0))&amp;"",""))</f>
        <v/>
      </c>
      <c r="AA289" s="18"/>
      <c r="AB289" s="18"/>
      <c r="AC289" s="19"/>
      <c r="AD289" s="19"/>
      <c r="AE289" s="18"/>
      <c r="AF289" s="18"/>
      <c r="AG289" s="18"/>
    </row>
    <row r="290" customFormat="false" ht="15" hidden="false" customHeight="false" outlineLevel="0" collapsed="false">
      <c r="A290" s="18"/>
      <c r="B290" s="19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4" t="str">
        <f aca="false">IF(COUNTA(I290:L290)=0,"",SUMIFS('3 Hazed Questions'!$E$2:$E$23,'3 Hazed Questions'!$A$2:$A$23,"Q1",'3 Hazed Questions'!$C$2:$C$23,I290)+SUMIFS('3 Hazed Questions'!$E$2:$E$23,'3 Hazed Questions'!$A$2:$A$23,"Q2",'3 Hazed Questions'!$C$2:$C$23,J290)+SUMIFS('3 Hazed Questions'!$E$2:$E$23,'3 Hazed Questions'!$A$2:$A$23,"Q3",'3 Hazed Questions'!$C$2:$C$23,K290)+SUMIFS('3 Hazed Questions'!$E$2:$E$23,'3 Hazed Questions'!$A$2:$A$23,"Q4",'3 Hazed Questions'!$C$2:$C$23,L290))</f>
        <v/>
      </c>
      <c r="O290" s="14" t="str">
        <f aca="false">IF(COUNTA(I290:L290)=0,"",SUMIFS('3 Hazed Questions'!$F$2:$F$23,'3 Hazed Questions'!$A$2:$A$23,"Q1",'3 Hazed Questions'!$C$2:$C$23,I290)+SUMIFS('3 Hazed Questions'!$F$2:$F$23,'3 Hazed Questions'!$A$2:$A$23,"Q2",'3 Hazed Questions'!$C$2:$C$23,J290)+SUMIFS('3 Hazed Questions'!$F$2:$F$23,'3 Hazed Questions'!$A$2:$A$23,"Q3",'3 Hazed Questions'!$C$2:$C$23,K290)+SUMIFS('3 Hazed Questions'!$F$2:$F$23,'3 Hazed Questions'!$A$2:$A$23,"Q4",'3 Hazed Questions'!$C$2:$C$23,L290))</f>
        <v/>
      </c>
      <c r="P290" s="14" t="str">
        <f aca="false">IF(COUNTA(I290:L290)=0,"",SUMIFS('3 Hazed Questions'!$G$2:$G$23,'3 Hazed Questions'!$A$2:$A$23,"Q1",'3 Hazed Questions'!$C$2:$C$23,I290)+SUMIFS('3 Hazed Questions'!$G$2:$G$23,'3 Hazed Questions'!$A$2:$A$23,"Q2",'3 Hazed Questions'!$C$2:$C$23,J290)+SUMIFS('3 Hazed Questions'!$G$2:$G$23,'3 Hazed Questions'!$A$2:$A$23,"Q3",'3 Hazed Questions'!$C$2:$C$23,K290)+SUMIFS('3 Hazed Questions'!$G$2:$G$23,'3 Hazed Questions'!$A$2:$A$23,"Q4",'3 Hazed Questions'!$C$2:$C$23,L290))</f>
        <v/>
      </c>
      <c r="Q290" s="14" t="str">
        <f aca="false">IF(COUNTA(I290:L290)=0,"",SUMIFS('3 Hazed Questions'!$H$2:$H$23,'3 Hazed Questions'!$A$2:$A$23,"Q1",'3 Hazed Questions'!$C$2:$C$23,I290)+SUMIFS('3 Hazed Questions'!$H$2:$H$23,'3 Hazed Questions'!$A$2:$A$23,"Q2",'3 Hazed Questions'!$C$2:$C$23,J290)+SUMIFS('3 Hazed Questions'!$H$2:$H$23,'3 Hazed Questions'!$A$2:$A$23,"Q3",'3 Hazed Questions'!$C$2:$C$23,K290)+SUMIFS('3 Hazed Questions'!$H$2:$H$23,'3 Hazed Questions'!$A$2:$A$23,"Q4",'3 Hazed Questions'!$C$2:$C$23,L290))</f>
        <v/>
      </c>
      <c r="R290" s="14" t="str">
        <f aca="false">IF(COUNTA(I290:L290)=0,"",SUMIFS('3 Hazed Questions'!$I$2:$I$23,'3 Hazed Questions'!$A$2:$A$23,"Q1",'3 Hazed Questions'!$C$2:$C$23,I290)+SUMIFS('3 Hazed Questions'!$I$2:$I$23,'3 Hazed Questions'!$A$2:$A$23,"Q2",'3 Hazed Questions'!$C$2:$C$23,J290)+SUMIFS('3 Hazed Questions'!$I$2:$I$23,'3 Hazed Questions'!$A$2:$A$23,"Q3",'3 Hazed Questions'!$C$2:$C$23,K290)+SUMIFS('3 Hazed Questions'!$I$2:$I$23,'3 Hazed Questions'!$A$2:$A$23,"Q4",'3 Hazed Questions'!$C$2:$C$23,L290))</f>
        <v/>
      </c>
      <c r="S290" s="14" t="str">
        <f aca="false">IF(COUNTA(I290:L290)=0,"",SUMIFS('3 Hazed Questions'!$J$2:$J$23,'3 Hazed Questions'!$A$2:$A$23,"Q1",'3 Hazed Questions'!$C$2:$C$23,I290)+SUMIFS('3 Hazed Questions'!$J$2:$J$23,'3 Hazed Questions'!$A$2:$A$23,"Q2",'3 Hazed Questions'!$C$2:$C$23,J290)+SUMIFS('3 Hazed Questions'!$J$2:$J$23,'3 Hazed Questions'!$A$2:$A$23,"Q3",'3 Hazed Questions'!$C$2:$C$23,K290)+SUMIFS('3 Hazed Questions'!$J$2:$J$23,'3 Hazed Questions'!$A$2:$A$23,"Q4",'3 Hazed Questions'!$C$2:$C$23,L290))</f>
        <v/>
      </c>
      <c r="T290" s="14" t="str">
        <f aca="false">IF(COUNTA(I290:L290)=0,"",SUMIFS('3 Hazed Questions'!$K$2:$K$23,'3 Hazed Questions'!$A$2:$A$23,"Q1",'3 Hazed Questions'!$C$2:$C$23,I290)+SUMIFS('3 Hazed Questions'!$K$2:$K$23,'3 Hazed Questions'!$A$2:$A$23,"Q2",'3 Hazed Questions'!$C$2:$C$23,J290)+SUMIFS('3 Hazed Questions'!$K$2:$K$23,'3 Hazed Questions'!$A$2:$A$23,"Q3",'3 Hazed Questions'!$C$2:$C$23,K290)+SUMIFS('3 Hazed Questions'!$K$2:$K$23,'3 Hazed Questions'!$A$2:$A$23,"Q4",'3 Hazed Questions'!$C$2:$C$23,L290))</f>
        <v/>
      </c>
      <c r="U290" s="14" t="str">
        <f aca="false">IF(COUNTA(I290:L290)=0,"",SUMIFS('3 Hazed Questions'!$L$2:$L$23,'3 Hazed Questions'!$A$2:$A$23,"Q1",'3 Hazed Questions'!$C$2:$C$23,I290)+SUMIFS('3 Hazed Questions'!$L$2:$L$23,'3 Hazed Questions'!$A$2:$A$23,"Q2",'3 Hazed Questions'!$C$2:$C$23,J290)+SUMIFS('3 Hazed Questions'!$L$2:$L$23,'3 Hazed Questions'!$A$2:$A$23,"Q3",'3 Hazed Questions'!$C$2:$C$23,K290)+SUMIFS('3 Hazed Questions'!$L$2:$L$23,'3 Hazed Questions'!$A$2:$A$23,"Q4",'3 Hazed Questions'!$C$2:$C$23,L290))</f>
        <v/>
      </c>
      <c r="V290" s="14" t="str">
        <f aca="false">IF(COUNTA(I290:L290)=0,"",SUMIFS('3 Hazed Questions'!$M$2:$M$23,'3 Hazed Questions'!$A$2:$A$23,"Q1",'3 Hazed Questions'!$C$2:$C$23,I290)+SUMIFS('3 Hazed Questions'!$M$2:$M$23,'3 Hazed Questions'!$A$2:$A$23,"Q2",'3 Hazed Questions'!$C$2:$C$23,J290)+SUMIFS('3 Hazed Questions'!$M$2:$M$23,'3 Hazed Questions'!$A$2:$A$23,"Q3",'3 Hazed Questions'!$C$2:$C$23,K290)+SUMIFS('3 Hazed Questions'!$M$2:$M$23,'3 Hazed Questions'!$A$2:$A$23,"Q4",'3 Hazed Questions'!$C$2:$C$23,L290))</f>
        <v/>
      </c>
      <c r="W290" s="14" t="str">
        <f aca="false">IF(COUNTA(I290:L290)=0,"",SUMIFS('3 Hazed Questions'!$N$2:$N$23,'3 Hazed Questions'!$A$2:$A$23,"Q1",'3 Hazed Questions'!$C$2:$C$23,I290)+SUMIFS('3 Hazed Questions'!$N$2:$N$23,'3 Hazed Questions'!$A$2:$A$23,"Q2",'3 Hazed Questions'!$C$2:$C$23,J290)+SUMIFS('3 Hazed Questions'!$N$2:$N$23,'3 Hazed Questions'!$A$2:$A$23,"Q3",'3 Hazed Questions'!$C$2:$C$23,K290)+SUMIFS('3 Hazed Questions'!$N$2:$N$23,'3 Hazed Questions'!$A$2:$A$23,"Q4",'3 Hazed Questions'!$C$2:$C$23,L290))</f>
        <v/>
      </c>
      <c r="X290" s="14" t="str">
        <f aca="false">IF(COUNTA(I290:L290)=0,"",INDEX(Fields!$B$2:$B$50,MATCH(SUBSTITUTE(INDEX($N$1:$W$1,MATCH(MAX($N290:$W290),$N290:$W290,0)),"Score: ",""),Fields!$A$2:$A$50,0)))</f>
        <v/>
      </c>
      <c r="Y290" s="14" t="str">
        <f aca="true">IF(COUNTA(I290:L290)=0,"",IF(LARGE($N290:$W290,2)=0,"-",INDEX(Fields!$B$2:$B$50,MATCH(SUBSTITUTE(INDEX($N$1:$W$1,IF(LARGE($N290:$W290,2)=MAX($N290:$W290),MATCH(MAX($N290:$W290),OFFSET($N290:$W290,0,MATCH(MAX($N290:$W290),$N290:$W290,0),1,10-MATCH(MAX($N290:$W290),$N290:$W290,0)),0)+MATCH(MAX($N290:$W290),$N290:$W290,0),MATCH(LARGE($N290:$W290,2),$N290:$W290,0))),"Score: ",""),Fields!$A$2:$A$50,0))))</f>
        <v/>
      </c>
      <c r="Z290" s="14" t="str">
        <f aca="false">IF(M290="","",IFERROR(INDEX('3 Hazed Questions'!$O$2:$O$23,MATCH(1,INDEX(('3 Hazed Questions'!$A$2:$A$23="Q5")*('3 Hazed Questions'!$C$2:$C$23=M290),0),0))&amp;"",""))</f>
        <v/>
      </c>
      <c r="AA290" s="18"/>
      <c r="AB290" s="18"/>
      <c r="AC290" s="19"/>
      <c r="AD290" s="19"/>
      <c r="AE290" s="18"/>
      <c r="AF290" s="18"/>
      <c r="AG290" s="18"/>
    </row>
    <row r="291" customFormat="false" ht="15" hidden="false" customHeight="false" outlineLevel="0" collapsed="false">
      <c r="A291" s="18"/>
      <c r="B291" s="19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4" t="str">
        <f aca="false">IF(COUNTA(I291:L291)=0,"",SUMIFS('3 Hazed Questions'!$E$2:$E$23,'3 Hazed Questions'!$A$2:$A$23,"Q1",'3 Hazed Questions'!$C$2:$C$23,I291)+SUMIFS('3 Hazed Questions'!$E$2:$E$23,'3 Hazed Questions'!$A$2:$A$23,"Q2",'3 Hazed Questions'!$C$2:$C$23,J291)+SUMIFS('3 Hazed Questions'!$E$2:$E$23,'3 Hazed Questions'!$A$2:$A$23,"Q3",'3 Hazed Questions'!$C$2:$C$23,K291)+SUMIFS('3 Hazed Questions'!$E$2:$E$23,'3 Hazed Questions'!$A$2:$A$23,"Q4",'3 Hazed Questions'!$C$2:$C$23,L291))</f>
        <v/>
      </c>
      <c r="O291" s="14" t="str">
        <f aca="false">IF(COUNTA(I291:L291)=0,"",SUMIFS('3 Hazed Questions'!$F$2:$F$23,'3 Hazed Questions'!$A$2:$A$23,"Q1",'3 Hazed Questions'!$C$2:$C$23,I291)+SUMIFS('3 Hazed Questions'!$F$2:$F$23,'3 Hazed Questions'!$A$2:$A$23,"Q2",'3 Hazed Questions'!$C$2:$C$23,J291)+SUMIFS('3 Hazed Questions'!$F$2:$F$23,'3 Hazed Questions'!$A$2:$A$23,"Q3",'3 Hazed Questions'!$C$2:$C$23,K291)+SUMIFS('3 Hazed Questions'!$F$2:$F$23,'3 Hazed Questions'!$A$2:$A$23,"Q4",'3 Hazed Questions'!$C$2:$C$23,L291))</f>
        <v/>
      </c>
      <c r="P291" s="14" t="str">
        <f aca="false">IF(COUNTA(I291:L291)=0,"",SUMIFS('3 Hazed Questions'!$G$2:$G$23,'3 Hazed Questions'!$A$2:$A$23,"Q1",'3 Hazed Questions'!$C$2:$C$23,I291)+SUMIFS('3 Hazed Questions'!$G$2:$G$23,'3 Hazed Questions'!$A$2:$A$23,"Q2",'3 Hazed Questions'!$C$2:$C$23,J291)+SUMIFS('3 Hazed Questions'!$G$2:$G$23,'3 Hazed Questions'!$A$2:$A$23,"Q3",'3 Hazed Questions'!$C$2:$C$23,K291)+SUMIFS('3 Hazed Questions'!$G$2:$G$23,'3 Hazed Questions'!$A$2:$A$23,"Q4",'3 Hazed Questions'!$C$2:$C$23,L291))</f>
        <v/>
      </c>
      <c r="Q291" s="14" t="str">
        <f aca="false">IF(COUNTA(I291:L291)=0,"",SUMIFS('3 Hazed Questions'!$H$2:$H$23,'3 Hazed Questions'!$A$2:$A$23,"Q1",'3 Hazed Questions'!$C$2:$C$23,I291)+SUMIFS('3 Hazed Questions'!$H$2:$H$23,'3 Hazed Questions'!$A$2:$A$23,"Q2",'3 Hazed Questions'!$C$2:$C$23,J291)+SUMIFS('3 Hazed Questions'!$H$2:$H$23,'3 Hazed Questions'!$A$2:$A$23,"Q3",'3 Hazed Questions'!$C$2:$C$23,K291)+SUMIFS('3 Hazed Questions'!$H$2:$H$23,'3 Hazed Questions'!$A$2:$A$23,"Q4",'3 Hazed Questions'!$C$2:$C$23,L291))</f>
        <v/>
      </c>
      <c r="R291" s="14" t="str">
        <f aca="false">IF(COUNTA(I291:L291)=0,"",SUMIFS('3 Hazed Questions'!$I$2:$I$23,'3 Hazed Questions'!$A$2:$A$23,"Q1",'3 Hazed Questions'!$C$2:$C$23,I291)+SUMIFS('3 Hazed Questions'!$I$2:$I$23,'3 Hazed Questions'!$A$2:$A$23,"Q2",'3 Hazed Questions'!$C$2:$C$23,J291)+SUMIFS('3 Hazed Questions'!$I$2:$I$23,'3 Hazed Questions'!$A$2:$A$23,"Q3",'3 Hazed Questions'!$C$2:$C$23,K291)+SUMIFS('3 Hazed Questions'!$I$2:$I$23,'3 Hazed Questions'!$A$2:$A$23,"Q4",'3 Hazed Questions'!$C$2:$C$23,L291))</f>
        <v/>
      </c>
      <c r="S291" s="14" t="str">
        <f aca="false">IF(COUNTA(I291:L291)=0,"",SUMIFS('3 Hazed Questions'!$J$2:$J$23,'3 Hazed Questions'!$A$2:$A$23,"Q1",'3 Hazed Questions'!$C$2:$C$23,I291)+SUMIFS('3 Hazed Questions'!$J$2:$J$23,'3 Hazed Questions'!$A$2:$A$23,"Q2",'3 Hazed Questions'!$C$2:$C$23,J291)+SUMIFS('3 Hazed Questions'!$J$2:$J$23,'3 Hazed Questions'!$A$2:$A$23,"Q3",'3 Hazed Questions'!$C$2:$C$23,K291)+SUMIFS('3 Hazed Questions'!$J$2:$J$23,'3 Hazed Questions'!$A$2:$A$23,"Q4",'3 Hazed Questions'!$C$2:$C$23,L291))</f>
        <v/>
      </c>
      <c r="T291" s="14" t="str">
        <f aca="false">IF(COUNTA(I291:L291)=0,"",SUMIFS('3 Hazed Questions'!$K$2:$K$23,'3 Hazed Questions'!$A$2:$A$23,"Q1",'3 Hazed Questions'!$C$2:$C$23,I291)+SUMIFS('3 Hazed Questions'!$K$2:$K$23,'3 Hazed Questions'!$A$2:$A$23,"Q2",'3 Hazed Questions'!$C$2:$C$23,J291)+SUMIFS('3 Hazed Questions'!$K$2:$K$23,'3 Hazed Questions'!$A$2:$A$23,"Q3",'3 Hazed Questions'!$C$2:$C$23,K291)+SUMIFS('3 Hazed Questions'!$K$2:$K$23,'3 Hazed Questions'!$A$2:$A$23,"Q4",'3 Hazed Questions'!$C$2:$C$23,L291))</f>
        <v/>
      </c>
      <c r="U291" s="14" t="str">
        <f aca="false">IF(COUNTA(I291:L291)=0,"",SUMIFS('3 Hazed Questions'!$L$2:$L$23,'3 Hazed Questions'!$A$2:$A$23,"Q1",'3 Hazed Questions'!$C$2:$C$23,I291)+SUMIFS('3 Hazed Questions'!$L$2:$L$23,'3 Hazed Questions'!$A$2:$A$23,"Q2",'3 Hazed Questions'!$C$2:$C$23,J291)+SUMIFS('3 Hazed Questions'!$L$2:$L$23,'3 Hazed Questions'!$A$2:$A$23,"Q3",'3 Hazed Questions'!$C$2:$C$23,K291)+SUMIFS('3 Hazed Questions'!$L$2:$L$23,'3 Hazed Questions'!$A$2:$A$23,"Q4",'3 Hazed Questions'!$C$2:$C$23,L291))</f>
        <v/>
      </c>
      <c r="V291" s="14" t="str">
        <f aca="false">IF(COUNTA(I291:L291)=0,"",SUMIFS('3 Hazed Questions'!$M$2:$M$23,'3 Hazed Questions'!$A$2:$A$23,"Q1",'3 Hazed Questions'!$C$2:$C$23,I291)+SUMIFS('3 Hazed Questions'!$M$2:$M$23,'3 Hazed Questions'!$A$2:$A$23,"Q2",'3 Hazed Questions'!$C$2:$C$23,J291)+SUMIFS('3 Hazed Questions'!$M$2:$M$23,'3 Hazed Questions'!$A$2:$A$23,"Q3",'3 Hazed Questions'!$C$2:$C$23,K291)+SUMIFS('3 Hazed Questions'!$M$2:$M$23,'3 Hazed Questions'!$A$2:$A$23,"Q4",'3 Hazed Questions'!$C$2:$C$23,L291))</f>
        <v/>
      </c>
      <c r="W291" s="14" t="str">
        <f aca="false">IF(COUNTA(I291:L291)=0,"",SUMIFS('3 Hazed Questions'!$N$2:$N$23,'3 Hazed Questions'!$A$2:$A$23,"Q1",'3 Hazed Questions'!$C$2:$C$23,I291)+SUMIFS('3 Hazed Questions'!$N$2:$N$23,'3 Hazed Questions'!$A$2:$A$23,"Q2",'3 Hazed Questions'!$C$2:$C$23,J291)+SUMIFS('3 Hazed Questions'!$N$2:$N$23,'3 Hazed Questions'!$A$2:$A$23,"Q3",'3 Hazed Questions'!$C$2:$C$23,K291)+SUMIFS('3 Hazed Questions'!$N$2:$N$23,'3 Hazed Questions'!$A$2:$A$23,"Q4",'3 Hazed Questions'!$C$2:$C$23,L291))</f>
        <v/>
      </c>
      <c r="X291" s="14" t="str">
        <f aca="false">IF(COUNTA(I291:L291)=0,"",INDEX(Fields!$B$2:$B$50,MATCH(SUBSTITUTE(INDEX($N$1:$W$1,MATCH(MAX($N291:$W291),$N291:$W291,0)),"Score: ",""),Fields!$A$2:$A$50,0)))</f>
        <v/>
      </c>
      <c r="Y291" s="14" t="str">
        <f aca="true">IF(COUNTA(I291:L291)=0,"",IF(LARGE($N291:$W291,2)=0,"-",INDEX(Fields!$B$2:$B$50,MATCH(SUBSTITUTE(INDEX($N$1:$W$1,IF(LARGE($N291:$W291,2)=MAX($N291:$W291),MATCH(MAX($N291:$W291),OFFSET($N291:$W291,0,MATCH(MAX($N291:$W291),$N291:$W291,0),1,10-MATCH(MAX($N291:$W291),$N291:$W291,0)),0)+MATCH(MAX($N291:$W291),$N291:$W291,0),MATCH(LARGE($N291:$W291,2),$N291:$W291,0))),"Score: ",""),Fields!$A$2:$A$50,0))))</f>
        <v/>
      </c>
      <c r="Z291" s="14" t="str">
        <f aca="false">IF(M291="","",IFERROR(INDEX('3 Hazed Questions'!$O$2:$O$23,MATCH(1,INDEX(('3 Hazed Questions'!$A$2:$A$23="Q5")*('3 Hazed Questions'!$C$2:$C$23=M291),0),0))&amp;"",""))</f>
        <v/>
      </c>
      <c r="AA291" s="18"/>
      <c r="AB291" s="18"/>
      <c r="AC291" s="19"/>
      <c r="AD291" s="19"/>
      <c r="AE291" s="18"/>
      <c r="AF291" s="18"/>
      <c r="AG291" s="18"/>
    </row>
    <row r="292" customFormat="false" ht="15" hidden="false" customHeight="false" outlineLevel="0" collapsed="false">
      <c r="A292" s="18"/>
      <c r="B292" s="19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4" t="str">
        <f aca="false">IF(COUNTA(I292:L292)=0,"",SUMIFS('3 Hazed Questions'!$E$2:$E$23,'3 Hazed Questions'!$A$2:$A$23,"Q1",'3 Hazed Questions'!$C$2:$C$23,I292)+SUMIFS('3 Hazed Questions'!$E$2:$E$23,'3 Hazed Questions'!$A$2:$A$23,"Q2",'3 Hazed Questions'!$C$2:$C$23,J292)+SUMIFS('3 Hazed Questions'!$E$2:$E$23,'3 Hazed Questions'!$A$2:$A$23,"Q3",'3 Hazed Questions'!$C$2:$C$23,K292)+SUMIFS('3 Hazed Questions'!$E$2:$E$23,'3 Hazed Questions'!$A$2:$A$23,"Q4",'3 Hazed Questions'!$C$2:$C$23,L292))</f>
        <v/>
      </c>
      <c r="O292" s="14" t="str">
        <f aca="false">IF(COUNTA(I292:L292)=0,"",SUMIFS('3 Hazed Questions'!$F$2:$F$23,'3 Hazed Questions'!$A$2:$A$23,"Q1",'3 Hazed Questions'!$C$2:$C$23,I292)+SUMIFS('3 Hazed Questions'!$F$2:$F$23,'3 Hazed Questions'!$A$2:$A$23,"Q2",'3 Hazed Questions'!$C$2:$C$23,J292)+SUMIFS('3 Hazed Questions'!$F$2:$F$23,'3 Hazed Questions'!$A$2:$A$23,"Q3",'3 Hazed Questions'!$C$2:$C$23,K292)+SUMIFS('3 Hazed Questions'!$F$2:$F$23,'3 Hazed Questions'!$A$2:$A$23,"Q4",'3 Hazed Questions'!$C$2:$C$23,L292))</f>
        <v/>
      </c>
      <c r="P292" s="14" t="str">
        <f aca="false">IF(COUNTA(I292:L292)=0,"",SUMIFS('3 Hazed Questions'!$G$2:$G$23,'3 Hazed Questions'!$A$2:$A$23,"Q1",'3 Hazed Questions'!$C$2:$C$23,I292)+SUMIFS('3 Hazed Questions'!$G$2:$G$23,'3 Hazed Questions'!$A$2:$A$23,"Q2",'3 Hazed Questions'!$C$2:$C$23,J292)+SUMIFS('3 Hazed Questions'!$G$2:$G$23,'3 Hazed Questions'!$A$2:$A$23,"Q3",'3 Hazed Questions'!$C$2:$C$23,K292)+SUMIFS('3 Hazed Questions'!$G$2:$G$23,'3 Hazed Questions'!$A$2:$A$23,"Q4",'3 Hazed Questions'!$C$2:$C$23,L292))</f>
        <v/>
      </c>
      <c r="Q292" s="14" t="str">
        <f aca="false">IF(COUNTA(I292:L292)=0,"",SUMIFS('3 Hazed Questions'!$H$2:$H$23,'3 Hazed Questions'!$A$2:$A$23,"Q1",'3 Hazed Questions'!$C$2:$C$23,I292)+SUMIFS('3 Hazed Questions'!$H$2:$H$23,'3 Hazed Questions'!$A$2:$A$23,"Q2",'3 Hazed Questions'!$C$2:$C$23,J292)+SUMIFS('3 Hazed Questions'!$H$2:$H$23,'3 Hazed Questions'!$A$2:$A$23,"Q3",'3 Hazed Questions'!$C$2:$C$23,K292)+SUMIFS('3 Hazed Questions'!$H$2:$H$23,'3 Hazed Questions'!$A$2:$A$23,"Q4",'3 Hazed Questions'!$C$2:$C$23,L292))</f>
        <v/>
      </c>
      <c r="R292" s="14" t="str">
        <f aca="false">IF(COUNTA(I292:L292)=0,"",SUMIFS('3 Hazed Questions'!$I$2:$I$23,'3 Hazed Questions'!$A$2:$A$23,"Q1",'3 Hazed Questions'!$C$2:$C$23,I292)+SUMIFS('3 Hazed Questions'!$I$2:$I$23,'3 Hazed Questions'!$A$2:$A$23,"Q2",'3 Hazed Questions'!$C$2:$C$23,J292)+SUMIFS('3 Hazed Questions'!$I$2:$I$23,'3 Hazed Questions'!$A$2:$A$23,"Q3",'3 Hazed Questions'!$C$2:$C$23,K292)+SUMIFS('3 Hazed Questions'!$I$2:$I$23,'3 Hazed Questions'!$A$2:$A$23,"Q4",'3 Hazed Questions'!$C$2:$C$23,L292))</f>
        <v/>
      </c>
      <c r="S292" s="14" t="str">
        <f aca="false">IF(COUNTA(I292:L292)=0,"",SUMIFS('3 Hazed Questions'!$J$2:$J$23,'3 Hazed Questions'!$A$2:$A$23,"Q1",'3 Hazed Questions'!$C$2:$C$23,I292)+SUMIFS('3 Hazed Questions'!$J$2:$J$23,'3 Hazed Questions'!$A$2:$A$23,"Q2",'3 Hazed Questions'!$C$2:$C$23,J292)+SUMIFS('3 Hazed Questions'!$J$2:$J$23,'3 Hazed Questions'!$A$2:$A$23,"Q3",'3 Hazed Questions'!$C$2:$C$23,K292)+SUMIFS('3 Hazed Questions'!$J$2:$J$23,'3 Hazed Questions'!$A$2:$A$23,"Q4",'3 Hazed Questions'!$C$2:$C$23,L292))</f>
        <v/>
      </c>
      <c r="T292" s="14" t="str">
        <f aca="false">IF(COUNTA(I292:L292)=0,"",SUMIFS('3 Hazed Questions'!$K$2:$K$23,'3 Hazed Questions'!$A$2:$A$23,"Q1",'3 Hazed Questions'!$C$2:$C$23,I292)+SUMIFS('3 Hazed Questions'!$K$2:$K$23,'3 Hazed Questions'!$A$2:$A$23,"Q2",'3 Hazed Questions'!$C$2:$C$23,J292)+SUMIFS('3 Hazed Questions'!$K$2:$K$23,'3 Hazed Questions'!$A$2:$A$23,"Q3",'3 Hazed Questions'!$C$2:$C$23,K292)+SUMIFS('3 Hazed Questions'!$K$2:$K$23,'3 Hazed Questions'!$A$2:$A$23,"Q4",'3 Hazed Questions'!$C$2:$C$23,L292))</f>
        <v/>
      </c>
      <c r="U292" s="14" t="str">
        <f aca="false">IF(COUNTA(I292:L292)=0,"",SUMIFS('3 Hazed Questions'!$L$2:$L$23,'3 Hazed Questions'!$A$2:$A$23,"Q1",'3 Hazed Questions'!$C$2:$C$23,I292)+SUMIFS('3 Hazed Questions'!$L$2:$L$23,'3 Hazed Questions'!$A$2:$A$23,"Q2",'3 Hazed Questions'!$C$2:$C$23,J292)+SUMIFS('3 Hazed Questions'!$L$2:$L$23,'3 Hazed Questions'!$A$2:$A$23,"Q3",'3 Hazed Questions'!$C$2:$C$23,K292)+SUMIFS('3 Hazed Questions'!$L$2:$L$23,'3 Hazed Questions'!$A$2:$A$23,"Q4",'3 Hazed Questions'!$C$2:$C$23,L292))</f>
        <v/>
      </c>
      <c r="V292" s="14" t="str">
        <f aca="false">IF(COUNTA(I292:L292)=0,"",SUMIFS('3 Hazed Questions'!$M$2:$M$23,'3 Hazed Questions'!$A$2:$A$23,"Q1",'3 Hazed Questions'!$C$2:$C$23,I292)+SUMIFS('3 Hazed Questions'!$M$2:$M$23,'3 Hazed Questions'!$A$2:$A$23,"Q2",'3 Hazed Questions'!$C$2:$C$23,J292)+SUMIFS('3 Hazed Questions'!$M$2:$M$23,'3 Hazed Questions'!$A$2:$A$23,"Q3",'3 Hazed Questions'!$C$2:$C$23,K292)+SUMIFS('3 Hazed Questions'!$M$2:$M$23,'3 Hazed Questions'!$A$2:$A$23,"Q4",'3 Hazed Questions'!$C$2:$C$23,L292))</f>
        <v/>
      </c>
      <c r="W292" s="14" t="str">
        <f aca="false">IF(COUNTA(I292:L292)=0,"",SUMIFS('3 Hazed Questions'!$N$2:$N$23,'3 Hazed Questions'!$A$2:$A$23,"Q1",'3 Hazed Questions'!$C$2:$C$23,I292)+SUMIFS('3 Hazed Questions'!$N$2:$N$23,'3 Hazed Questions'!$A$2:$A$23,"Q2",'3 Hazed Questions'!$C$2:$C$23,J292)+SUMIFS('3 Hazed Questions'!$N$2:$N$23,'3 Hazed Questions'!$A$2:$A$23,"Q3",'3 Hazed Questions'!$C$2:$C$23,K292)+SUMIFS('3 Hazed Questions'!$N$2:$N$23,'3 Hazed Questions'!$A$2:$A$23,"Q4",'3 Hazed Questions'!$C$2:$C$23,L292))</f>
        <v/>
      </c>
      <c r="X292" s="14" t="str">
        <f aca="false">IF(COUNTA(I292:L292)=0,"",INDEX(Fields!$B$2:$B$50,MATCH(SUBSTITUTE(INDEX($N$1:$W$1,MATCH(MAX($N292:$W292),$N292:$W292,0)),"Score: ",""),Fields!$A$2:$A$50,0)))</f>
        <v/>
      </c>
      <c r="Y292" s="14" t="str">
        <f aca="true">IF(COUNTA(I292:L292)=0,"",IF(LARGE($N292:$W292,2)=0,"-",INDEX(Fields!$B$2:$B$50,MATCH(SUBSTITUTE(INDEX($N$1:$W$1,IF(LARGE($N292:$W292,2)=MAX($N292:$W292),MATCH(MAX($N292:$W292),OFFSET($N292:$W292,0,MATCH(MAX($N292:$W292),$N292:$W292,0),1,10-MATCH(MAX($N292:$W292),$N292:$W292,0)),0)+MATCH(MAX($N292:$W292),$N292:$W292,0),MATCH(LARGE($N292:$W292,2),$N292:$W292,0))),"Score: ",""),Fields!$A$2:$A$50,0))))</f>
        <v/>
      </c>
      <c r="Z292" s="14" t="str">
        <f aca="false">IF(M292="","",IFERROR(INDEX('3 Hazed Questions'!$O$2:$O$23,MATCH(1,INDEX(('3 Hazed Questions'!$A$2:$A$23="Q5")*('3 Hazed Questions'!$C$2:$C$23=M292),0),0))&amp;"",""))</f>
        <v/>
      </c>
      <c r="AA292" s="18"/>
      <c r="AB292" s="18"/>
      <c r="AC292" s="19"/>
      <c r="AD292" s="19"/>
      <c r="AE292" s="18"/>
      <c r="AF292" s="18"/>
      <c r="AG292" s="18"/>
    </row>
    <row r="293" customFormat="false" ht="15" hidden="false" customHeight="false" outlineLevel="0" collapsed="false">
      <c r="A293" s="18"/>
      <c r="B293" s="19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4" t="str">
        <f aca="false">IF(COUNTA(I293:L293)=0,"",SUMIFS('3 Hazed Questions'!$E$2:$E$23,'3 Hazed Questions'!$A$2:$A$23,"Q1",'3 Hazed Questions'!$C$2:$C$23,I293)+SUMIFS('3 Hazed Questions'!$E$2:$E$23,'3 Hazed Questions'!$A$2:$A$23,"Q2",'3 Hazed Questions'!$C$2:$C$23,J293)+SUMIFS('3 Hazed Questions'!$E$2:$E$23,'3 Hazed Questions'!$A$2:$A$23,"Q3",'3 Hazed Questions'!$C$2:$C$23,K293)+SUMIFS('3 Hazed Questions'!$E$2:$E$23,'3 Hazed Questions'!$A$2:$A$23,"Q4",'3 Hazed Questions'!$C$2:$C$23,L293))</f>
        <v/>
      </c>
      <c r="O293" s="14" t="str">
        <f aca="false">IF(COUNTA(I293:L293)=0,"",SUMIFS('3 Hazed Questions'!$F$2:$F$23,'3 Hazed Questions'!$A$2:$A$23,"Q1",'3 Hazed Questions'!$C$2:$C$23,I293)+SUMIFS('3 Hazed Questions'!$F$2:$F$23,'3 Hazed Questions'!$A$2:$A$23,"Q2",'3 Hazed Questions'!$C$2:$C$23,J293)+SUMIFS('3 Hazed Questions'!$F$2:$F$23,'3 Hazed Questions'!$A$2:$A$23,"Q3",'3 Hazed Questions'!$C$2:$C$23,K293)+SUMIFS('3 Hazed Questions'!$F$2:$F$23,'3 Hazed Questions'!$A$2:$A$23,"Q4",'3 Hazed Questions'!$C$2:$C$23,L293))</f>
        <v/>
      </c>
      <c r="P293" s="14" t="str">
        <f aca="false">IF(COUNTA(I293:L293)=0,"",SUMIFS('3 Hazed Questions'!$G$2:$G$23,'3 Hazed Questions'!$A$2:$A$23,"Q1",'3 Hazed Questions'!$C$2:$C$23,I293)+SUMIFS('3 Hazed Questions'!$G$2:$G$23,'3 Hazed Questions'!$A$2:$A$23,"Q2",'3 Hazed Questions'!$C$2:$C$23,J293)+SUMIFS('3 Hazed Questions'!$G$2:$G$23,'3 Hazed Questions'!$A$2:$A$23,"Q3",'3 Hazed Questions'!$C$2:$C$23,K293)+SUMIFS('3 Hazed Questions'!$G$2:$G$23,'3 Hazed Questions'!$A$2:$A$23,"Q4",'3 Hazed Questions'!$C$2:$C$23,L293))</f>
        <v/>
      </c>
      <c r="Q293" s="14" t="str">
        <f aca="false">IF(COUNTA(I293:L293)=0,"",SUMIFS('3 Hazed Questions'!$H$2:$H$23,'3 Hazed Questions'!$A$2:$A$23,"Q1",'3 Hazed Questions'!$C$2:$C$23,I293)+SUMIFS('3 Hazed Questions'!$H$2:$H$23,'3 Hazed Questions'!$A$2:$A$23,"Q2",'3 Hazed Questions'!$C$2:$C$23,J293)+SUMIFS('3 Hazed Questions'!$H$2:$H$23,'3 Hazed Questions'!$A$2:$A$23,"Q3",'3 Hazed Questions'!$C$2:$C$23,K293)+SUMIFS('3 Hazed Questions'!$H$2:$H$23,'3 Hazed Questions'!$A$2:$A$23,"Q4",'3 Hazed Questions'!$C$2:$C$23,L293))</f>
        <v/>
      </c>
      <c r="R293" s="14" t="str">
        <f aca="false">IF(COUNTA(I293:L293)=0,"",SUMIFS('3 Hazed Questions'!$I$2:$I$23,'3 Hazed Questions'!$A$2:$A$23,"Q1",'3 Hazed Questions'!$C$2:$C$23,I293)+SUMIFS('3 Hazed Questions'!$I$2:$I$23,'3 Hazed Questions'!$A$2:$A$23,"Q2",'3 Hazed Questions'!$C$2:$C$23,J293)+SUMIFS('3 Hazed Questions'!$I$2:$I$23,'3 Hazed Questions'!$A$2:$A$23,"Q3",'3 Hazed Questions'!$C$2:$C$23,K293)+SUMIFS('3 Hazed Questions'!$I$2:$I$23,'3 Hazed Questions'!$A$2:$A$23,"Q4",'3 Hazed Questions'!$C$2:$C$23,L293))</f>
        <v/>
      </c>
      <c r="S293" s="14" t="str">
        <f aca="false">IF(COUNTA(I293:L293)=0,"",SUMIFS('3 Hazed Questions'!$J$2:$J$23,'3 Hazed Questions'!$A$2:$A$23,"Q1",'3 Hazed Questions'!$C$2:$C$23,I293)+SUMIFS('3 Hazed Questions'!$J$2:$J$23,'3 Hazed Questions'!$A$2:$A$23,"Q2",'3 Hazed Questions'!$C$2:$C$23,J293)+SUMIFS('3 Hazed Questions'!$J$2:$J$23,'3 Hazed Questions'!$A$2:$A$23,"Q3",'3 Hazed Questions'!$C$2:$C$23,K293)+SUMIFS('3 Hazed Questions'!$J$2:$J$23,'3 Hazed Questions'!$A$2:$A$23,"Q4",'3 Hazed Questions'!$C$2:$C$23,L293))</f>
        <v/>
      </c>
      <c r="T293" s="14" t="str">
        <f aca="false">IF(COUNTA(I293:L293)=0,"",SUMIFS('3 Hazed Questions'!$K$2:$K$23,'3 Hazed Questions'!$A$2:$A$23,"Q1",'3 Hazed Questions'!$C$2:$C$23,I293)+SUMIFS('3 Hazed Questions'!$K$2:$K$23,'3 Hazed Questions'!$A$2:$A$23,"Q2",'3 Hazed Questions'!$C$2:$C$23,J293)+SUMIFS('3 Hazed Questions'!$K$2:$K$23,'3 Hazed Questions'!$A$2:$A$23,"Q3",'3 Hazed Questions'!$C$2:$C$23,K293)+SUMIFS('3 Hazed Questions'!$K$2:$K$23,'3 Hazed Questions'!$A$2:$A$23,"Q4",'3 Hazed Questions'!$C$2:$C$23,L293))</f>
        <v/>
      </c>
      <c r="U293" s="14" t="str">
        <f aca="false">IF(COUNTA(I293:L293)=0,"",SUMIFS('3 Hazed Questions'!$L$2:$L$23,'3 Hazed Questions'!$A$2:$A$23,"Q1",'3 Hazed Questions'!$C$2:$C$23,I293)+SUMIFS('3 Hazed Questions'!$L$2:$L$23,'3 Hazed Questions'!$A$2:$A$23,"Q2",'3 Hazed Questions'!$C$2:$C$23,J293)+SUMIFS('3 Hazed Questions'!$L$2:$L$23,'3 Hazed Questions'!$A$2:$A$23,"Q3",'3 Hazed Questions'!$C$2:$C$23,K293)+SUMIFS('3 Hazed Questions'!$L$2:$L$23,'3 Hazed Questions'!$A$2:$A$23,"Q4",'3 Hazed Questions'!$C$2:$C$23,L293))</f>
        <v/>
      </c>
      <c r="V293" s="14" t="str">
        <f aca="false">IF(COUNTA(I293:L293)=0,"",SUMIFS('3 Hazed Questions'!$M$2:$M$23,'3 Hazed Questions'!$A$2:$A$23,"Q1",'3 Hazed Questions'!$C$2:$C$23,I293)+SUMIFS('3 Hazed Questions'!$M$2:$M$23,'3 Hazed Questions'!$A$2:$A$23,"Q2",'3 Hazed Questions'!$C$2:$C$23,J293)+SUMIFS('3 Hazed Questions'!$M$2:$M$23,'3 Hazed Questions'!$A$2:$A$23,"Q3",'3 Hazed Questions'!$C$2:$C$23,K293)+SUMIFS('3 Hazed Questions'!$M$2:$M$23,'3 Hazed Questions'!$A$2:$A$23,"Q4",'3 Hazed Questions'!$C$2:$C$23,L293))</f>
        <v/>
      </c>
      <c r="W293" s="14" t="str">
        <f aca="false">IF(COUNTA(I293:L293)=0,"",SUMIFS('3 Hazed Questions'!$N$2:$N$23,'3 Hazed Questions'!$A$2:$A$23,"Q1",'3 Hazed Questions'!$C$2:$C$23,I293)+SUMIFS('3 Hazed Questions'!$N$2:$N$23,'3 Hazed Questions'!$A$2:$A$23,"Q2",'3 Hazed Questions'!$C$2:$C$23,J293)+SUMIFS('3 Hazed Questions'!$N$2:$N$23,'3 Hazed Questions'!$A$2:$A$23,"Q3",'3 Hazed Questions'!$C$2:$C$23,K293)+SUMIFS('3 Hazed Questions'!$N$2:$N$23,'3 Hazed Questions'!$A$2:$A$23,"Q4",'3 Hazed Questions'!$C$2:$C$23,L293))</f>
        <v/>
      </c>
      <c r="X293" s="14" t="str">
        <f aca="false">IF(COUNTA(I293:L293)=0,"",INDEX(Fields!$B$2:$B$50,MATCH(SUBSTITUTE(INDEX($N$1:$W$1,MATCH(MAX($N293:$W293),$N293:$W293,0)),"Score: ",""),Fields!$A$2:$A$50,0)))</f>
        <v/>
      </c>
      <c r="Y293" s="14" t="str">
        <f aca="true">IF(COUNTA(I293:L293)=0,"",IF(LARGE($N293:$W293,2)=0,"-",INDEX(Fields!$B$2:$B$50,MATCH(SUBSTITUTE(INDEX($N$1:$W$1,IF(LARGE($N293:$W293,2)=MAX($N293:$W293),MATCH(MAX($N293:$W293),OFFSET($N293:$W293,0,MATCH(MAX($N293:$W293),$N293:$W293,0),1,10-MATCH(MAX($N293:$W293),$N293:$W293,0)),0)+MATCH(MAX($N293:$W293),$N293:$W293,0),MATCH(LARGE($N293:$W293,2),$N293:$W293,0))),"Score: ",""),Fields!$A$2:$A$50,0))))</f>
        <v/>
      </c>
      <c r="Z293" s="14" t="str">
        <f aca="false">IF(M293="","",IFERROR(INDEX('3 Hazed Questions'!$O$2:$O$23,MATCH(1,INDEX(('3 Hazed Questions'!$A$2:$A$23="Q5")*('3 Hazed Questions'!$C$2:$C$23=M293),0),0))&amp;"",""))</f>
        <v/>
      </c>
      <c r="AA293" s="18"/>
      <c r="AB293" s="18"/>
      <c r="AC293" s="19"/>
      <c r="AD293" s="19"/>
      <c r="AE293" s="18"/>
      <c r="AF293" s="18"/>
      <c r="AG293" s="18"/>
    </row>
    <row r="294" customFormat="false" ht="15" hidden="false" customHeight="false" outlineLevel="0" collapsed="false">
      <c r="A294" s="18"/>
      <c r="B294" s="19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4" t="str">
        <f aca="false">IF(COUNTA(I294:L294)=0,"",SUMIFS('3 Hazed Questions'!$E$2:$E$23,'3 Hazed Questions'!$A$2:$A$23,"Q1",'3 Hazed Questions'!$C$2:$C$23,I294)+SUMIFS('3 Hazed Questions'!$E$2:$E$23,'3 Hazed Questions'!$A$2:$A$23,"Q2",'3 Hazed Questions'!$C$2:$C$23,J294)+SUMIFS('3 Hazed Questions'!$E$2:$E$23,'3 Hazed Questions'!$A$2:$A$23,"Q3",'3 Hazed Questions'!$C$2:$C$23,K294)+SUMIFS('3 Hazed Questions'!$E$2:$E$23,'3 Hazed Questions'!$A$2:$A$23,"Q4",'3 Hazed Questions'!$C$2:$C$23,L294))</f>
        <v/>
      </c>
      <c r="O294" s="14" t="str">
        <f aca="false">IF(COUNTA(I294:L294)=0,"",SUMIFS('3 Hazed Questions'!$F$2:$F$23,'3 Hazed Questions'!$A$2:$A$23,"Q1",'3 Hazed Questions'!$C$2:$C$23,I294)+SUMIFS('3 Hazed Questions'!$F$2:$F$23,'3 Hazed Questions'!$A$2:$A$23,"Q2",'3 Hazed Questions'!$C$2:$C$23,J294)+SUMIFS('3 Hazed Questions'!$F$2:$F$23,'3 Hazed Questions'!$A$2:$A$23,"Q3",'3 Hazed Questions'!$C$2:$C$23,K294)+SUMIFS('3 Hazed Questions'!$F$2:$F$23,'3 Hazed Questions'!$A$2:$A$23,"Q4",'3 Hazed Questions'!$C$2:$C$23,L294))</f>
        <v/>
      </c>
      <c r="P294" s="14" t="str">
        <f aca="false">IF(COUNTA(I294:L294)=0,"",SUMIFS('3 Hazed Questions'!$G$2:$G$23,'3 Hazed Questions'!$A$2:$A$23,"Q1",'3 Hazed Questions'!$C$2:$C$23,I294)+SUMIFS('3 Hazed Questions'!$G$2:$G$23,'3 Hazed Questions'!$A$2:$A$23,"Q2",'3 Hazed Questions'!$C$2:$C$23,J294)+SUMIFS('3 Hazed Questions'!$G$2:$G$23,'3 Hazed Questions'!$A$2:$A$23,"Q3",'3 Hazed Questions'!$C$2:$C$23,K294)+SUMIFS('3 Hazed Questions'!$G$2:$G$23,'3 Hazed Questions'!$A$2:$A$23,"Q4",'3 Hazed Questions'!$C$2:$C$23,L294))</f>
        <v/>
      </c>
      <c r="Q294" s="14" t="str">
        <f aca="false">IF(COUNTA(I294:L294)=0,"",SUMIFS('3 Hazed Questions'!$H$2:$H$23,'3 Hazed Questions'!$A$2:$A$23,"Q1",'3 Hazed Questions'!$C$2:$C$23,I294)+SUMIFS('3 Hazed Questions'!$H$2:$H$23,'3 Hazed Questions'!$A$2:$A$23,"Q2",'3 Hazed Questions'!$C$2:$C$23,J294)+SUMIFS('3 Hazed Questions'!$H$2:$H$23,'3 Hazed Questions'!$A$2:$A$23,"Q3",'3 Hazed Questions'!$C$2:$C$23,K294)+SUMIFS('3 Hazed Questions'!$H$2:$H$23,'3 Hazed Questions'!$A$2:$A$23,"Q4",'3 Hazed Questions'!$C$2:$C$23,L294))</f>
        <v/>
      </c>
      <c r="R294" s="14" t="str">
        <f aca="false">IF(COUNTA(I294:L294)=0,"",SUMIFS('3 Hazed Questions'!$I$2:$I$23,'3 Hazed Questions'!$A$2:$A$23,"Q1",'3 Hazed Questions'!$C$2:$C$23,I294)+SUMIFS('3 Hazed Questions'!$I$2:$I$23,'3 Hazed Questions'!$A$2:$A$23,"Q2",'3 Hazed Questions'!$C$2:$C$23,J294)+SUMIFS('3 Hazed Questions'!$I$2:$I$23,'3 Hazed Questions'!$A$2:$A$23,"Q3",'3 Hazed Questions'!$C$2:$C$23,K294)+SUMIFS('3 Hazed Questions'!$I$2:$I$23,'3 Hazed Questions'!$A$2:$A$23,"Q4",'3 Hazed Questions'!$C$2:$C$23,L294))</f>
        <v/>
      </c>
      <c r="S294" s="14" t="str">
        <f aca="false">IF(COUNTA(I294:L294)=0,"",SUMIFS('3 Hazed Questions'!$J$2:$J$23,'3 Hazed Questions'!$A$2:$A$23,"Q1",'3 Hazed Questions'!$C$2:$C$23,I294)+SUMIFS('3 Hazed Questions'!$J$2:$J$23,'3 Hazed Questions'!$A$2:$A$23,"Q2",'3 Hazed Questions'!$C$2:$C$23,J294)+SUMIFS('3 Hazed Questions'!$J$2:$J$23,'3 Hazed Questions'!$A$2:$A$23,"Q3",'3 Hazed Questions'!$C$2:$C$23,K294)+SUMIFS('3 Hazed Questions'!$J$2:$J$23,'3 Hazed Questions'!$A$2:$A$23,"Q4",'3 Hazed Questions'!$C$2:$C$23,L294))</f>
        <v/>
      </c>
      <c r="T294" s="14" t="str">
        <f aca="false">IF(COUNTA(I294:L294)=0,"",SUMIFS('3 Hazed Questions'!$K$2:$K$23,'3 Hazed Questions'!$A$2:$A$23,"Q1",'3 Hazed Questions'!$C$2:$C$23,I294)+SUMIFS('3 Hazed Questions'!$K$2:$K$23,'3 Hazed Questions'!$A$2:$A$23,"Q2",'3 Hazed Questions'!$C$2:$C$23,J294)+SUMIFS('3 Hazed Questions'!$K$2:$K$23,'3 Hazed Questions'!$A$2:$A$23,"Q3",'3 Hazed Questions'!$C$2:$C$23,K294)+SUMIFS('3 Hazed Questions'!$K$2:$K$23,'3 Hazed Questions'!$A$2:$A$23,"Q4",'3 Hazed Questions'!$C$2:$C$23,L294))</f>
        <v/>
      </c>
      <c r="U294" s="14" t="str">
        <f aca="false">IF(COUNTA(I294:L294)=0,"",SUMIFS('3 Hazed Questions'!$L$2:$L$23,'3 Hazed Questions'!$A$2:$A$23,"Q1",'3 Hazed Questions'!$C$2:$C$23,I294)+SUMIFS('3 Hazed Questions'!$L$2:$L$23,'3 Hazed Questions'!$A$2:$A$23,"Q2",'3 Hazed Questions'!$C$2:$C$23,J294)+SUMIFS('3 Hazed Questions'!$L$2:$L$23,'3 Hazed Questions'!$A$2:$A$23,"Q3",'3 Hazed Questions'!$C$2:$C$23,K294)+SUMIFS('3 Hazed Questions'!$L$2:$L$23,'3 Hazed Questions'!$A$2:$A$23,"Q4",'3 Hazed Questions'!$C$2:$C$23,L294))</f>
        <v/>
      </c>
      <c r="V294" s="14" t="str">
        <f aca="false">IF(COUNTA(I294:L294)=0,"",SUMIFS('3 Hazed Questions'!$M$2:$M$23,'3 Hazed Questions'!$A$2:$A$23,"Q1",'3 Hazed Questions'!$C$2:$C$23,I294)+SUMIFS('3 Hazed Questions'!$M$2:$M$23,'3 Hazed Questions'!$A$2:$A$23,"Q2",'3 Hazed Questions'!$C$2:$C$23,J294)+SUMIFS('3 Hazed Questions'!$M$2:$M$23,'3 Hazed Questions'!$A$2:$A$23,"Q3",'3 Hazed Questions'!$C$2:$C$23,K294)+SUMIFS('3 Hazed Questions'!$M$2:$M$23,'3 Hazed Questions'!$A$2:$A$23,"Q4",'3 Hazed Questions'!$C$2:$C$23,L294))</f>
        <v/>
      </c>
      <c r="W294" s="14" t="str">
        <f aca="false">IF(COUNTA(I294:L294)=0,"",SUMIFS('3 Hazed Questions'!$N$2:$N$23,'3 Hazed Questions'!$A$2:$A$23,"Q1",'3 Hazed Questions'!$C$2:$C$23,I294)+SUMIFS('3 Hazed Questions'!$N$2:$N$23,'3 Hazed Questions'!$A$2:$A$23,"Q2",'3 Hazed Questions'!$C$2:$C$23,J294)+SUMIFS('3 Hazed Questions'!$N$2:$N$23,'3 Hazed Questions'!$A$2:$A$23,"Q3",'3 Hazed Questions'!$C$2:$C$23,K294)+SUMIFS('3 Hazed Questions'!$N$2:$N$23,'3 Hazed Questions'!$A$2:$A$23,"Q4",'3 Hazed Questions'!$C$2:$C$23,L294))</f>
        <v/>
      </c>
      <c r="X294" s="14" t="str">
        <f aca="false">IF(COUNTA(I294:L294)=0,"",INDEX(Fields!$B$2:$B$50,MATCH(SUBSTITUTE(INDEX($N$1:$W$1,MATCH(MAX($N294:$W294),$N294:$W294,0)),"Score: ",""),Fields!$A$2:$A$50,0)))</f>
        <v/>
      </c>
      <c r="Y294" s="14" t="str">
        <f aca="true">IF(COUNTA(I294:L294)=0,"",IF(LARGE($N294:$W294,2)=0,"-",INDEX(Fields!$B$2:$B$50,MATCH(SUBSTITUTE(INDEX($N$1:$W$1,IF(LARGE($N294:$W294,2)=MAX($N294:$W294),MATCH(MAX($N294:$W294),OFFSET($N294:$W294,0,MATCH(MAX($N294:$W294),$N294:$W294,0),1,10-MATCH(MAX($N294:$W294),$N294:$W294,0)),0)+MATCH(MAX($N294:$W294),$N294:$W294,0),MATCH(LARGE($N294:$W294,2),$N294:$W294,0))),"Score: ",""),Fields!$A$2:$A$50,0))))</f>
        <v/>
      </c>
      <c r="Z294" s="14" t="str">
        <f aca="false">IF(M294="","",IFERROR(INDEX('3 Hazed Questions'!$O$2:$O$23,MATCH(1,INDEX(('3 Hazed Questions'!$A$2:$A$23="Q5")*('3 Hazed Questions'!$C$2:$C$23=M294),0),0))&amp;"",""))</f>
        <v/>
      </c>
      <c r="AA294" s="18"/>
      <c r="AB294" s="18"/>
      <c r="AC294" s="19"/>
      <c r="AD294" s="19"/>
      <c r="AE294" s="18"/>
      <c r="AF294" s="18"/>
      <c r="AG294" s="18"/>
    </row>
    <row r="295" customFormat="false" ht="15" hidden="false" customHeight="false" outlineLevel="0" collapsed="false">
      <c r="A295" s="18"/>
      <c r="B295" s="19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4" t="str">
        <f aca="false">IF(COUNTA(I295:L295)=0,"",SUMIFS('3 Hazed Questions'!$E$2:$E$23,'3 Hazed Questions'!$A$2:$A$23,"Q1",'3 Hazed Questions'!$C$2:$C$23,I295)+SUMIFS('3 Hazed Questions'!$E$2:$E$23,'3 Hazed Questions'!$A$2:$A$23,"Q2",'3 Hazed Questions'!$C$2:$C$23,J295)+SUMIFS('3 Hazed Questions'!$E$2:$E$23,'3 Hazed Questions'!$A$2:$A$23,"Q3",'3 Hazed Questions'!$C$2:$C$23,K295)+SUMIFS('3 Hazed Questions'!$E$2:$E$23,'3 Hazed Questions'!$A$2:$A$23,"Q4",'3 Hazed Questions'!$C$2:$C$23,L295))</f>
        <v/>
      </c>
      <c r="O295" s="14" t="str">
        <f aca="false">IF(COUNTA(I295:L295)=0,"",SUMIFS('3 Hazed Questions'!$F$2:$F$23,'3 Hazed Questions'!$A$2:$A$23,"Q1",'3 Hazed Questions'!$C$2:$C$23,I295)+SUMIFS('3 Hazed Questions'!$F$2:$F$23,'3 Hazed Questions'!$A$2:$A$23,"Q2",'3 Hazed Questions'!$C$2:$C$23,J295)+SUMIFS('3 Hazed Questions'!$F$2:$F$23,'3 Hazed Questions'!$A$2:$A$23,"Q3",'3 Hazed Questions'!$C$2:$C$23,K295)+SUMIFS('3 Hazed Questions'!$F$2:$F$23,'3 Hazed Questions'!$A$2:$A$23,"Q4",'3 Hazed Questions'!$C$2:$C$23,L295))</f>
        <v/>
      </c>
      <c r="P295" s="14" t="str">
        <f aca="false">IF(COUNTA(I295:L295)=0,"",SUMIFS('3 Hazed Questions'!$G$2:$G$23,'3 Hazed Questions'!$A$2:$A$23,"Q1",'3 Hazed Questions'!$C$2:$C$23,I295)+SUMIFS('3 Hazed Questions'!$G$2:$G$23,'3 Hazed Questions'!$A$2:$A$23,"Q2",'3 Hazed Questions'!$C$2:$C$23,J295)+SUMIFS('3 Hazed Questions'!$G$2:$G$23,'3 Hazed Questions'!$A$2:$A$23,"Q3",'3 Hazed Questions'!$C$2:$C$23,K295)+SUMIFS('3 Hazed Questions'!$G$2:$G$23,'3 Hazed Questions'!$A$2:$A$23,"Q4",'3 Hazed Questions'!$C$2:$C$23,L295))</f>
        <v/>
      </c>
      <c r="Q295" s="14" t="str">
        <f aca="false">IF(COUNTA(I295:L295)=0,"",SUMIFS('3 Hazed Questions'!$H$2:$H$23,'3 Hazed Questions'!$A$2:$A$23,"Q1",'3 Hazed Questions'!$C$2:$C$23,I295)+SUMIFS('3 Hazed Questions'!$H$2:$H$23,'3 Hazed Questions'!$A$2:$A$23,"Q2",'3 Hazed Questions'!$C$2:$C$23,J295)+SUMIFS('3 Hazed Questions'!$H$2:$H$23,'3 Hazed Questions'!$A$2:$A$23,"Q3",'3 Hazed Questions'!$C$2:$C$23,K295)+SUMIFS('3 Hazed Questions'!$H$2:$H$23,'3 Hazed Questions'!$A$2:$A$23,"Q4",'3 Hazed Questions'!$C$2:$C$23,L295))</f>
        <v/>
      </c>
      <c r="R295" s="14" t="str">
        <f aca="false">IF(COUNTA(I295:L295)=0,"",SUMIFS('3 Hazed Questions'!$I$2:$I$23,'3 Hazed Questions'!$A$2:$A$23,"Q1",'3 Hazed Questions'!$C$2:$C$23,I295)+SUMIFS('3 Hazed Questions'!$I$2:$I$23,'3 Hazed Questions'!$A$2:$A$23,"Q2",'3 Hazed Questions'!$C$2:$C$23,J295)+SUMIFS('3 Hazed Questions'!$I$2:$I$23,'3 Hazed Questions'!$A$2:$A$23,"Q3",'3 Hazed Questions'!$C$2:$C$23,K295)+SUMIFS('3 Hazed Questions'!$I$2:$I$23,'3 Hazed Questions'!$A$2:$A$23,"Q4",'3 Hazed Questions'!$C$2:$C$23,L295))</f>
        <v/>
      </c>
      <c r="S295" s="14" t="str">
        <f aca="false">IF(COUNTA(I295:L295)=0,"",SUMIFS('3 Hazed Questions'!$J$2:$J$23,'3 Hazed Questions'!$A$2:$A$23,"Q1",'3 Hazed Questions'!$C$2:$C$23,I295)+SUMIFS('3 Hazed Questions'!$J$2:$J$23,'3 Hazed Questions'!$A$2:$A$23,"Q2",'3 Hazed Questions'!$C$2:$C$23,J295)+SUMIFS('3 Hazed Questions'!$J$2:$J$23,'3 Hazed Questions'!$A$2:$A$23,"Q3",'3 Hazed Questions'!$C$2:$C$23,K295)+SUMIFS('3 Hazed Questions'!$J$2:$J$23,'3 Hazed Questions'!$A$2:$A$23,"Q4",'3 Hazed Questions'!$C$2:$C$23,L295))</f>
        <v/>
      </c>
      <c r="T295" s="14" t="str">
        <f aca="false">IF(COUNTA(I295:L295)=0,"",SUMIFS('3 Hazed Questions'!$K$2:$K$23,'3 Hazed Questions'!$A$2:$A$23,"Q1",'3 Hazed Questions'!$C$2:$C$23,I295)+SUMIFS('3 Hazed Questions'!$K$2:$K$23,'3 Hazed Questions'!$A$2:$A$23,"Q2",'3 Hazed Questions'!$C$2:$C$23,J295)+SUMIFS('3 Hazed Questions'!$K$2:$K$23,'3 Hazed Questions'!$A$2:$A$23,"Q3",'3 Hazed Questions'!$C$2:$C$23,K295)+SUMIFS('3 Hazed Questions'!$K$2:$K$23,'3 Hazed Questions'!$A$2:$A$23,"Q4",'3 Hazed Questions'!$C$2:$C$23,L295))</f>
        <v/>
      </c>
      <c r="U295" s="14" t="str">
        <f aca="false">IF(COUNTA(I295:L295)=0,"",SUMIFS('3 Hazed Questions'!$L$2:$L$23,'3 Hazed Questions'!$A$2:$A$23,"Q1",'3 Hazed Questions'!$C$2:$C$23,I295)+SUMIFS('3 Hazed Questions'!$L$2:$L$23,'3 Hazed Questions'!$A$2:$A$23,"Q2",'3 Hazed Questions'!$C$2:$C$23,J295)+SUMIFS('3 Hazed Questions'!$L$2:$L$23,'3 Hazed Questions'!$A$2:$A$23,"Q3",'3 Hazed Questions'!$C$2:$C$23,K295)+SUMIFS('3 Hazed Questions'!$L$2:$L$23,'3 Hazed Questions'!$A$2:$A$23,"Q4",'3 Hazed Questions'!$C$2:$C$23,L295))</f>
        <v/>
      </c>
      <c r="V295" s="14" t="str">
        <f aca="false">IF(COUNTA(I295:L295)=0,"",SUMIFS('3 Hazed Questions'!$M$2:$M$23,'3 Hazed Questions'!$A$2:$A$23,"Q1",'3 Hazed Questions'!$C$2:$C$23,I295)+SUMIFS('3 Hazed Questions'!$M$2:$M$23,'3 Hazed Questions'!$A$2:$A$23,"Q2",'3 Hazed Questions'!$C$2:$C$23,J295)+SUMIFS('3 Hazed Questions'!$M$2:$M$23,'3 Hazed Questions'!$A$2:$A$23,"Q3",'3 Hazed Questions'!$C$2:$C$23,K295)+SUMIFS('3 Hazed Questions'!$M$2:$M$23,'3 Hazed Questions'!$A$2:$A$23,"Q4",'3 Hazed Questions'!$C$2:$C$23,L295))</f>
        <v/>
      </c>
      <c r="W295" s="14" t="str">
        <f aca="false">IF(COUNTA(I295:L295)=0,"",SUMIFS('3 Hazed Questions'!$N$2:$N$23,'3 Hazed Questions'!$A$2:$A$23,"Q1",'3 Hazed Questions'!$C$2:$C$23,I295)+SUMIFS('3 Hazed Questions'!$N$2:$N$23,'3 Hazed Questions'!$A$2:$A$23,"Q2",'3 Hazed Questions'!$C$2:$C$23,J295)+SUMIFS('3 Hazed Questions'!$N$2:$N$23,'3 Hazed Questions'!$A$2:$A$23,"Q3",'3 Hazed Questions'!$C$2:$C$23,K295)+SUMIFS('3 Hazed Questions'!$N$2:$N$23,'3 Hazed Questions'!$A$2:$A$23,"Q4",'3 Hazed Questions'!$C$2:$C$23,L295))</f>
        <v/>
      </c>
      <c r="X295" s="14" t="str">
        <f aca="false">IF(COUNTA(I295:L295)=0,"",INDEX(Fields!$B$2:$B$50,MATCH(SUBSTITUTE(INDEX($N$1:$W$1,MATCH(MAX($N295:$W295),$N295:$W295,0)),"Score: ",""),Fields!$A$2:$A$50,0)))</f>
        <v/>
      </c>
      <c r="Y295" s="14" t="str">
        <f aca="true">IF(COUNTA(I295:L295)=0,"",IF(LARGE($N295:$W295,2)=0,"-",INDEX(Fields!$B$2:$B$50,MATCH(SUBSTITUTE(INDEX($N$1:$W$1,IF(LARGE($N295:$W295,2)=MAX($N295:$W295),MATCH(MAX($N295:$W295),OFFSET($N295:$W295,0,MATCH(MAX($N295:$W295),$N295:$W295,0),1,10-MATCH(MAX($N295:$W295),$N295:$W295,0)),0)+MATCH(MAX($N295:$W295),$N295:$W295,0),MATCH(LARGE($N295:$W295,2),$N295:$W295,0))),"Score: ",""),Fields!$A$2:$A$50,0))))</f>
        <v/>
      </c>
      <c r="Z295" s="14" t="str">
        <f aca="false">IF(M295="","",IFERROR(INDEX('3 Hazed Questions'!$O$2:$O$23,MATCH(1,INDEX(('3 Hazed Questions'!$A$2:$A$23="Q5")*('3 Hazed Questions'!$C$2:$C$23=M295),0),0))&amp;"",""))</f>
        <v/>
      </c>
      <c r="AA295" s="18"/>
      <c r="AB295" s="18"/>
      <c r="AC295" s="19"/>
      <c r="AD295" s="19"/>
      <c r="AE295" s="18"/>
      <c r="AF295" s="18"/>
      <c r="AG295" s="18"/>
    </row>
    <row r="296" customFormat="false" ht="15" hidden="false" customHeight="false" outlineLevel="0" collapsed="false">
      <c r="A296" s="18"/>
      <c r="B296" s="19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4" t="str">
        <f aca="false">IF(COUNTA(I296:L296)=0,"",SUMIFS('3 Hazed Questions'!$E$2:$E$23,'3 Hazed Questions'!$A$2:$A$23,"Q1",'3 Hazed Questions'!$C$2:$C$23,I296)+SUMIFS('3 Hazed Questions'!$E$2:$E$23,'3 Hazed Questions'!$A$2:$A$23,"Q2",'3 Hazed Questions'!$C$2:$C$23,J296)+SUMIFS('3 Hazed Questions'!$E$2:$E$23,'3 Hazed Questions'!$A$2:$A$23,"Q3",'3 Hazed Questions'!$C$2:$C$23,K296)+SUMIFS('3 Hazed Questions'!$E$2:$E$23,'3 Hazed Questions'!$A$2:$A$23,"Q4",'3 Hazed Questions'!$C$2:$C$23,L296))</f>
        <v/>
      </c>
      <c r="O296" s="14" t="str">
        <f aca="false">IF(COUNTA(I296:L296)=0,"",SUMIFS('3 Hazed Questions'!$F$2:$F$23,'3 Hazed Questions'!$A$2:$A$23,"Q1",'3 Hazed Questions'!$C$2:$C$23,I296)+SUMIFS('3 Hazed Questions'!$F$2:$F$23,'3 Hazed Questions'!$A$2:$A$23,"Q2",'3 Hazed Questions'!$C$2:$C$23,J296)+SUMIFS('3 Hazed Questions'!$F$2:$F$23,'3 Hazed Questions'!$A$2:$A$23,"Q3",'3 Hazed Questions'!$C$2:$C$23,K296)+SUMIFS('3 Hazed Questions'!$F$2:$F$23,'3 Hazed Questions'!$A$2:$A$23,"Q4",'3 Hazed Questions'!$C$2:$C$23,L296))</f>
        <v/>
      </c>
      <c r="P296" s="14" t="str">
        <f aca="false">IF(COUNTA(I296:L296)=0,"",SUMIFS('3 Hazed Questions'!$G$2:$G$23,'3 Hazed Questions'!$A$2:$A$23,"Q1",'3 Hazed Questions'!$C$2:$C$23,I296)+SUMIFS('3 Hazed Questions'!$G$2:$G$23,'3 Hazed Questions'!$A$2:$A$23,"Q2",'3 Hazed Questions'!$C$2:$C$23,J296)+SUMIFS('3 Hazed Questions'!$G$2:$G$23,'3 Hazed Questions'!$A$2:$A$23,"Q3",'3 Hazed Questions'!$C$2:$C$23,K296)+SUMIFS('3 Hazed Questions'!$G$2:$G$23,'3 Hazed Questions'!$A$2:$A$23,"Q4",'3 Hazed Questions'!$C$2:$C$23,L296))</f>
        <v/>
      </c>
      <c r="Q296" s="14" t="str">
        <f aca="false">IF(COUNTA(I296:L296)=0,"",SUMIFS('3 Hazed Questions'!$H$2:$H$23,'3 Hazed Questions'!$A$2:$A$23,"Q1",'3 Hazed Questions'!$C$2:$C$23,I296)+SUMIFS('3 Hazed Questions'!$H$2:$H$23,'3 Hazed Questions'!$A$2:$A$23,"Q2",'3 Hazed Questions'!$C$2:$C$23,J296)+SUMIFS('3 Hazed Questions'!$H$2:$H$23,'3 Hazed Questions'!$A$2:$A$23,"Q3",'3 Hazed Questions'!$C$2:$C$23,K296)+SUMIFS('3 Hazed Questions'!$H$2:$H$23,'3 Hazed Questions'!$A$2:$A$23,"Q4",'3 Hazed Questions'!$C$2:$C$23,L296))</f>
        <v/>
      </c>
      <c r="R296" s="14" t="str">
        <f aca="false">IF(COUNTA(I296:L296)=0,"",SUMIFS('3 Hazed Questions'!$I$2:$I$23,'3 Hazed Questions'!$A$2:$A$23,"Q1",'3 Hazed Questions'!$C$2:$C$23,I296)+SUMIFS('3 Hazed Questions'!$I$2:$I$23,'3 Hazed Questions'!$A$2:$A$23,"Q2",'3 Hazed Questions'!$C$2:$C$23,J296)+SUMIFS('3 Hazed Questions'!$I$2:$I$23,'3 Hazed Questions'!$A$2:$A$23,"Q3",'3 Hazed Questions'!$C$2:$C$23,K296)+SUMIFS('3 Hazed Questions'!$I$2:$I$23,'3 Hazed Questions'!$A$2:$A$23,"Q4",'3 Hazed Questions'!$C$2:$C$23,L296))</f>
        <v/>
      </c>
      <c r="S296" s="14" t="str">
        <f aca="false">IF(COUNTA(I296:L296)=0,"",SUMIFS('3 Hazed Questions'!$J$2:$J$23,'3 Hazed Questions'!$A$2:$A$23,"Q1",'3 Hazed Questions'!$C$2:$C$23,I296)+SUMIFS('3 Hazed Questions'!$J$2:$J$23,'3 Hazed Questions'!$A$2:$A$23,"Q2",'3 Hazed Questions'!$C$2:$C$23,J296)+SUMIFS('3 Hazed Questions'!$J$2:$J$23,'3 Hazed Questions'!$A$2:$A$23,"Q3",'3 Hazed Questions'!$C$2:$C$23,K296)+SUMIFS('3 Hazed Questions'!$J$2:$J$23,'3 Hazed Questions'!$A$2:$A$23,"Q4",'3 Hazed Questions'!$C$2:$C$23,L296))</f>
        <v/>
      </c>
      <c r="T296" s="14" t="str">
        <f aca="false">IF(COUNTA(I296:L296)=0,"",SUMIFS('3 Hazed Questions'!$K$2:$K$23,'3 Hazed Questions'!$A$2:$A$23,"Q1",'3 Hazed Questions'!$C$2:$C$23,I296)+SUMIFS('3 Hazed Questions'!$K$2:$K$23,'3 Hazed Questions'!$A$2:$A$23,"Q2",'3 Hazed Questions'!$C$2:$C$23,J296)+SUMIFS('3 Hazed Questions'!$K$2:$K$23,'3 Hazed Questions'!$A$2:$A$23,"Q3",'3 Hazed Questions'!$C$2:$C$23,K296)+SUMIFS('3 Hazed Questions'!$K$2:$K$23,'3 Hazed Questions'!$A$2:$A$23,"Q4",'3 Hazed Questions'!$C$2:$C$23,L296))</f>
        <v/>
      </c>
      <c r="U296" s="14" t="str">
        <f aca="false">IF(COUNTA(I296:L296)=0,"",SUMIFS('3 Hazed Questions'!$L$2:$L$23,'3 Hazed Questions'!$A$2:$A$23,"Q1",'3 Hazed Questions'!$C$2:$C$23,I296)+SUMIFS('3 Hazed Questions'!$L$2:$L$23,'3 Hazed Questions'!$A$2:$A$23,"Q2",'3 Hazed Questions'!$C$2:$C$23,J296)+SUMIFS('3 Hazed Questions'!$L$2:$L$23,'3 Hazed Questions'!$A$2:$A$23,"Q3",'3 Hazed Questions'!$C$2:$C$23,K296)+SUMIFS('3 Hazed Questions'!$L$2:$L$23,'3 Hazed Questions'!$A$2:$A$23,"Q4",'3 Hazed Questions'!$C$2:$C$23,L296))</f>
        <v/>
      </c>
      <c r="V296" s="14" t="str">
        <f aca="false">IF(COUNTA(I296:L296)=0,"",SUMIFS('3 Hazed Questions'!$M$2:$M$23,'3 Hazed Questions'!$A$2:$A$23,"Q1",'3 Hazed Questions'!$C$2:$C$23,I296)+SUMIFS('3 Hazed Questions'!$M$2:$M$23,'3 Hazed Questions'!$A$2:$A$23,"Q2",'3 Hazed Questions'!$C$2:$C$23,J296)+SUMIFS('3 Hazed Questions'!$M$2:$M$23,'3 Hazed Questions'!$A$2:$A$23,"Q3",'3 Hazed Questions'!$C$2:$C$23,K296)+SUMIFS('3 Hazed Questions'!$M$2:$M$23,'3 Hazed Questions'!$A$2:$A$23,"Q4",'3 Hazed Questions'!$C$2:$C$23,L296))</f>
        <v/>
      </c>
      <c r="W296" s="14" t="str">
        <f aca="false">IF(COUNTA(I296:L296)=0,"",SUMIFS('3 Hazed Questions'!$N$2:$N$23,'3 Hazed Questions'!$A$2:$A$23,"Q1",'3 Hazed Questions'!$C$2:$C$23,I296)+SUMIFS('3 Hazed Questions'!$N$2:$N$23,'3 Hazed Questions'!$A$2:$A$23,"Q2",'3 Hazed Questions'!$C$2:$C$23,J296)+SUMIFS('3 Hazed Questions'!$N$2:$N$23,'3 Hazed Questions'!$A$2:$A$23,"Q3",'3 Hazed Questions'!$C$2:$C$23,K296)+SUMIFS('3 Hazed Questions'!$N$2:$N$23,'3 Hazed Questions'!$A$2:$A$23,"Q4",'3 Hazed Questions'!$C$2:$C$23,L296))</f>
        <v/>
      </c>
      <c r="X296" s="14" t="str">
        <f aca="false">IF(COUNTA(I296:L296)=0,"",INDEX(Fields!$B$2:$B$50,MATCH(SUBSTITUTE(INDEX($N$1:$W$1,MATCH(MAX($N296:$W296),$N296:$W296,0)),"Score: ",""),Fields!$A$2:$A$50,0)))</f>
        <v/>
      </c>
      <c r="Y296" s="14" t="str">
        <f aca="true">IF(COUNTA(I296:L296)=0,"",IF(LARGE($N296:$W296,2)=0,"-",INDEX(Fields!$B$2:$B$50,MATCH(SUBSTITUTE(INDEX($N$1:$W$1,IF(LARGE($N296:$W296,2)=MAX($N296:$W296),MATCH(MAX($N296:$W296),OFFSET($N296:$W296,0,MATCH(MAX($N296:$W296),$N296:$W296,0),1,10-MATCH(MAX($N296:$W296),$N296:$W296,0)),0)+MATCH(MAX($N296:$W296),$N296:$W296,0),MATCH(LARGE($N296:$W296,2),$N296:$W296,0))),"Score: ",""),Fields!$A$2:$A$50,0))))</f>
        <v/>
      </c>
      <c r="Z296" s="14" t="str">
        <f aca="false">IF(M296="","",IFERROR(INDEX('3 Hazed Questions'!$O$2:$O$23,MATCH(1,INDEX(('3 Hazed Questions'!$A$2:$A$23="Q5")*('3 Hazed Questions'!$C$2:$C$23=M296),0),0))&amp;"",""))</f>
        <v/>
      </c>
      <c r="AA296" s="18"/>
      <c r="AB296" s="18"/>
      <c r="AC296" s="19"/>
      <c r="AD296" s="19"/>
      <c r="AE296" s="18"/>
      <c r="AF296" s="18"/>
      <c r="AG296" s="18"/>
    </row>
    <row r="297" customFormat="false" ht="15" hidden="false" customHeight="false" outlineLevel="0" collapsed="false">
      <c r="A297" s="18"/>
      <c r="B297" s="19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4" t="str">
        <f aca="false">IF(COUNTA(I297:L297)=0,"",SUMIFS('3 Hazed Questions'!$E$2:$E$23,'3 Hazed Questions'!$A$2:$A$23,"Q1",'3 Hazed Questions'!$C$2:$C$23,I297)+SUMIFS('3 Hazed Questions'!$E$2:$E$23,'3 Hazed Questions'!$A$2:$A$23,"Q2",'3 Hazed Questions'!$C$2:$C$23,J297)+SUMIFS('3 Hazed Questions'!$E$2:$E$23,'3 Hazed Questions'!$A$2:$A$23,"Q3",'3 Hazed Questions'!$C$2:$C$23,K297)+SUMIFS('3 Hazed Questions'!$E$2:$E$23,'3 Hazed Questions'!$A$2:$A$23,"Q4",'3 Hazed Questions'!$C$2:$C$23,L297))</f>
        <v/>
      </c>
      <c r="O297" s="14" t="str">
        <f aca="false">IF(COUNTA(I297:L297)=0,"",SUMIFS('3 Hazed Questions'!$F$2:$F$23,'3 Hazed Questions'!$A$2:$A$23,"Q1",'3 Hazed Questions'!$C$2:$C$23,I297)+SUMIFS('3 Hazed Questions'!$F$2:$F$23,'3 Hazed Questions'!$A$2:$A$23,"Q2",'3 Hazed Questions'!$C$2:$C$23,J297)+SUMIFS('3 Hazed Questions'!$F$2:$F$23,'3 Hazed Questions'!$A$2:$A$23,"Q3",'3 Hazed Questions'!$C$2:$C$23,K297)+SUMIFS('3 Hazed Questions'!$F$2:$F$23,'3 Hazed Questions'!$A$2:$A$23,"Q4",'3 Hazed Questions'!$C$2:$C$23,L297))</f>
        <v/>
      </c>
      <c r="P297" s="14" t="str">
        <f aca="false">IF(COUNTA(I297:L297)=0,"",SUMIFS('3 Hazed Questions'!$G$2:$G$23,'3 Hazed Questions'!$A$2:$A$23,"Q1",'3 Hazed Questions'!$C$2:$C$23,I297)+SUMIFS('3 Hazed Questions'!$G$2:$G$23,'3 Hazed Questions'!$A$2:$A$23,"Q2",'3 Hazed Questions'!$C$2:$C$23,J297)+SUMIFS('3 Hazed Questions'!$G$2:$G$23,'3 Hazed Questions'!$A$2:$A$23,"Q3",'3 Hazed Questions'!$C$2:$C$23,K297)+SUMIFS('3 Hazed Questions'!$G$2:$G$23,'3 Hazed Questions'!$A$2:$A$23,"Q4",'3 Hazed Questions'!$C$2:$C$23,L297))</f>
        <v/>
      </c>
      <c r="Q297" s="14" t="str">
        <f aca="false">IF(COUNTA(I297:L297)=0,"",SUMIFS('3 Hazed Questions'!$H$2:$H$23,'3 Hazed Questions'!$A$2:$A$23,"Q1",'3 Hazed Questions'!$C$2:$C$23,I297)+SUMIFS('3 Hazed Questions'!$H$2:$H$23,'3 Hazed Questions'!$A$2:$A$23,"Q2",'3 Hazed Questions'!$C$2:$C$23,J297)+SUMIFS('3 Hazed Questions'!$H$2:$H$23,'3 Hazed Questions'!$A$2:$A$23,"Q3",'3 Hazed Questions'!$C$2:$C$23,K297)+SUMIFS('3 Hazed Questions'!$H$2:$H$23,'3 Hazed Questions'!$A$2:$A$23,"Q4",'3 Hazed Questions'!$C$2:$C$23,L297))</f>
        <v/>
      </c>
      <c r="R297" s="14" t="str">
        <f aca="false">IF(COUNTA(I297:L297)=0,"",SUMIFS('3 Hazed Questions'!$I$2:$I$23,'3 Hazed Questions'!$A$2:$A$23,"Q1",'3 Hazed Questions'!$C$2:$C$23,I297)+SUMIFS('3 Hazed Questions'!$I$2:$I$23,'3 Hazed Questions'!$A$2:$A$23,"Q2",'3 Hazed Questions'!$C$2:$C$23,J297)+SUMIFS('3 Hazed Questions'!$I$2:$I$23,'3 Hazed Questions'!$A$2:$A$23,"Q3",'3 Hazed Questions'!$C$2:$C$23,K297)+SUMIFS('3 Hazed Questions'!$I$2:$I$23,'3 Hazed Questions'!$A$2:$A$23,"Q4",'3 Hazed Questions'!$C$2:$C$23,L297))</f>
        <v/>
      </c>
      <c r="S297" s="14" t="str">
        <f aca="false">IF(COUNTA(I297:L297)=0,"",SUMIFS('3 Hazed Questions'!$J$2:$J$23,'3 Hazed Questions'!$A$2:$A$23,"Q1",'3 Hazed Questions'!$C$2:$C$23,I297)+SUMIFS('3 Hazed Questions'!$J$2:$J$23,'3 Hazed Questions'!$A$2:$A$23,"Q2",'3 Hazed Questions'!$C$2:$C$23,J297)+SUMIFS('3 Hazed Questions'!$J$2:$J$23,'3 Hazed Questions'!$A$2:$A$23,"Q3",'3 Hazed Questions'!$C$2:$C$23,K297)+SUMIFS('3 Hazed Questions'!$J$2:$J$23,'3 Hazed Questions'!$A$2:$A$23,"Q4",'3 Hazed Questions'!$C$2:$C$23,L297))</f>
        <v/>
      </c>
      <c r="T297" s="14" t="str">
        <f aca="false">IF(COUNTA(I297:L297)=0,"",SUMIFS('3 Hazed Questions'!$K$2:$K$23,'3 Hazed Questions'!$A$2:$A$23,"Q1",'3 Hazed Questions'!$C$2:$C$23,I297)+SUMIFS('3 Hazed Questions'!$K$2:$K$23,'3 Hazed Questions'!$A$2:$A$23,"Q2",'3 Hazed Questions'!$C$2:$C$23,J297)+SUMIFS('3 Hazed Questions'!$K$2:$K$23,'3 Hazed Questions'!$A$2:$A$23,"Q3",'3 Hazed Questions'!$C$2:$C$23,K297)+SUMIFS('3 Hazed Questions'!$K$2:$K$23,'3 Hazed Questions'!$A$2:$A$23,"Q4",'3 Hazed Questions'!$C$2:$C$23,L297))</f>
        <v/>
      </c>
      <c r="U297" s="14" t="str">
        <f aca="false">IF(COUNTA(I297:L297)=0,"",SUMIFS('3 Hazed Questions'!$L$2:$L$23,'3 Hazed Questions'!$A$2:$A$23,"Q1",'3 Hazed Questions'!$C$2:$C$23,I297)+SUMIFS('3 Hazed Questions'!$L$2:$L$23,'3 Hazed Questions'!$A$2:$A$23,"Q2",'3 Hazed Questions'!$C$2:$C$23,J297)+SUMIFS('3 Hazed Questions'!$L$2:$L$23,'3 Hazed Questions'!$A$2:$A$23,"Q3",'3 Hazed Questions'!$C$2:$C$23,K297)+SUMIFS('3 Hazed Questions'!$L$2:$L$23,'3 Hazed Questions'!$A$2:$A$23,"Q4",'3 Hazed Questions'!$C$2:$C$23,L297))</f>
        <v/>
      </c>
      <c r="V297" s="14" t="str">
        <f aca="false">IF(COUNTA(I297:L297)=0,"",SUMIFS('3 Hazed Questions'!$M$2:$M$23,'3 Hazed Questions'!$A$2:$A$23,"Q1",'3 Hazed Questions'!$C$2:$C$23,I297)+SUMIFS('3 Hazed Questions'!$M$2:$M$23,'3 Hazed Questions'!$A$2:$A$23,"Q2",'3 Hazed Questions'!$C$2:$C$23,J297)+SUMIFS('3 Hazed Questions'!$M$2:$M$23,'3 Hazed Questions'!$A$2:$A$23,"Q3",'3 Hazed Questions'!$C$2:$C$23,K297)+SUMIFS('3 Hazed Questions'!$M$2:$M$23,'3 Hazed Questions'!$A$2:$A$23,"Q4",'3 Hazed Questions'!$C$2:$C$23,L297))</f>
        <v/>
      </c>
      <c r="W297" s="14" t="str">
        <f aca="false">IF(COUNTA(I297:L297)=0,"",SUMIFS('3 Hazed Questions'!$N$2:$N$23,'3 Hazed Questions'!$A$2:$A$23,"Q1",'3 Hazed Questions'!$C$2:$C$23,I297)+SUMIFS('3 Hazed Questions'!$N$2:$N$23,'3 Hazed Questions'!$A$2:$A$23,"Q2",'3 Hazed Questions'!$C$2:$C$23,J297)+SUMIFS('3 Hazed Questions'!$N$2:$N$23,'3 Hazed Questions'!$A$2:$A$23,"Q3",'3 Hazed Questions'!$C$2:$C$23,K297)+SUMIFS('3 Hazed Questions'!$N$2:$N$23,'3 Hazed Questions'!$A$2:$A$23,"Q4",'3 Hazed Questions'!$C$2:$C$23,L297))</f>
        <v/>
      </c>
      <c r="X297" s="14" t="str">
        <f aca="false">IF(COUNTA(I297:L297)=0,"",INDEX(Fields!$B$2:$B$50,MATCH(SUBSTITUTE(INDEX($N$1:$W$1,MATCH(MAX($N297:$W297),$N297:$W297,0)),"Score: ",""),Fields!$A$2:$A$50,0)))</f>
        <v/>
      </c>
      <c r="Y297" s="14" t="str">
        <f aca="true">IF(COUNTA(I297:L297)=0,"",IF(LARGE($N297:$W297,2)=0,"-",INDEX(Fields!$B$2:$B$50,MATCH(SUBSTITUTE(INDEX($N$1:$W$1,IF(LARGE($N297:$W297,2)=MAX($N297:$W297),MATCH(MAX($N297:$W297),OFFSET($N297:$W297,0,MATCH(MAX($N297:$W297),$N297:$W297,0),1,10-MATCH(MAX($N297:$W297),$N297:$W297,0)),0)+MATCH(MAX($N297:$W297),$N297:$W297,0),MATCH(LARGE($N297:$W297,2),$N297:$W297,0))),"Score: ",""),Fields!$A$2:$A$50,0))))</f>
        <v/>
      </c>
      <c r="Z297" s="14" t="str">
        <f aca="false">IF(M297="","",IFERROR(INDEX('3 Hazed Questions'!$O$2:$O$23,MATCH(1,INDEX(('3 Hazed Questions'!$A$2:$A$23="Q5")*('3 Hazed Questions'!$C$2:$C$23=M297),0),0))&amp;"",""))</f>
        <v/>
      </c>
      <c r="AA297" s="18"/>
      <c r="AB297" s="18"/>
      <c r="AC297" s="19"/>
      <c r="AD297" s="19"/>
      <c r="AE297" s="18"/>
      <c r="AF297" s="18"/>
      <c r="AG297" s="18"/>
    </row>
    <row r="298" customFormat="false" ht="15" hidden="false" customHeight="false" outlineLevel="0" collapsed="false">
      <c r="A298" s="18"/>
      <c r="B298" s="19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4" t="str">
        <f aca="false">IF(COUNTA(I298:L298)=0,"",SUMIFS('3 Hazed Questions'!$E$2:$E$23,'3 Hazed Questions'!$A$2:$A$23,"Q1",'3 Hazed Questions'!$C$2:$C$23,I298)+SUMIFS('3 Hazed Questions'!$E$2:$E$23,'3 Hazed Questions'!$A$2:$A$23,"Q2",'3 Hazed Questions'!$C$2:$C$23,J298)+SUMIFS('3 Hazed Questions'!$E$2:$E$23,'3 Hazed Questions'!$A$2:$A$23,"Q3",'3 Hazed Questions'!$C$2:$C$23,K298)+SUMIFS('3 Hazed Questions'!$E$2:$E$23,'3 Hazed Questions'!$A$2:$A$23,"Q4",'3 Hazed Questions'!$C$2:$C$23,L298))</f>
        <v/>
      </c>
      <c r="O298" s="14" t="str">
        <f aca="false">IF(COUNTA(I298:L298)=0,"",SUMIFS('3 Hazed Questions'!$F$2:$F$23,'3 Hazed Questions'!$A$2:$A$23,"Q1",'3 Hazed Questions'!$C$2:$C$23,I298)+SUMIFS('3 Hazed Questions'!$F$2:$F$23,'3 Hazed Questions'!$A$2:$A$23,"Q2",'3 Hazed Questions'!$C$2:$C$23,J298)+SUMIFS('3 Hazed Questions'!$F$2:$F$23,'3 Hazed Questions'!$A$2:$A$23,"Q3",'3 Hazed Questions'!$C$2:$C$23,K298)+SUMIFS('3 Hazed Questions'!$F$2:$F$23,'3 Hazed Questions'!$A$2:$A$23,"Q4",'3 Hazed Questions'!$C$2:$C$23,L298))</f>
        <v/>
      </c>
      <c r="P298" s="14" t="str">
        <f aca="false">IF(COUNTA(I298:L298)=0,"",SUMIFS('3 Hazed Questions'!$G$2:$G$23,'3 Hazed Questions'!$A$2:$A$23,"Q1",'3 Hazed Questions'!$C$2:$C$23,I298)+SUMIFS('3 Hazed Questions'!$G$2:$G$23,'3 Hazed Questions'!$A$2:$A$23,"Q2",'3 Hazed Questions'!$C$2:$C$23,J298)+SUMIFS('3 Hazed Questions'!$G$2:$G$23,'3 Hazed Questions'!$A$2:$A$23,"Q3",'3 Hazed Questions'!$C$2:$C$23,K298)+SUMIFS('3 Hazed Questions'!$G$2:$G$23,'3 Hazed Questions'!$A$2:$A$23,"Q4",'3 Hazed Questions'!$C$2:$C$23,L298))</f>
        <v/>
      </c>
      <c r="Q298" s="14" t="str">
        <f aca="false">IF(COUNTA(I298:L298)=0,"",SUMIFS('3 Hazed Questions'!$H$2:$H$23,'3 Hazed Questions'!$A$2:$A$23,"Q1",'3 Hazed Questions'!$C$2:$C$23,I298)+SUMIFS('3 Hazed Questions'!$H$2:$H$23,'3 Hazed Questions'!$A$2:$A$23,"Q2",'3 Hazed Questions'!$C$2:$C$23,J298)+SUMIFS('3 Hazed Questions'!$H$2:$H$23,'3 Hazed Questions'!$A$2:$A$23,"Q3",'3 Hazed Questions'!$C$2:$C$23,K298)+SUMIFS('3 Hazed Questions'!$H$2:$H$23,'3 Hazed Questions'!$A$2:$A$23,"Q4",'3 Hazed Questions'!$C$2:$C$23,L298))</f>
        <v/>
      </c>
      <c r="R298" s="14" t="str">
        <f aca="false">IF(COUNTA(I298:L298)=0,"",SUMIFS('3 Hazed Questions'!$I$2:$I$23,'3 Hazed Questions'!$A$2:$A$23,"Q1",'3 Hazed Questions'!$C$2:$C$23,I298)+SUMIFS('3 Hazed Questions'!$I$2:$I$23,'3 Hazed Questions'!$A$2:$A$23,"Q2",'3 Hazed Questions'!$C$2:$C$23,J298)+SUMIFS('3 Hazed Questions'!$I$2:$I$23,'3 Hazed Questions'!$A$2:$A$23,"Q3",'3 Hazed Questions'!$C$2:$C$23,K298)+SUMIFS('3 Hazed Questions'!$I$2:$I$23,'3 Hazed Questions'!$A$2:$A$23,"Q4",'3 Hazed Questions'!$C$2:$C$23,L298))</f>
        <v/>
      </c>
      <c r="S298" s="14" t="str">
        <f aca="false">IF(COUNTA(I298:L298)=0,"",SUMIFS('3 Hazed Questions'!$J$2:$J$23,'3 Hazed Questions'!$A$2:$A$23,"Q1",'3 Hazed Questions'!$C$2:$C$23,I298)+SUMIFS('3 Hazed Questions'!$J$2:$J$23,'3 Hazed Questions'!$A$2:$A$23,"Q2",'3 Hazed Questions'!$C$2:$C$23,J298)+SUMIFS('3 Hazed Questions'!$J$2:$J$23,'3 Hazed Questions'!$A$2:$A$23,"Q3",'3 Hazed Questions'!$C$2:$C$23,K298)+SUMIFS('3 Hazed Questions'!$J$2:$J$23,'3 Hazed Questions'!$A$2:$A$23,"Q4",'3 Hazed Questions'!$C$2:$C$23,L298))</f>
        <v/>
      </c>
      <c r="T298" s="14" t="str">
        <f aca="false">IF(COUNTA(I298:L298)=0,"",SUMIFS('3 Hazed Questions'!$K$2:$K$23,'3 Hazed Questions'!$A$2:$A$23,"Q1",'3 Hazed Questions'!$C$2:$C$23,I298)+SUMIFS('3 Hazed Questions'!$K$2:$K$23,'3 Hazed Questions'!$A$2:$A$23,"Q2",'3 Hazed Questions'!$C$2:$C$23,J298)+SUMIFS('3 Hazed Questions'!$K$2:$K$23,'3 Hazed Questions'!$A$2:$A$23,"Q3",'3 Hazed Questions'!$C$2:$C$23,K298)+SUMIFS('3 Hazed Questions'!$K$2:$K$23,'3 Hazed Questions'!$A$2:$A$23,"Q4",'3 Hazed Questions'!$C$2:$C$23,L298))</f>
        <v/>
      </c>
      <c r="U298" s="14" t="str">
        <f aca="false">IF(COUNTA(I298:L298)=0,"",SUMIFS('3 Hazed Questions'!$L$2:$L$23,'3 Hazed Questions'!$A$2:$A$23,"Q1",'3 Hazed Questions'!$C$2:$C$23,I298)+SUMIFS('3 Hazed Questions'!$L$2:$L$23,'3 Hazed Questions'!$A$2:$A$23,"Q2",'3 Hazed Questions'!$C$2:$C$23,J298)+SUMIFS('3 Hazed Questions'!$L$2:$L$23,'3 Hazed Questions'!$A$2:$A$23,"Q3",'3 Hazed Questions'!$C$2:$C$23,K298)+SUMIFS('3 Hazed Questions'!$L$2:$L$23,'3 Hazed Questions'!$A$2:$A$23,"Q4",'3 Hazed Questions'!$C$2:$C$23,L298))</f>
        <v/>
      </c>
      <c r="V298" s="14" t="str">
        <f aca="false">IF(COUNTA(I298:L298)=0,"",SUMIFS('3 Hazed Questions'!$M$2:$M$23,'3 Hazed Questions'!$A$2:$A$23,"Q1",'3 Hazed Questions'!$C$2:$C$23,I298)+SUMIFS('3 Hazed Questions'!$M$2:$M$23,'3 Hazed Questions'!$A$2:$A$23,"Q2",'3 Hazed Questions'!$C$2:$C$23,J298)+SUMIFS('3 Hazed Questions'!$M$2:$M$23,'3 Hazed Questions'!$A$2:$A$23,"Q3",'3 Hazed Questions'!$C$2:$C$23,K298)+SUMIFS('3 Hazed Questions'!$M$2:$M$23,'3 Hazed Questions'!$A$2:$A$23,"Q4",'3 Hazed Questions'!$C$2:$C$23,L298))</f>
        <v/>
      </c>
      <c r="W298" s="14" t="str">
        <f aca="false">IF(COUNTA(I298:L298)=0,"",SUMIFS('3 Hazed Questions'!$N$2:$N$23,'3 Hazed Questions'!$A$2:$A$23,"Q1",'3 Hazed Questions'!$C$2:$C$23,I298)+SUMIFS('3 Hazed Questions'!$N$2:$N$23,'3 Hazed Questions'!$A$2:$A$23,"Q2",'3 Hazed Questions'!$C$2:$C$23,J298)+SUMIFS('3 Hazed Questions'!$N$2:$N$23,'3 Hazed Questions'!$A$2:$A$23,"Q3",'3 Hazed Questions'!$C$2:$C$23,K298)+SUMIFS('3 Hazed Questions'!$N$2:$N$23,'3 Hazed Questions'!$A$2:$A$23,"Q4",'3 Hazed Questions'!$C$2:$C$23,L298))</f>
        <v/>
      </c>
      <c r="X298" s="14" t="str">
        <f aca="false">IF(COUNTA(I298:L298)=0,"",INDEX(Fields!$B$2:$B$50,MATCH(SUBSTITUTE(INDEX($N$1:$W$1,MATCH(MAX($N298:$W298),$N298:$W298,0)),"Score: ",""),Fields!$A$2:$A$50,0)))</f>
        <v/>
      </c>
      <c r="Y298" s="14" t="str">
        <f aca="true">IF(COUNTA(I298:L298)=0,"",IF(LARGE($N298:$W298,2)=0,"-",INDEX(Fields!$B$2:$B$50,MATCH(SUBSTITUTE(INDEX($N$1:$W$1,IF(LARGE($N298:$W298,2)=MAX($N298:$W298),MATCH(MAX($N298:$W298),OFFSET($N298:$W298,0,MATCH(MAX($N298:$W298),$N298:$W298,0),1,10-MATCH(MAX($N298:$W298),$N298:$W298,0)),0)+MATCH(MAX($N298:$W298),$N298:$W298,0),MATCH(LARGE($N298:$W298,2),$N298:$W298,0))),"Score: ",""),Fields!$A$2:$A$50,0))))</f>
        <v/>
      </c>
      <c r="Z298" s="14" t="str">
        <f aca="false">IF(M298="","",IFERROR(INDEX('3 Hazed Questions'!$O$2:$O$23,MATCH(1,INDEX(('3 Hazed Questions'!$A$2:$A$23="Q5")*('3 Hazed Questions'!$C$2:$C$23=M298),0),0))&amp;"",""))</f>
        <v/>
      </c>
      <c r="AA298" s="18"/>
      <c r="AB298" s="18"/>
      <c r="AC298" s="19"/>
      <c r="AD298" s="19"/>
      <c r="AE298" s="18"/>
      <c r="AF298" s="18"/>
      <c r="AG298" s="18"/>
    </row>
    <row r="299" customFormat="false" ht="15" hidden="false" customHeight="false" outlineLevel="0" collapsed="false">
      <c r="A299" s="18"/>
      <c r="B299" s="19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4" t="str">
        <f aca="false">IF(COUNTA(I299:L299)=0,"",SUMIFS('3 Hazed Questions'!$E$2:$E$23,'3 Hazed Questions'!$A$2:$A$23,"Q1",'3 Hazed Questions'!$C$2:$C$23,I299)+SUMIFS('3 Hazed Questions'!$E$2:$E$23,'3 Hazed Questions'!$A$2:$A$23,"Q2",'3 Hazed Questions'!$C$2:$C$23,J299)+SUMIFS('3 Hazed Questions'!$E$2:$E$23,'3 Hazed Questions'!$A$2:$A$23,"Q3",'3 Hazed Questions'!$C$2:$C$23,K299)+SUMIFS('3 Hazed Questions'!$E$2:$E$23,'3 Hazed Questions'!$A$2:$A$23,"Q4",'3 Hazed Questions'!$C$2:$C$23,L299))</f>
        <v/>
      </c>
      <c r="O299" s="14" t="str">
        <f aca="false">IF(COUNTA(I299:L299)=0,"",SUMIFS('3 Hazed Questions'!$F$2:$F$23,'3 Hazed Questions'!$A$2:$A$23,"Q1",'3 Hazed Questions'!$C$2:$C$23,I299)+SUMIFS('3 Hazed Questions'!$F$2:$F$23,'3 Hazed Questions'!$A$2:$A$23,"Q2",'3 Hazed Questions'!$C$2:$C$23,J299)+SUMIFS('3 Hazed Questions'!$F$2:$F$23,'3 Hazed Questions'!$A$2:$A$23,"Q3",'3 Hazed Questions'!$C$2:$C$23,K299)+SUMIFS('3 Hazed Questions'!$F$2:$F$23,'3 Hazed Questions'!$A$2:$A$23,"Q4",'3 Hazed Questions'!$C$2:$C$23,L299))</f>
        <v/>
      </c>
      <c r="P299" s="14" t="str">
        <f aca="false">IF(COUNTA(I299:L299)=0,"",SUMIFS('3 Hazed Questions'!$G$2:$G$23,'3 Hazed Questions'!$A$2:$A$23,"Q1",'3 Hazed Questions'!$C$2:$C$23,I299)+SUMIFS('3 Hazed Questions'!$G$2:$G$23,'3 Hazed Questions'!$A$2:$A$23,"Q2",'3 Hazed Questions'!$C$2:$C$23,J299)+SUMIFS('3 Hazed Questions'!$G$2:$G$23,'3 Hazed Questions'!$A$2:$A$23,"Q3",'3 Hazed Questions'!$C$2:$C$23,K299)+SUMIFS('3 Hazed Questions'!$G$2:$G$23,'3 Hazed Questions'!$A$2:$A$23,"Q4",'3 Hazed Questions'!$C$2:$C$23,L299))</f>
        <v/>
      </c>
      <c r="Q299" s="14" t="str">
        <f aca="false">IF(COUNTA(I299:L299)=0,"",SUMIFS('3 Hazed Questions'!$H$2:$H$23,'3 Hazed Questions'!$A$2:$A$23,"Q1",'3 Hazed Questions'!$C$2:$C$23,I299)+SUMIFS('3 Hazed Questions'!$H$2:$H$23,'3 Hazed Questions'!$A$2:$A$23,"Q2",'3 Hazed Questions'!$C$2:$C$23,J299)+SUMIFS('3 Hazed Questions'!$H$2:$H$23,'3 Hazed Questions'!$A$2:$A$23,"Q3",'3 Hazed Questions'!$C$2:$C$23,K299)+SUMIFS('3 Hazed Questions'!$H$2:$H$23,'3 Hazed Questions'!$A$2:$A$23,"Q4",'3 Hazed Questions'!$C$2:$C$23,L299))</f>
        <v/>
      </c>
      <c r="R299" s="14" t="str">
        <f aca="false">IF(COUNTA(I299:L299)=0,"",SUMIFS('3 Hazed Questions'!$I$2:$I$23,'3 Hazed Questions'!$A$2:$A$23,"Q1",'3 Hazed Questions'!$C$2:$C$23,I299)+SUMIFS('3 Hazed Questions'!$I$2:$I$23,'3 Hazed Questions'!$A$2:$A$23,"Q2",'3 Hazed Questions'!$C$2:$C$23,J299)+SUMIFS('3 Hazed Questions'!$I$2:$I$23,'3 Hazed Questions'!$A$2:$A$23,"Q3",'3 Hazed Questions'!$C$2:$C$23,K299)+SUMIFS('3 Hazed Questions'!$I$2:$I$23,'3 Hazed Questions'!$A$2:$A$23,"Q4",'3 Hazed Questions'!$C$2:$C$23,L299))</f>
        <v/>
      </c>
      <c r="S299" s="14" t="str">
        <f aca="false">IF(COUNTA(I299:L299)=0,"",SUMIFS('3 Hazed Questions'!$J$2:$J$23,'3 Hazed Questions'!$A$2:$A$23,"Q1",'3 Hazed Questions'!$C$2:$C$23,I299)+SUMIFS('3 Hazed Questions'!$J$2:$J$23,'3 Hazed Questions'!$A$2:$A$23,"Q2",'3 Hazed Questions'!$C$2:$C$23,J299)+SUMIFS('3 Hazed Questions'!$J$2:$J$23,'3 Hazed Questions'!$A$2:$A$23,"Q3",'3 Hazed Questions'!$C$2:$C$23,K299)+SUMIFS('3 Hazed Questions'!$J$2:$J$23,'3 Hazed Questions'!$A$2:$A$23,"Q4",'3 Hazed Questions'!$C$2:$C$23,L299))</f>
        <v/>
      </c>
      <c r="T299" s="14" t="str">
        <f aca="false">IF(COUNTA(I299:L299)=0,"",SUMIFS('3 Hazed Questions'!$K$2:$K$23,'3 Hazed Questions'!$A$2:$A$23,"Q1",'3 Hazed Questions'!$C$2:$C$23,I299)+SUMIFS('3 Hazed Questions'!$K$2:$K$23,'3 Hazed Questions'!$A$2:$A$23,"Q2",'3 Hazed Questions'!$C$2:$C$23,J299)+SUMIFS('3 Hazed Questions'!$K$2:$K$23,'3 Hazed Questions'!$A$2:$A$23,"Q3",'3 Hazed Questions'!$C$2:$C$23,K299)+SUMIFS('3 Hazed Questions'!$K$2:$K$23,'3 Hazed Questions'!$A$2:$A$23,"Q4",'3 Hazed Questions'!$C$2:$C$23,L299))</f>
        <v/>
      </c>
      <c r="U299" s="14" t="str">
        <f aca="false">IF(COUNTA(I299:L299)=0,"",SUMIFS('3 Hazed Questions'!$L$2:$L$23,'3 Hazed Questions'!$A$2:$A$23,"Q1",'3 Hazed Questions'!$C$2:$C$23,I299)+SUMIFS('3 Hazed Questions'!$L$2:$L$23,'3 Hazed Questions'!$A$2:$A$23,"Q2",'3 Hazed Questions'!$C$2:$C$23,J299)+SUMIFS('3 Hazed Questions'!$L$2:$L$23,'3 Hazed Questions'!$A$2:$A$23,"Q3",'3 Hazed Questions'!$C$2:$C$23,K299)+SUMIFS('3 Hazed Questions'!$L$2:$L$23,'3 Hazed Questions'!$A$2:$A$23,"Q4",'3 Hazed Questions'!$C$2:$C$23,L299))</f>
        <v/>
      </c>
      <c r="V299" s="14" t="str">
        <f aca="false">IF(COUNTA(I299:L299)=0,"",SUMIFS('3 Hazed Questions'!$M$2:$M$23,'3 Hazed Questions'!$A$2:$A$23,"Q1",'3 Hazed Questions'!$C$2:$C$23,I299)+SUMIFS('3 Hazed Questions'!$M$2:$M$23,'3 Hazed Questions'!$A$2:$A$23,"Q2",'3 Hazed Questions'!$C$2:$C$23,J299)+SUMIFS('3 Hazed Questions'!$M$2:$M$23,'3 Hazed Questions'!$A$2:$A$23,"Q3",'3 Hazed Questions'!$C$2:$C$23,K299)+SUMIFS('3 Hazed Questions'!$M$2:$M$23,'3 Hazed Questions'!$A$2:$A$23,"Q4",'3 Hazed Questions'!$C$2:$C$23,L299))</f>
        <v/>
      </c>
      <c r="W299" s="14" t="str">
        <f aca="false">IF(COUNTA(I299:L299)=0,"",SUMIFS('3 Hazed Questions'!$N$2:$N$23,'3 Hazed Questions'!$A$2:$A$23,"Q1",'3 Hazed Questions'!$C$2:$C$23,I299)+SUMIFS('3 Hazed Questions'!$N$2:$N$23,'3 Hazed Questions'!$A$2:$A$23,"Q2",'3 Hazed Questions'!$C$2:$C$23,J299)+SUMIFS('3 Hazed Questions'!$N$2:$N$23,'3 Hazed Questions'!$A$2:$A$23,"Q3",'3 Hazed Questions'!$C$2:$C$23,K299)+SUMIFS('3 Hazed Questions'!$N$2:$N$23,'3 Hazed Questions'!$A$2:$A$23,"Q4",'3 Hazed Questions'!$C$2:$C$23,L299))</f>
        <v/>
      </c>
      <c r="X299" s="14" t="str">
        <f aca="false">IF(COUNTA(I299:L299)=0,"",INDEX(Fields!$B$2:$B$50,MATCH(SUBSTITUTE(INDEX($N$1:$W$1,MATCH(MAX($N299:$W299),$N299:$W299,0)),"Score: ",""),Fields!$A$2:$A$50,0)))</f>
        <v/>
      </c>
      <c r="Y299" s="14" t="str">
        <f aca="true">IF(COUNTA(I299:L299)=0,"",IF(LARGE($N299:$W299,2)=0,"-",INDEX(Fields!$B$2:$B$50,MATCH(SUBSTITUTE(INDEX($N$1:$W$1,IF(LARGE($N299:$W299,2)=MAX($N299:$W299),MATCH(MAX($N299:$W299),OFFSET($N299:$W299,0,MATCH(MAX($N299:$W299),$N299:$W299,0),1,10-MATCH(MAX($N299:$W299),$N299:$W299,0)),0)+MATCH(MAX($N299:$W299),$N299:$W299,0),MATCH(LARGE($N299:$W299,2),$N299:$W299,0))),"Score: ",""),Fields!$A$2:$A$50,0))))</f>
        <v/>
      </c>
      <c r="Z299" s="14" t="str">
        <f aca="false">IF(M299="","",IFERROR(INDEX('3 Hazed Questions'!$O$2:$O$23,MATCH(1,INDEX(('3 Hazed Questions'!$A$2:$A$23="Q5")*('3 Hazed Questions'!$C$2:$C$23=M299),0),0))&amp;"",""))</f>
        <v/>
      </c>
      <c r="AA299" s="18"/>
      <c r="AB299" s="18"/>
      <c r="AC299" s="19"/>
      <c r="AD299" s="19"/>
      <c r="AE299" s="18"/>
      <c r="AF299" s="18"/>
      <c r="AG299" s="18"/>
    </row>
    <row r="300" customFormat="false" ht="15" hidden="false" customHeight="false" outlineLevel="0" collapsed="false">
      <c r="A300" s="18"/>
      <c r="B300" s="19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4" t="str">
        <f aca="false">IF(COUNTA(I300:L300)=0,"",SUMIFS('3 Hazed Questions'!$E$2:$E$23,'3 Hazed Questions'!$A$2:$A$23,"Q1",'3 Hazed Questions'!$C$2:$C$23,I300)+SUMIFS('3 Hazed Questions'!$E$2:$E$23,'3 Hazed Questions'!$A$2:$A$23,"Q2",'3 Hazed Questions'!$C$2:$C$23,J300)+SUMIFS('3 Hazed Questions'!$E$2:$E$23,'3 Hazed Questions'!$A$2:$A$23,"Q3",'3 Hazed Questions'!$C$2:$C$23,K300)+SUMIFS('3 Hazed Questions'!$E$2:$E$23,'3 Hazed Questions'!$A$2:$A$23,"Q4",'3 Hazed Questions'!$C$2:$C$23,L300))</f>
        <v/>
      </c>
      <c r="O300" s="14" t="str">
        <f aca="false">IF(COUNTA(I300:L300)=0,"",SUMIFS('3 Hazed Questions'!$F$2:$F$23,'3 Hazed Questions'!$A$2:$A$23,"Q1",'3 Hazed Questions'!$C$2:$C$23,I300)+SUMIFS('3 Hazed Questions'!$F$2:$F$23,'3 Hazed Questions'!$A$2:$A$23,"Q2",'3 Hazed Questions'!$C$2:$C$23,J300)+SUMIFS('3 Hazed Questions'!$F$2:$F$23,'3 Hazed Questions'!$A$2:$A$23,"Q3",'3 Hazed Questions'!$C$2:$C$23,K300)+SUMIFS('3 Hazed Questions'!$F$2:$F$23,'3 Hazed Questions'!$A$2:$A$23,"Q4",'3 Hazed Questions'!$C$2:$C$23,L300))</f>
        <v/>
      </c>
      <c r="P300" s="14" t="str">
        <f aca="false">IF(COUNTA(I300:L300)=0,"",SUMIFS('3 Hazed Questions'!$G$2:$G$23,'3 Hazed Questions'!$A$2:$A$23,"Q1",'3 Hazed Questions'!$C$2:$C$23,I300)+SUMIFS('3 Hazed Questions'!$G$2:$G$23,'3 Hazed Questions'!$A$2:$A$23,"Q2",'3 Hazed Questions'!$C$2:$C$23,J300)+SUMIFS('3 Hazed Questions'!$G$2:$G$23,'3 Hazed Questions'!$A$2:$A$23,"Q3",'3 Hazed Questions'!$C$2:$C$23,K300)+SUMIFS('3 Hazed Questions'!$G$2:$G$23,'3 Hazed Questions'!$A$2:$A$23,"Q4",'3 Hazed Questions'!$C$2:$C$23,L300))</f>
        <v/>
      </c>
      <c r="Q300" s="14" t="str">
        <f aca="false">IF(COUNTA(I300:L300)=0,"",SUMIFS('3 Hazed Questions'!$H$2:$H$23,'3 Hazed Questions'!$A$2:$A$23,"Q1",'3 Hazed Questions'!$C$2:$C$23,I300)+SUMIFS('3 Hazed Questions'!$H$2:$H$23,'3 Hazed Questions'!$A$2:$A$23,"Q2",'3 Hazed Questions'!$C$2:$C$23,J300)+SUMIFS('3 Hazed Questions'!$H$2:$H$23,'3 Hazed Questions'!$A$2:$A$23,"Q3",'3 Hazed Questions'!$C$2:$C$23,K300)+SUMIFS('3 Hazed Questions'!$H$2:$H$23,'3 Hazed Questions'!$A$2:$A$23,"Q4",'3 Hazed Questions'!$C$2:$C$23,L300))</f>
        <v/>
      </c>
      <c r="R300" s="14" t="str">
        <f aca="false">IF(COUNTA(I300:L300)=0,"",SUMIFS('3 Hazed Questions'!$I$2:$I$23,'3 Hazed Questions'!$A$2:$A$23,"Q1",'3 Hazed Questions'!$C$2:$C$23,I300)+SUMIFS('3 Hazed Questions'!$I$2:$I$23,'3 Hazed Questions'!$A$2:$A$23,"Q2",'3 Hazed Questions'!$C$2:$C$23,J300)+SUMIFS('3 Hazed Questions'!$I$2:$I$23,'3 Hazed Questions'!$A$2:$A$23,"Q3",'3 Hazed Questions'!$C$2:$C$23,K300)+SUMIFS('3 Hazed Questions'!$I$2:$I$23,'3 Hazed Questions'!$A$2:$A$23,"Q4",'3 Hazed Questions'!$C$2:$C$23,L300))</f>
        <v/>
      </c>
      <c r="S300" s="14" t="str">
        <f aca="false">IF(COUNTA(I300:L300)=0,"",SUMIFS('3 Hazed Questions'!$J$2:$J$23,'3 Hazed Questions'!$A$2:$A$23,"Q1",'3 Hazed Questions'!$C$2:$C$23,I300)+SUMIFS('3 Hazed Questions'!$J$2:$J$23,'3 Hazed Questions'!$A$2:$A$23,"Q2",'3 Hazed Questions'!$C$2:$C$23,J300)+SUMIFS('3 Hazed Questions'!$J$2:$J$23,'3 Hazed Questions'!$A$2:$A$23,"Q3",'3 Hazed Questions'!$C$2:$C$23,K300)+SUMIFS('3 Hazed Questions'!$J$2:$J$23,'3 Hazed Questions'!$A$2:$A$23,"Q4",'3 Hazed Questions'!$C$2:$C$23,L300))</f>
        <v/>
      </c>
      <c r="T300" s="14" t="str">
        <f aca="false">IF(COUNTA(I300:L300)=0,"",SUMIFS('3 Hazed Questions'!$K$2:$K$23,'3 Hazed Questions'!$A$2:$A$23,"Q1",'3 Hazed Questions'!$C$2:$C$23,I300)+SUMIFS('3 Hazed Questions'!$K$2:$K$23,'3 Hazed Questions'!$A$2:$A$23,"Q2",'3 Hazed Questions'!$C$2:$C$23,J300)+SUMIFS('3 Hazed Questions'!$K$2:$K$23,'3 Hazed Questions'!$A$2:$A$23,"Q3",'3 Hazed Questions'!$C$2:$C$23,K300)+SUMIFS('3 Hazed Questions'!$K$2:$K$23,'3 Hazed Questions'!$A$2:$A$23,"Q4",'3 Hazed Questions'!$C$2:$C$23,L300))</f>
        <v/>
      </c>
      <c r="U300" s="14" t="str">
        <f aca="false">IF(COUNTA(I300:L300)=0,"",SUMIFS('3 Hazed Questions'!$L$2:$L$23,'3 Hazed Questions'!$A$2:$A$23,"Q1",'3 Hazed Questions'!$C$2:$C$23,I300)+SUMIFS('3 Hazed Questions'!$L$2:$L$23,'3 Hazed Questions'!$A$2:$A$23,"Q2",'3 Hazed Questions'!$C$2:$C$23,J300)+SUMIFS('3 Hazed Questions'!$L$2:$L$23,'3 Hazed Questions'!$A$2:$A$23,"Q3",'3 Hazed Questions'!$C$2:$C$23,K300)+SUMIFS('3 Hazed Questions'!$L$2:$L$23,'3 Hazed Questions'!$A$2:$A$23,"Q4",'3 Hazed Questions'!$C$2:$C$23,L300))</f>
        <v/>
      </c>
      <c r="V300" s="14" t="str">
        <f aca="false">IF(COUNTA(I300:L300)=0,"",SUMIFS('3 Hazed Questions'!$M$2:$M$23,'3 Hazed Questions'!$A$2:$A$23,"Q1",'3 Hazed Questions'!$C$2:$C$23,I300)+SUMIFS('3 Hazed Questions'!$M$2:$M$23,'3 Hazed Questions'!$A$2:$A$23,"Q2",'3 Hazed Questions'!$C$2:$C$23,J300)+SUMIFS('3 Hazed Questions'!$M$2:$M$23,'3 Hazed Questions'!$A$2:$A$23,"Q3",'3 Hazed Questions'!$C$2:$C$23,K300)+SUMIFS('3 Hazed Questions'!$M$2:$M$23,'3 Hazed Questions'!$A$2:$A$23,"Q4",'3 Hazed Questions'!$C$2:$C$23,L300))</f>
        <v/>
      </c>
      <c r="W300" s="14" t="str">
        <f aca="false">IF(COUNTA(I300:L300)=0,"",SUMIFS('3 Hazed Questions'!$N$2:$N$23,'3 Hazed Questions'!$A$2:$A$23,"Q1",'3 Hazed Questions'!$C$2:$C$23,I300)+SUMIFS('3 Hazed Questions'!$N$2:$N$23,'3 Hazed Questions'!$A$2:$A$23,"Q2",'3 Hazed Questions'!$C$2:$C$23,J300)+SUMIFS('3 Hazed Questions'!$N$2:$N$23,'3 Hazed Questions'!$A$2:$A$23,"Q3",'3 Hazed Questions'!$C$2:$C$23,K300)+SUMIFS('3 Hazed Questions'!$N$2:$N$23,'3 Hazed Questions'!$A$2:$A$23,"Q4",'3 Hazed Questions'!$C$2:$C$23,L300))</f>
        <v/>
      </c>
      <c r="X300" s="14" t="str">
        <f aca="false">IF(COUNTA(I300:L300)=0,"",INDEX(Fields!$B$2:$B$50,MATCH(SUBSTITUTE(INDEX($N$1:$W$1,MATCH(MAX($N300:$W300),$N300:$W300,0)),"Score: ",""),Fields!$A$2:$A$50,0)))</f>
        <v/>
      </c>
      <c r="Y300" s="14" t="str">
        <f aca="true">IF(COUNTA(I300:L300)=0,"",IF(LARGE($N300:$W300,2)=0,"-",INDEX(Fields!$B$2:$B$50,MATCH(SUBSTITUTE(INDEX($N$1:$W$1,IF(LARGE($N300:$W300,2)=MAX($N300:$W300),MATCH(MAX($N300:$W300),OFFSET($N300:$W300,0,MATCH(MAX($N300:$W300),$N300:$W300,0),1,10-MATCH(MAX($N300:$W300),$N300:$W300,0)),0)+MATCH(MAX($N300:$W300),$N300:$W300,0),MATCH(LARGE($N300:$W300,2),$N300:$W300,0))),"Score: ",""),Fields!$A$2:$A$50,0))))</f>
        <v/>
      </c>
      <c r="Z300" s="14" t="str">
        <f aca="false">IF(M300="","",IFERROR(INDEX('3 Hazed Questions'!$O$2:$O$23,MATCH(1,INDEX(('3 Hazed Questions'!$A$2:$A$23="Q5")*('3 Hazed Questions'!$C$2:$C$23=M300),0),0))&amp;"",""))</f>
        <v/>
      </c>
      <c r="AA300" s="18"/>
      <c r="AB300" s="18"/>
      <c r="AC300" s="19"/>
      <c r="AD300" s="19"/>
      <c r="AE300" s="18"/>
      <c r="AF300" s="18"/>
      <c r="AG300" s="18"/>
    </row>
  </sheetData>
  <autoFilter ref="A1:AG300"/>
  <dataValidations count="5">
    <dataValidation allowBlank="true" error="Pick a value from the list" errorStyle="stop" operator="between" showDropDown="false" showErrorMessage="true" showInputMessage="false" sqref="F2:F300" type="list">
      <formula1>Lists!$G$2:$G$8</formula1>
      <formula2>0</formula2>
    </dataValidation>
    <dataValidation allowBlank="true" error="Pick a value from the list" errorStyle="stop" operator="between" showDropDown="false" showErrorMessage="true" showInputMessage="false" sqref="H2:H300" type="list">
      <formula1>Lists!$H$2:$H$8</formula1>
      <formula2>0</formula2>
    </dataValidation>
    <dataValidation allowBlank="true" error="Pick a value from the list" errorStyle="stop" operator="between" showDropDown="false" showErrorMessage="true" showInputMessage="false" sqref="AB2:AB300" type="list">
      <formula1>Lists!$A$2:$A$8</formula1>
      <formula2>0</formula2>
    </dataValidation>
    <dataValidation allowBlank="true" errorStyle="stop" operator="between" showDropDown="false" showErrorMessage="false" showInputMessage="false" sqref="I2:L300" type="list">
      <formula1>"A,B,C,D,E"</formula1>
      <formula2>0</formula2>
    </dataValidation>
    <dataValidation allowBlank="true" errorStyle="stop" operator="between" showDropDown="false" showErrorMessage="false" showInputMessage="false" sqref="M2:M300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4"/>
  </cols>
  <sheetData>
    <row r="1" customFormat="false" ht="15" hidden="false" customHeight="false" outlineLevel="0" collapsed="false">
      <c r="A1" s="23" t="s">
        <v>154</v>
      </c>
      <c r="B1" s="23" t="s">
        <v>331</v>
      </c>
      <c r="C1" s="23" t="s">
        <v>332</v>
      </c>
      <c r="D1" s="23" t="s">
        <v>333</v>
      </c>
      <c r="E1" s="23" t="s">
        <v>192</v>
      </c>
      <c r="F1" s="23" t="s">
        <v>245</v>
      </c>
      <c r="G1" s="23" t="s">
        <v>334</v>
      </c>
      <c r="H1" s="23" t="s">
        <v>335</v>
      </c>
      <c r="I1" s="23" t="s">
        <v>336</v>
      </c>
    </row>
    <row r="2" customFormat="false" ht="15" hidden="false" customHeight="false" outlineLevel="0" collapsed="false">
      <c r="A2" s="24" t="s">
        <v>330</v>
      </c>
      <c r="B2" s="24" t="s">
        <v>113</v>
      </c>
      <c r="C2" s="24" t="s">
        <v>121</v>
      </c>
      <c r="D2" s="24" t="s">
        <v>134</v>
      </c>
      <c r="E2" s="24" t="s">
        <v>206</v>
      </c>
      <c r="F2" s="24" t="s">
        <v>337</v>
      </c>
      <c r="G2" s="24" t="s">
        <v>163</v>
      </c>
      <c r="H2" s="24" t="s">
        <v>66</v>
      </c>
      <c r="I2" s="24" t="s">
        <v>112</v>
      </c>
    </row>
    <row r="3" customFormat="false" ht="15" hidden="false" customHeight="false" outlineLevel="0" collapsed="false">
      <c r="A3" s="24" t="s">
        <v>166</v>
      </c>
      <c r="B3" s="24" t="s">
        <v>124</v>
      </c>
      <c r="C3" s="24" t="s">
        <v>338</v>
      </c>
      <c r="D3" s="24" t="s">
        <v>114</v>
      </c>
      <c r="E3" s="24" t="s">
        <v>203</v>
      </c>
      <c r="F3" s="24" t="s">
        <v>206</v>
      </c>
      <c r="G3" s="24" t="s">
        <v>339</v>
      </c>
      <c r="H3" s="24" t="s">
        <v>328</v>
      </c>
      <c r="I3" s="24" t="s">
        <v>119</v>
      </c>
    </row>
    <row r="4" customFormat="false" ht="15" hidden="false" customHeight="false" outlineLevel="0" collapsed="false">
      <c r="A4" s="24" t="s">
        <v>254</v>
      </c>
      <c r="B4" s="24" t="s">
        <v>120</v>
      </c>
      <c r="C4" s="24" t="s">
        <v>340</v>
      </c>
      <c r="F4" s="24" t="s">
        <v>203</v>
      </c>
      <c r="G4" s="24" t="s">
        <v>341</v>
      </c>
      <c r="H4" s="24" t="s">
        <v>253</v>
      </c>
      <c r="I4" s="24" t="s">
        <v>128</v>
      </c>
    </row>
    <row r="5" customFormat="false" ht="15" hidden="false" customHeight="false" outlineLevel="0" collapsed="false">
      <c r="A5" s="24" t="s">
        <v>342</v>
      </c>
      <c r="G5" s="24" t="s">
        <v>343</v>
      </c>
      <c r="H5" s="24" t="s">
        <v>344</v>
      </c>
      <c r="I5" s="24" t="s">
        <v>133</v>
      </c>
    </row>
    <row r="6" customFormat="false" ht="15" hidden="false" customHeight="false" outlineLevel="0" collapsed="false">
      <c r="A6" s="24" t="s">
        <v>345</v>
      </c>
      <c r="G6" s="24" t="s">
        <v>346</v>
      </c>
      <c r="H6" s="24" t="s">
        <v>347</v>
      </c>
      <c r="I6" s="24" t="s">
        <v>137</v>
      </c>
    </row>
    <row r="7" customFormat="false" ht="15" hidden="false" customHeight="false" outlineLevel="0" collapsed="false">
      <c r="A7" s="24" t="s">
        <v>348</v>
      </c>
      <c r="G7" s="24" t="s">
        <v>206</v>
      </c>
      <c r="H7" s="24" t="s">
        <v>349</v>
      </c>
    </row>
    <row r="8" customFormat="false" ht="15" hidden="false" customHeight="false" outlineLevel="0" collapsed="false">
      <c r="A8" s="24" t="s">
        <v>350</v>
      </c>
      <c r="G8" s="24" t="s">
        <v>351</v>
      </c>
      <c r="H8" s="24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2026-10-08T07:43:26Z</dcterms:created>
  <dc:creator>openpyxl</dc:creator>
  <dc:description/>
  <dc:language>en-US</dc:language>
  <cp:lastModifiedBy/>
  <dcterms:modified xsi:type="dcterms:W3CDTF">2026-10-08T07:43:27Z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